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rkj\Desktop\Trading Excel Files\05_Expressing_the_Trade_FX_Options\"/>
    </mc:Choice>
  </mc:AlternateContent>
  <xr:revisionPtr revIDLastSave="0" documentId="13_ncr:1_{A39BBD66-99E8-45A9-AEE6-FA4256506CC8}" xr6:coauthVersionLast="47" xr6:coauthVersionMax="47" xr10:uidLastSave="{00000000-0000-0000-0000-000000000000}"/>
  <bookViews>
    <workbookView xWindow="3353" yWindow="915" windowWidth="21997" windowHeight="9285" firstSheet="4" activeTab="9" xr2:uid="{EE89E2D2-263D-4D39-A2C5-00E9DD993B2E}"/>
  </bookViews>
  <sheets>
    <sheet name="Note" sheetId="1" r:id="rId1"/>
    <sheet name="Long Call" sheetId="3" r:id="rId2"/>
    <sheet name="Long Put" sheetId="6" r:id="rId3"/>
    <sheet name="Covered Call" sheetId="7" r:id="rId4"/>
    <sheet name="Bull Call Spread" sheetId="8" r:id="rId5"/>
    <sheet name="Bear Put Spread" sheetId="9" r:id="rId6"/>
    <sheet name="Long Straddle" sheetId="10" r:id="rId7"/>
    <sheet name="Long Strangle" sheetId="11" r:id="rId8"/>
    <sheet name="Long Stock + OTM put" sheetId="12" r:id="rId9"/>
    <sheet name="Short Stock + OTM call" sheetId="13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9" i="13" l="1"/>
  <c r="S20" i="13" s="1"/>
  <c r="S21" i="13" s="1"/>
  <c r="S22" i="13" s="1"/>
  <c r="S23" i="13" s="1"/>
  <c r="S24" i="13" s="1"/>
  <c r="S25" i="13"/>
  <c r="S26" i="13" s="1"/>
  <c r="S27" i="13" s="1"/>
  <c r="S28" i="13" s="1"/>
  <c r="S29" i="13" s="1"/>
  <c r="S30" i="13"/>
  <c r="S31" i="13" s="1"/>
  <c r="S32" i="13" s="1"/>
  <c r="S33" i="13" s="1"/>
  <c r="S34" i="13" s="1"/>
  <c r="S35" i="13" s="1"/>
  <c r="S36" i="13" s="1"/>
  <c r="S37" i="13" s="1"/>
  <c r="S38" i="13" s="1"/>
  <c r="S39" i="13" s="1"/>
  <c r="S40" i="13" s="1"/>
  <c r="S41" i="13" s="1"/>
  <c r="S42" i="13" s="1"/>
  <c r="S43" i="13" s="1"/>
  <c r="S44" i="13" s="1"/>
  <c r="S45" i="13" s="1"/>
  <c r="S46" i="13" s="1"/>
  <c r="S47" i="13" s="1"/>
  <c r="S48" i="13" s="1"/>
  <c r="S49" i="13" s="1"/>
  <c r="S50" i="13" s="1"/>
  <c r="S51" i="13" s="1"/>
  <c r="S52" i="13" s="1"/>
  <c r="S53" i="13" s="1"/>
  <c r="S54" i="13" s="1"/>
  <c r="S55" i="13" s="1"/>
  <c r="S56" i="13" s="1"/>
  <c r="S57" i="13" s="1"/>
  <c r="S58" i="13" s="1"/>
  <c r="S59" i="13" s="1"/>
  <c r="S60" i="13" s="1"/>
  <c r="S61" i="13" s="1"/>
  <c r="S62" i="13" s="1"/>
  <c r="S63" i="13" s="1"/>
  <c r="S64" i="13" s="1"/>
  <c r="S65" i="13" s="1"/>
  <c r="S66" i="13" s="1"/>
  <c r="S67" i="13" s="1"/>
  <c r="S68" i="13" s="1"/>
  <c r="S69" i="13" s="1"/>
  <c r="S70" i="13" s="1"/>
  <c r="S71" i="13" s="1"/>
  <c r="S72" i="13" s="1"/>
  <c r="S73" i="13" s="1"/>
  <c r="S74" i="13" s="1"/>
  <c r="S75" i="13" s="1"/>
  <c r="S76" i="13" s="1"/>
  <c r="S77" i="13" s="1"/>
  <c r="S78" i="13" s="1"/>
  <c r="S79" i="13" s="1"/>
  <c r="S80" i="13" s="1"/>
  <c r="S81" i="13" s="1"/>
  <c r="S82" i="13" s="1"/>
  <c r="S83" i="13" s="1"/>
  <c r="S84" i="13" s="1"/>
  <c r="S85" i="13" s="1"/>
  <c r="S86" i="13" s="1"/>
  <c r="S87" i="13" s="1"/>
  <c r="S88" i="13" s="1"/>
  <c r="S89" i="13" s="1"/>
  <c r="S90" i="13" s="1"/>
  <c r="S91" i="13" s="1"/>
  <c r="S92" i="13" s="1"/>
  <c r="S93" i="13" s="1"/>
  <c r="S94" i="13" s="1"/>
  <c r="S95" i="13" s="1"/>
  <c r="S96" i="13" s="1"/>
  <c r="S97" i="13" s="1"/>
  <c r="S98" i="13" s="1"/>
  <c r="S99" i="13" s="1"/>
  <c r="S100" i="13" s="1"/>
  <c r="S101" i="13" s="1"/>
  <c r="S102" i="13" s="1"/>
  <c r="S103" i="13" s="1"/>
  <c r="S104" i="13" s="1"/>
  <c r="S105" i="13" s="1"/>
  <c r="S106" i="13" s="1"/>
  <c r="S107" i="13" s="1"/>
  <c r="S108" i="13" s="1"/>
  <c r="S109" i="13" s="1"/>
  <c r="S110" i="13" s="1"/>
  <c r="S111" i="13" s="1"/>
  <c r="S112" i="13" s="1"/>
  <c r="S113" i="13" s="1"/>
  <c r="S114" i="13" s="1"/>
  <c r="S115" i="13" s="1"/>
  <c r="S116" i="13" s="1"/>
  <c r="S117" i="13" s="1"/>
  <c r="S118" i="13" s="1"/>
  <c r="S119" i="13" s="1"/>
  <c r="S120" i="13" s="1"/>
  <c r="S121" i="13" s="1"/>
  <c r="S122" i="13" s="1"/>
  <c r="S123" i="13" s="1"/>
  <c r="S124" i="13" s="1"/>
  <c r="S125" i="13" s="1"/>
  <c r="S126" i="13" s="1"/>
  <c r="S127" i="13" s="1"/>
  <c r="S128" i="13" s="1"/>
  <c r="S129" i="13" s="1"/>
  <c r="S130" i="13" s="1"/>
  <c r="S131" i="13" s="1"/>
  <c r="S132" i="13" s="1"/>
  <c r="S133" i="13" s="1"/>
  <c r="S134" i="13" s="1"/>
  <c r="S135" i="13" s="1"/>
  <c r="S136" i="13" s="1"/>
  <c r="S137" i="13" s="1"/>
  <c r="S138" i="13" s="1"/>
  <c r="S139" i="13" s="1"/>
  <c r="S140" i="13" s="1"/>
  <c r="S141" i="13" s="1"/>
  <c r="S142" i="13" s="1"/>
  <c r="S143" i="13" s="1"/>
  <c r="S144" i="13" s="1"/>
  <c r="S145" i="13" s="1"/>
  <c r="S146" i="13" s="1"/>
  <c r="S147" i="13" s="1"/>
  <c r="S148" i="13" s="1"/>
  <c r="S149" i="13" s="1"/>
  <c r="S150" i="13" s="1"/>
  <c r="S151" i="13" s="1"/>
  <c r="S152" i="13" s="1"/>
  <c r="S153" i="13" s="1"/>
  <c r="S154" i="13" s="1"/>
  <c r="S155" i="13" s="1"/>
  <c r="S156" i="13" s="1"/>
  <c r="S157" i="13" s="1"/>
  <c r="S158" i="13" s="1"/>
  <c r="S159" i="13" s="1"/>
  <c r="S160" i="13" s="1"/>
  <c r="S161" i="13" s="1"/>
  <c r="S162" i="13" s="1"/>
  <c r="S163" i="13" s="1"/>
  <c r="S164" i="13" s="1"/>
  <c r="S165" i="13" s="1"/>
  <c r="S166" i="13" s="1"/>
  <c r="S167" i="13" s="1"/>
  <c r="S168" i="13" s="1"/>
  <c r="S169" i="13" s="1"/>
  <c r="S170" i="13" s="1"/>
  <c r="S171" i="13" s="1"/>
  <c r="S172" i="13" s="1"/>
  <c r="S173" i="13" s="1"/>
  <c r="S174" i="13" s="1"/>
  <c r="S175" i="13" s="1"/>
  <c r="S176" i="13" s="1"/>
  <c r="S177" i="13" s="1"/>
  <c r="S178" i="13" s="1"/>
  <c r="S179" i="13" s="1"/>
  <c r="S180" i="13" s="1"/>
  <c r="S181" i="13" s="1"/>
  <c r="S182" i="13" s="1"/>
  <c r="S183" i="13" s="1"/>
  <c r="S184" i="13" s="1"/>
  <c r="S185" i="13" s="1"/>
  <c r="S186" i="13" s="1"/>
  <c r="S187" i="13" s="1"/>
  <c r="S188" i="13" s="1"/>
  <c r="S189" i="13" s="1"/>
  <c r="S190" i="13" s="1"/>
  <c r="S191" i="13" s="1"/>
  <c r="S192" i="13" s="1"/>
  <c r="S193" i="13" s="1"/>
  <c r="S194" i="13" s="1"/>
  <c r="S195" i="13" s="1"/>
  <c r="S196" i="13" s="1"/>
  <c r="S197" i="13" s="1"/>
  <c r="S198" i="13" s="1"/>
  <c r="S199" i="13" s="1"/>
  <c r="S200" i="13" s="1"/>
  <c r="S201" i="13" s="1"/>
  <c r="S202" i="13" s="1"/>
  <c r="S203" i="13" s="1"/>
  <c r="S204" i="13" s="1"/>
  <c r="S205" i="13" s="1"/>
  <c r="S206" i="13" s="1"/>
  <c r="S207" i="13" s="1"/>
  <c r="S208" i="13" s="1"/>
  <c r="S209" i="13" s="1"/>
  <c r="S210" i="13" s="1"/>
  <c r="S211" i="13" s="1"/>
  <c r="S212" i="13" s="1"/>
  <c r="S213" i="13" s="1"/>
  <c r="S214" i="13" s="1"/>
  <c r="S215" i="13" s="1"/>
  <c r="S216" i="13" s="1"/>
  <c r="S217" i="13" s="1"/>
  <c r="S218" i="13" s="1"/>
  <c r="S219" i="13" s="1"/>
  <c r="S220" i="13" s="1"/>
  <c r="S221" i="13" s="1"/>
  <c r="S222" i="13" s="1"/>
  <c r="S223" i="13" s="1"/>
  <c r="S224" i="13" s="1"/>
  <c r="S225" i="13" s="1"/>
  <c r="S226" i="13" s="1"/>
  <c r="S227" i="13" s="1"/>
  <c r="S228" i="13" s="1"/>
  <c r="S229" i="13" s="1"/>
  <c r="S230" i="13" s="1"/>
  <c r="S231" i="13" s="1"/>
  <c r="S232" i="13" s="1"/>
  <c r="S233" i="13" s="1"/>
  <c r="S234" i="13" s="1"/>
  <c r="S235" i="13" s="1"/>
  <c r="S236" i="13" s="1"/>
  <c r="S237" i="13" s="1"/>
  <c r="S238" i="13" s="1"/>
  <c r="S239" i="13" s="1"/>
  <c r="S240" i="13" s="1"/>
  <c r="S241" i="13" s="1"/>
  <c r="S242" i="13" s="1"/>
  <c r="S243" i="13" s="1"/>
  <c r="S244" i="13" s="1"/>
  <c r="S245" i="13" s="1"/>
  <c r="S246" i="13" s="1"/>
  <c r="S247" i="13" s="1"/>
  <c r="S248" i="13" s="1"/>
  <c r="S249" i="13" s="1"/>
  <c r="S250" i="13" s="1"/>
  <c r="S251" i="13" s="1"/>
  <c r="S252" i="13" s="1"/>
  <c r="S253" i="13" s="1"/>
  <c r="S254" i="13" s="1"/>
  <c r="S255" i="13" s="1"/>
  <c r="S256" i="13" s="1"/>
  <c r="S257" i="13" s="1"/>
  <c r="S258" i="13" s="1"/>
  <c r="S259" i="13" s="1"/>
  <c r="S260" i="13" s="1"/>
  <c r="S261" i="13" s="1"/>
  <c r="S262" i="13" s="1"/>
  <c r="S263" i="13" s="1"/>
  <c r="S264" i="13" s="1"/>
  <c r="S265" i="13" s="1"/>
  <c r="S266" i="13" s="1"/>
  <c r="S267" i="13" s="1"/>
  <c r="S268" i="13" s="1"/>
  <c r="S269" i="13" s="1"/>
  <c r="S270" i="13" s="1"/>
  <c r="S271" i="13" s="1"/>
  <c r="S272" i="13" s="1"/>
  <c r="S273" i="13" s="1"/>
  <c r="S274" i="13" s="1"/>
  <c r="S275" i="13" s="1"/>
  <c r="S276" i="13" s="1"/>
  <c r="S277" i="13" s="1"/>
  <c r="S278" i="13" s="1"/>
  <c r="S279" i="13" s="1"/>
  <c r="S280" i="13" s="1"/>
  <c r="S281" i="13" s="1"/>
  <c r="S282" i="13" s="1"/>
  <c r="S283" i="13" s="1"/>
  <c r="S284" i="13" s="1"/>
  <c r="S285" i="13" s="1"/>
  <c r="S286" i="13" s="1"/>
  <c r="S287" i="13" s="1"/>
  <c r="S288" i="13" s="1"/>
  <c r="S289" i="13" s="1"/>
  <c r="S290" i="13" s="1"/>
  <c r="S291" i="13" s="1"/>
  <c r="S292" i="13" s="1"/>
  <c r="S293" i="13" s="1"/>
  <c r="S294" i="13" s="1"/>
  <c r="S295" i="13" s="1"/>
  <c r="S296" i="13" s="1"/>
  <c r="S297" i="13" s="1"/>
  <c r="S298" i="13" s="1"/>
  <c r="S299" i="13" s="1"/>
  <c r="S300" i="13" s="1"/>
  <c r="S301" i="13" s="1"/>
  <c r="S302" i="13" s="1"/>
  <c r="S303" i="13" s="1"/>
  <c r="S304" i="13" s="1"/>
  <c r="S305" i="13" s="1"/>
  <c r="S306" i="13" s="1"/>
  <c r="S307" i="13" s="1"/>
  <c r="S308" i="13" s="1"/>
  <c r="S309" i="13" s="1"/>
  <c r="S310" i="13" s="1"/>
  <c r="S311" i="13" s="1"/>
  <c r="S312" i="13" s="1"/>
  <c r="S313" i="13" s="1"/>
  <c r="S314" i="13" s="1"/>
  <c r="S315" i="13" s="1"/>
  <c r="S316" i="13" s="1"/>
  <c r="S317" i="13" s="1"/>
  <c r="S318" i="13" s="1"/>
  <c r="S319" i="13" s="1"/>
  <c r="S320" i="13" s="1"/>
  <c r="S321" i="13" s="1"/>
  <c r="S322" i="13" s="1"/>
  <c r="S323" i="13" s="1"/>
  <c r="S324" i="13" s="1"/>
  <c r="S325" i="13" s="1"/>
  <c r="S326" i="13" s="1"/>
  <c r="S327" i="13" s="1"/>
  <c r="S328" i="13" s="1"/>
  <c r="S329" i="13" s="1"/>
  <c r="S330" i="13" s="1"/>
  <c r="S331" i="13" s="1"/>
  <c r="S332" i="13" s="1"/>
  <c r="S333" i="13" s="1"/>
  <c r="S334" i="13" s="1"/>
  <c r="S335" i="13" s="1"/>
  <c r="S336" i="13" s="1"/>
  <c r="S337" i="13" s="1"/>
  <c r="S338" i="13" s="1"/>
  <c r="S339" i="13" s="1"/>
  <c r="S340" i="13" s="1"/>
  <c r="S341" i="13" s="1"/>
  <c r="S342" i="13" s="1"/>
  <c r="S343" i="13" s="1"/>
  <c r="S344" i="13" s="1"/>
  <c r="S345" i="13" s="1"/>
  <c r="S346" i="13" s="1"/>
  <c r="S347" i="13" s="1"/>
  <c r="S348" i="13" s="1"/>
  <c r="S349" i="13" s="1"/>
  <c r="S350" i="13" s="1"/>
  <c r="S351" i="13" s="1"/>
  <c r="S352" i="13" s="1"/>
  <c r="S353" i="13" s="1"/>
  <c r="S354" i="13" s="1"/>
  <c r="S355" i="13" s="1"/>
  <c r="S356" i="13" s="1"/>
  <c r="S357" i="13" s="1"/>
  <c r="S358" i="13" s="1"/>
  <c r="S359" i="13" s="1"/>
  <c r="S360" i="13" s="1"/>
  <c r="S361" i="13" s="1"/>
  <c r="S362" i="13" s="1"/>
  <c r="S363" i="13" s="1"/>
  <c r="S364" i="13" s="1"/>
  <c r="S365" i="13" s="1"/>
  <c r="S366" i="13" s="1"/>
  <c r="S367" i="13" s="1"/>
  <c r="S368" i="13" s="1"/>
  <c r="S369" i="13" s="1"/>
  <c r="S370" i="13" s="1"/>
  <c r="S371" i="13" s="1"/>
  <c r="S372" i="13" s="1"/>
  <c r="S373" i="13" s="1"/>
  <c r="S374" i="13" s="1"/>
  <c r="S375" i="13" s="1"/>
  <c r="S376" i="13" s="1"/>
  <c r="S377" i="13" s="1"/>
  <c r="S378" i="13" s="1"/>
  <c r="S379" i="13" s="1"/>
  <c r="S380" i="13" s="1"/>
  <c r="S381" i="13" s="1"/>
  <c r="S382" i="13" s="1"/>
  <c r="S383" i="13" s="1"/>
  <c r="S384" i="13" s="1"/>
  <c r="S385" i="13" s="1"/>
  <c r="S386" i="13" s="1"/>
  <c r="S387" i="13" s="1"/>
  <c r="S388" i="13" s="1"/>
  <c r="S389" i="13" s="1"/>
  <c r="S390" i="13" s="1"/>
  <c r="S391" i="13" s="1"/>
  <c r="S392" i="13" s="1"/>
  <c r="S393" i="13" s="1"/>
  <c r="S394" i="13" s="1"/>
  <c r="S395" i="13" s="1"/>
  <c r="S396" i="13" s="1"/>
  <c r="S397" i="13" s="1"/>
  <c r="S398" i="13" s="1"/>
  <c r="S399" i="13" s="1"/>
  <c r="S400" i="13" s="1"/>
  <c r="S401" i="13" s="1"/>
  <c r="S402" i="13" s="1"/>
  <c r="S403" i="13" s="1"/>
  <c r="S404" i="13" s="1"/>
  <c r="S405" i="13" s="1"/>
  <c r="S406" i="13" s="1"/>
  <c r="S407" i="13" s="1"/>
  <c r="S408" i="13" s="1"/>
  <c r="S409" i="13" s="1"/>
  <c r="S410" i="13" s="1"/>
  <c r="S411" i="13" s="1"/>
  <c r="S412" i="13" s="1"/>
  <c r="S413" i="13" s="1"/>
  <c r="S414" i="13" s="1"/>
  <c r="S415" i="13" s="1"/>
  <c r="S416" i="13" s="1"/>
  <c r="S417" i="13" s="1"/>
  <c r="S418" i="13" s="1"/>
  <c r="S419" i="13" s="1"/>
  <c r="S420" i="13" s="1"/>
  <c r="S421" i="13" s="1"/>
  <c r="S422" i="13" s="1"/>
  <c r="S423" i="13" s="1"/>
  <c r="S424" i="13" s="1"/>
  <c r="S425" i="13" s="1"/>
  <c r="S426" i="13" s="1"/>
  <c r="S427" i="13" s="1"/>
  <c r="S428" i="13" s="1"/>
  <c r="S429" i="13" s="1"/>
  <c r="S430" i="13" s="1"/>
  <c r="S431" i="13" s="1"/>
  <c r="S432" i="13" s="1"/>
  <c r="S433" i="13" s="1"/>
  <c r="S434" i="13" s="1"/>
  <c r="S435" i="13" s="1"/>
  <c r="S436" i="13" s="1"/>
  <c r="S437" i="13" s="1"/>
  <c r="S438" i="13" s="1"/>
  <c r="S439" i="13" s="1"/>
  <c r="S440" i="13" s="1"/>
  <c r="S441" i="13" s="1"/>
  <c r="S442" i="13" s="1"/>
  <c r="S443" i="13" s="1"/>
  <c r="S444" i="13" s="1"/>
  <c r="S445" i="13" s="1"/>
  <c r="S446" i="13" s="1"/>
  <c r="S447" i="13" s="1"/>
  <c r="S448" i="13" s="1"/>
  <c r="S449" i="13" s="1"/>
  <c r="S450" i="13" s="1"/>
  <c r="S451" i="13" s="1"/>
  <c r="S452" i="13" s="1"/>
  <c r="S453" i="13" s="1"/>
  <c r="S454" i="13" s="1"/>
  <c r="S455" i="13" s="1"/>
  <c r="S456" i="13" s="1"/>
  <c r="S457" i="13" s="1"/>
  <c r="S458" i="13" s="1"/>
  <c r="S459" i="13" s="1"/>
  <c r="S460" i="13" s="1"/>
  <c r="S461" i="13" s="1"/>
  <c r="S462" i="13" s="1"/>
  <c r="S463" i="13" s="1"/>
  <c r="S464" i="13" s="1"/>
  <c r="S465" i="13" s="1"/>
  <c r="S466" i="13" s="1"/>
  <c r="S467" i="13" s="1"/>
  <c r="S468" i="13" s="1"/>
  <c r="S469" i="13" s="1"/>
  <c r="S470" i="13" s="1"/>
  <c r="S471" i="13" s="1"/>
  <c r="S472" i="13" s="1"/>
  <c r="S473" i="13" s="1"/>
  <c r="S474" i="13" s="1"/>
  <c r="S475" i="13" s="1"/>
  <c r="S476" i="13" s="1"/>
  <c r="S477" i="13" s="1"/>
  <c r="S478" i="13" s="1"/>
  <c r="S479" i="13" s="1"/>
  <c r="S480" i="13" s="1"/>
  <c r="S481" i="13" s="1"/>
  <c r="S482" i="13" s="1"/>
  <c r="S483" i="13" s="1"/>
  <c r="S484" i="13" s="1"/>
  <c r="S485" i="13" s="1"/>
  <c r="S486" i="13" s="1"/>
  <c r="S487" i="13" s="1"/>
  <c r="S488" i="13" s="1"/>
  <c r="S489" i="13" s="1"/>
  <c r="S490" i="13" s="1"/>
  <c r="S491" i="13" s="1"/>
  <c r="S492" i="13" s="1"/>
  <c r="S493" i="13" s="1"/>
  <c r="S494" i="13" s="1"/>
  <c r="S495" i="13" s="1"/>
  <c r="S496" i="13" s="1"/>
  <c r="S497" i="13" s="1"/>
  <c r="S498" i="13" s="1"/>
  <c r="S499" i="13" s="1"/>
  <c r="S500" i="13" s="1"/>
  <c r="S501" i="13" s="1"/>
  <c r="S502" i="13" s="1"/>
  <c r="S503" i="13" s="1"/>
  <c r="S504" i="13" s="1"/>
  <c r="S505" i="13" s="1"/>
  <c r="S506" i="13" s="1"/>
  <c r="S507" i="13" s="1"/>
  <c r="S508" i="13" s="1"/>
  <c r="S509" i="13" s="1"/>
  <c r="S510" i="13" s="1"/>
  <c r="S511" i="13" s="1"/>
  <c r="S512" i="13" s="1"/>
  <c r="S513" i="13" s="1"/>
  <c r="S514" i="13" s="1"/>
  <c r="S515" i="13" s="1"/>
  <c r="S516" i="13" s="1"/>
  <c r="S517" i="13" s="1"/>
  <c r="S518" i="13" s="1"/>
  <c r="S519" i="13" s="1"/>
  <c r="S520" i="13" s="1"/>
  <c r="S521" i="13" s="1"/>
  <c r="S522" i="13" s="1"/>
  <c r="S523" i="13" s="1"/>
  <c r="S524" i="13" s="1"/>
  <c r="S525" i="13" s="1"/>
  <c r="S526" i="13" s="1"/>
  <c r="S527" i="13" s="1"/>
  <c r="S528" i="13" s="1"/>
  <c r="S529" i="13" s="1"/>
  <c r="S530" i="13" s="1"/>
  <c r="S531" i="13" s="1"/>
  <c r="S532" i="13" s="1"/>
  <c r="S533" i="13" s="1"/>
  <c r="S534" i="13" s="1"/>
  <c r="S535" i="13" s="1"/>
  <c r="S536" i="13" s="1"/>
  <c r="S537" i="13" s="1"/>
  <c r="S538" i="13" s="1"/>
  <c r="S539" i="13" s="1"/>
  <c r="S540" i="13" s="1"/>
  <c r="S541" i="13" s="1"/>
  <c r="S542" i="13" s="1"/>
  <c r="S543" i="13" s="1"/>
  <c r="S544" i="13" s="1"/>
  <c r="S545" i="13" s="1"/>
  <c r="S546" i="13" s="1"/>
  <c r="S547" i="13" s="1"/>
  <c r="S548" i="13" s="1"/>
  <c r="S549" i="13" s="1"/>
  <c r="S550" i="13" s="1"/>
  <c r="S551" i="13" s="1"/>
  <c r="S552" i="13" s="1"/>
  <c r="S553" i="13" s="1"/>
  <c r="S554" i="13" s="1"/>
  <c r="S555" i="13" s="1"/>
  <c r="S556" i="13" s="1"/>
  <c r="S557" i="13" s="1"/>
  <c r="S558" i="13" s="1"/>
  <c r="S559" i="13" s="1"/>
  <c r="S560" i="13" s="1"/>
  <c r="S561" i="13" s="1"/>
  <c r="S562" i="13" s="1"/>
  <c r="S563" i="13" s="1"/>
  <c r="S564" i="13" s="1"/>
  <c r="S565" i="13" s="1"/>
  <c r="S566" i="13" s="1"/>
  <c r="S567" i="13" s="1"/>
  <c r="S568" i="13" s="1"/>
  <c r="S569" i="13" s="1"/>
  <c r="S570" i="13" s="1"/>
  <c r="S571" i="13" s="1"/>
  <c r="S572" i="13" s="1"/>
  <c r="S573" i="13" s="1"/>
  <c r="S574" i="13" s="1"/>
  <c r="S575" i="13" s="1"/>
  <c r="S576" i="13" s="1"/>
  <c r="S577" i="13" s="1"/>
  <c r="S578" i="13" s="1"/>
  <c r="S579" i="13" s="1"/>
  <c r="S580" i="13" s="1"/>
  <c r="S581" i="13" s="1"/>
  <c r="S582" i="13" s="1"/>
  <c r="S583" i="13" s="1"/>
  <c r="S584" i="13" s="1"/>
  <c r="S585" i="13" s="1"/>
  <c r="S586" i="13" s="1"/>
  <c r="S587" i="13" s="1"/>
  <c r="S588" i="13" s="1"/>
  <c r="S589" i="13" s="1"/>
  <c r="S590" i="13" s="1"/>
  <c r="S591" i="13" s="1"/>
  <c r="S592" i="13" s="1"/>
  <c r="S593" i="13" s="1"/>
  <c r="S594" i="13" s="1"/>
  <c r="S595" i="13" s="1"/>
  <c r="S596" i="13" s="1"/>
  <c r="S597" i="13" s="1"/>
  <c r="S598" i="13" s="1"/>
  <c r="S599" i="13" s="1"/>
  <c r="S600" i="13" s="1"/>
  <c r="S601" i="13" s="1"/>
  <c r="S602" i="13" s="1"/>
  <c r="S603" i="13" s="1"/>
  <c r="S604" i="13" s="1"/>
  <c r="S605" i="13" s="1"/>
  <c r="S606" i="13" s="1"/>
  <c r="S607" i="13" s="1"/>
  <c r="S608" i="13" s="1"/>
  <c r="S609" i="13" s="1"/>
  <c r="S610" i="13" s="1"/>
  <c r="S611" i="13" s="1"/>
  <c r="S612" i="13" s="1"/>
  <c r="S613" i="13" s="1"/>
  <c r="S614" i="13" s="1"/>
  <c r="S615" i="13" s="1"/>
  <c r="S616" i="13" s="1"/>
  <c r="S617" i="13" s="1"/>
  <c r="S618" i="13" s="1"/>
  <c r="S619" i="13" s="1"/>
  <c r="S620" i="13" s="1"/>
  <c r="S621" i="13" s="1"/>
  <c r="S622" i="13" s="1"/>
  <c r="S623" i="13" s="1"/>
  <c r="S624" i="13" s="1"/>
  <c r="S625" i="13" s="1"/>
  <c r="S626" i="13" s="1"/>
  <c r="S627" i="13" s="1"/>
  <c r="S628" i="13" s="1"/>
  <c r="S629" i="13" s="1"/>
  <c r="S630" i="13" s="1"/>
  <c r="S631" i="13" s="1"/>
  <c r="S632" i="13" s="1"/>
  <c r="S633" i="13" s="1"/>
  <c r="S634" i="13" s="1"/>
  <c r="S635" i="13" s="1"/>
  <c r="S636" i="13" s="1"/>
  <c r="S637" i="13" s="1"/>
  <c r="S638" i="13" s="1"/>
  <c r="S639" i="13" s="1"/>
  <c r="S640" i="13" s="1"/>
  <c r="S641" i="13" s="1"/>
  <c r="S642" i="13" s="1"/>
  <c r="S643" i="13" s="1"/>
  <c r="S644" i="13" s="1"/>
  <c r="S645" i="13" s="1"/>
  <c r="S646" i="13" s="1"/>
  <c r="S647" i="13" s="1"/>
  <c r="S648" i="13" s="1"/>
  <c r="S649" i="13" s="1"/>
  <c r="S650" i="13" s="1"/>
  <c r="S651" i="13" s="1"/>
  <c r="S652" i="13" s="1"/>
  <c r="S653" i="13" s="1"/>
  <c r="S654" i="13" s="1"/>
  <c r="S655" i="13" s="1"/>
  <c r="S656" i="13" s="1"/>
  <c r="S657" i="13" s="1"/>
  <c r="S658" i="13" s="1"/>
  <c r="S659" i="13" s="1"/>
  <c r="S660" i="13" s="1"/>
  <c r="S661" i="13" s="1"/>
  <c r="S662" i="13" s="1"/>
  <c r="S663" i="13" s="1"/>
  <c r="S664" i="13" s="1"/>
  <c r="S665" i="13" s="1"/>
  <c r="S666" i="13" s="1"/>
  <c r="S667" i="13" s="1"/>
  <c r="S668" i="13" s="1"/>
  <c r="S669" i="13" s="1"/>
  <c r="S670" i="13" s="1"/>
  <c r="S671" i="13" s="1"/>
  <c r="S672" i="13" s="1"/>
  <c r="S673" i="13" s="1"/>
  <c r="S674" i="13" s="1"/>
  <c r="S675" i="13" s="1"/>
  <c r="S676" i="13" s="1"/>
  <c r="S677" i="13" s="1"/>
  <c r="S678" i="13" s="1"/>
  <c r="S679" i="13" s="1"/>
  <c r="S680" i="13" s="1"/>
  <c r="S681" i="13" s="1"/>
  <c r="S682" i="13" s="1"/>
  <c r="S683" i="13" s="1"/>
  <c r="S684" i="13" s="1"/>
  <c r="S685" i="13" s="1"/>
  <c r="S686" i="13" s="1"/>
  <c r="S687" i="13" s="1"/>
  <c r="S688" i="13" s="1"/>
  <c r="S689" i="13" s="1"/>
  <c r="S690" i="13" s="1"/>
  <c r="S691" i="13" s="1"/>
  <c r="S692" i="13" s="1"/>
  <c r="S693" i="13" s="1"/>
  <c r="S694" i="13" s="1"/>
  <c r="S695" i="13" s="1"/>
  <c r="S696" i="13" s="1"/>
  <c r="S697" i="13" s="1"/>
  <c r="S698" i="13" s="1"/>
  <c r="S699" i="13" s="1"/>
  <c r="S700" i="13" s="1"/>
  <c r="S701" i="13" s="1"/>
  <c r="S702" i="13" s="1"/>
  <c r="S703" i="13" s="1"/>
  <c r="S704" i="13" s="1"/>
  <c r="S705" i="13" s="1"/>
  <c r="S706" i="13" s="1"/>
  <c r="S707" i="13" s="1"/>
  <c r="S708" i="13" s="1"/>
  <c r="S709" i="13" s="1"/>
  <c r="S710" i="13" s="1"/>
  <c r="S711" i="13" s="1"/>
  <c r="S712" i="13" s="1"/>
  <c r="S713" i="13" s="1"/>
  <c r="S714" i="13" s="1"/>
  <c r="S715" i="13" s="1"/>
  <c r="S716" i="13" s="1"/>
  <c r="S717" i="13" s="1"/>
  <c r="S718" i="13" s="1"/>
  <c r="S719" i="13" s="1"/>
  <c r="S720" i="13" s="1"/>
  <c r="S721" i="13" s="1"/>
  <c r="S722" i="13" s="1"/>
  <c r="S723" i="13" s="1"/>
  <c r="S724" i="13" s="1"/>
  <c r="S725" i="13" s="1"/>
  <c r="S726" i="13" s="1"/>
  <c r="S727" i="13" s="1"/>
  <c r="S728" i="13" s="1"/>
  <c r="S729" i="13" s="1"/>
  <c r="S730" i="13" s="1"/>
  <c r="S731" i="13" s="1"/>
  <c r="S732" i="13" s="1"/>
  <c r="S733" i="13" s="1"/>
  <c r="S734" i="13" s="1"/>
  <c r="S735" i="13" s="1"/>
  <c r="S736" i="13" s="1"/>
  <c r="S737" i="13" s="1"/>
  <c r="S738" i="13" s="1"/>
  <c r="S739" i="13" s="1"/>
  <c r="S740" i="13" s="1"/>
  <c r="S741" i="13" s="1"/>
  <c r="S742" i="13" s="1"/>
  <c r="S743" i="13" s="1"/>
  <c r="S744" i="13" s="1"/>
  <c r="S745" i="13" s="1"/>
  <c r="S746" i="13" s="1"/>
  <c r="S747" i="13" s="1"/>
  <c r="S748" i="13" s="1"/>
  <c r="S749" i="13" s="1"/>
  <c r="S750" i="13" s="1"/>
  <c r="S751" i="13" s="1"/>
  <c r="S752" i="13" s="1"/>
  <c r="S753" i="13" s="1"/>
  <c r="S754" i="13" s="1"/>
  <c r="S755" i="13" s="1"/>
  <c r="S756" i="13" s="1"/>
  <c r="S757" i="13" s="1"/>
  <c r="S758" i="13" s="1"/>
  <c r="S759" i="13" s="1"/>
  <c r="S760" i="13" s="1"/>
  <c r="S761" i="13" s="1"/>
  <c r="S762" i="13" s="1"/>
  <c r="S763" i="13" s="1"/>
  <c r="S764" i="13" s="1"/>
  <c r="S765" i="13" s="1"/>
  <c r="S766" i="13" s="1"/>
  <c r="S767" i="13" s="1"/>
  <c r="S768" i="13" s="1"/>
  <c r="S769" i="13" s="1"/>
  <c r="S770" i="13" s="1"/>
  <c r="S771" i="13" s="1"/>
  <c r="S772" i="13" s="1"/>
  <c r="S773" i="13" s="1"/>
  <c r="S774" i="13" s="1"/>
  <c r="S775" i="13" s="1"/>
  <c r="S776" i="13" s="1"/>
  <c r="S777" i="13" s="1"/>
  <c r="S778" i="13" s="1"/>
  <c r="S779" i="13" s="1"/>
  <c r="S780" i="13" s="1"/>
  <c r="S781" i="13" s="1"/>
  <c r="S782" i="13" s="1"/>
  <c r="S783" i="13" s="1"/>
  <c r="S784" i="13" s="1"/>
  <c r="S785" i="13" s="1"/>
  <c r="S786" i="13" s="1"/>
  <c r="S787" i="13" s="1"/>
  <c r="S788" i="13" s="1"/>
  <c r="S789" i="13" s="1"/>
  <c r="S790" i="13" s="1"/>
  <c r="S791" i="13" s="1"/>
  <c r="S792" i="13" s="1"/>
  <c r="S793" i="13" s="1"/>
  <c r="S794" i="13" s="1"/>
  <c r="S795" i="13" s="1"/>
  <c r="S796" i="13" s="1"/>
  <c r="S797" i="13" s="1"/>
  <c r="S798" i="13" s="1"/>
  <c r="S799" i="13" s="1"/>
  <c r="S800" i="13" s="1"/>
  <c r="S801" i="13" s="1"/>
  <c r="S802" i="13" s="1"/>
  <c r="S803" i="13" s="1"/>
  <c r="S804" i="13" s="1"/>
  <c r="S805" i="13" s="1"/>
  <c r="S806" i="13" s="1"/>
  <c r="S807" i="13" s="1"/>
  <c r="S808" i="13" s="1"/>
  <c r="S809" i="13" s="1"/>
  <c r="S810" i="13" s="1"/>
  <c r="S811" i="13" s="1"/>
  <c r="S812" i="13" s="1"/>
  <c r="S813" i="13" s="1"/>
  <c r="S814" i="13" s="1"/>
  <c r="S815" i="13" s="1"/>
  <c r="S816" i="13" s="1"/>
  <c r="S817" i="13" s="1"/>
  <c r="S818" i="13" s="1"/>
  <c r="S819" i="13" s="1"/>
  <c r="S820" i="13" s="1"/>
  <c r="S821" i="13" s="1"/>
  <c r="S822" i="13" s="1"/>
  <c r="S823" i="13" s="1"/>
  <c r="S824" i="13" s="1"/>
  <c r="S825" i="13" s="1"/>
  <c r="S826" i="13" s="1"/>
  <c r="S827" i="13" s="1"/>
  <c r="S828" i="13" s="1"/>
  <c r="S829" i="13" s="1"/>
  <c r="S830" i="13" s="1"/>
  <c r="S831" i="13" s="1"/>
  <c r="S832" i="13" s="1"/>
  <c r="S833" i="13" s="1"/>
  <c r="S834" i="13" s="1"/>
  <c r="S835" i="13" s="1"/>
  <c r="S836" i="13" s="1"/>
  <c r="S837" i="13" s="1"/>
  <c r="S838" i="13" s="1"/>
  <c r="S839" i="13" s="1"/>
  <c r="S840" i="13" s="1"/>
  <c r="S841" i="13" s="1"/>
  <c r="S842" i="13" s="1"/>
  <c r="S843" i="13" s="1"/>
  <c r="S844" i="13" s="1"/>
  <c r="S845" i="13" s="1"/>
  <c r="S846" i="13" s="1"/>
  <c r="S847" i="13" s="1"/>
  <c r="S848" i="13" s="1"/>
  <c r="S849" i="13" s="1"/>
  <c r="S850" i="13" s="1"/>
  <c r="S851" i="13" s="1"/>
  <c r="S852" i="13" s="1"/>
  <c r="S853" i="13" s="1"/>
  <c r="S854" i="13" s="1"/>
  <c r="S855" i="13" s="1"/>
  <c r="S856" i="13" s="1"/>
  <c r="S857" i="13" s="1"/>
  <c r="S858" i="13" s="1"/>
  <c r="S859" i="13" s="1"/>
  <c r="S860" i="13" s="1"/>
  <c r="S861" i="13" s="1"/>
  <c r="S862" i="13" s="1"/>
  <c r="S863" i="13" s="1"/>
  <c r="S864" i="13" s="1"/>
  <c r="S865" i="13" s="1"/>
  <c r="S866" i="13" s="1"/>
  <c r="S867" i="13" s="1"/>
  <c r="S868" i="13" s="1"/>
  <c r="S869" i="13" s="1"/>
  <c r="S870" i="13" s="1"/>
  <c r="S871" i="13" s="1"/>
  <c r="S872" i="13" s="1"/>
  <c r="S873" i="13" s="1"/>
  <c r="S874" i="13" s="1"/>
  <c r="S875" i="13" s="1"/>
  <c r="S876" i="13" s="1"/>
  <c r="S877" i="13" s="1"/>
  <c r="S878" i="13" s="1"/>
  <c r="S879" i="13" s="1"/>
  <c r="S880" i="13" s="1"/>
  <c r="S881" i="13" s="1"/>
  <c r="S882" i="13" s="1"/>
  <c r="S883" i="13" s="1"/>
  <c r="S884" i="13" s="1"/>
  <c r="S885" i="13" s="1"/>
  <c r="S886" i="13" s="1"/>
  <c r="S887" i="13" s="1"/>
  <c r="S888" i="13" s="1"/>
  <c r="S889" i="13" s="1"/>
  <c r="S890" i="13" s="1"/>
  <c r="S891" i="13" s="1"/>
  <c r="S892" i="13" s="1"/>
  <c r="S893" i="13" s="1"/>
  <c r="S894" i="13" s="1"/>
  <c r="S895" i="13" s="1"/>
  <c r="S896" i="13" s="1"/>
  <c r="S897" i="13" s="1"/>
  <c r="S898" i="13" s="1"/>
  <c r="S899" i="13" s="1"/>
  <c r="S900" i="13" s="1"/>
  <c r="S901" i="13" s="1"/>
  <c r="S902" i="13" s="1"/>
  <c r="S903" i="13" s="1"/>
  <c r="S904" i="13" s="1"/>
  <c r="S905" i="13" s="1"/>
  <c r="S906" i="13" s="1"/>
  <c r="S907" i="13" s="1"/>
  <c r="S908" i="13" s="1"/>
  <c r="S909" i="13" s="1"/>
  <c r="S910" i="13" s="1"/>
  <c r="S911" i="13" s="1"/>
  <c r="S912" i="13" s="1"/>
  <c r="S913" i="13" s="1"/>
  <c r="S914" i="13" s="1"/>
  <c r="S915" i="13" s="1"/>
  <c r="S916" i="13" s="1"/>
  <c r="S917" i="13" s="1"/>
  <c r="S918" i="13" s="1"/>
  <c r="S919" i="13" s="1"/>
  <c r="S920" i="13" s="1"/>
  <c r="S921" i="13" s="1"/>
  <c r="S922" i="13" s="1"/>
  <c r="S923" i="13" s="1"/>
  <c r="S924" i="13" s="1"/>
  <c r="S925" i="13" s="1"/>
  <c r="S926" i="13" s="1"/>
  <c r="S927" i="13" s="1"/>
  <c r="S928" i="13" s="1"/>
  <c r="S929" i="13" s="1"/>
  <c r="S930" i="13" s="1"/>
  <c r="S931" i="13" s="1"/>
  <c r="S932" i="13" s="1"/>
  <c r="S933" i="13" s="1"/>
  <c r="S934" i="13" s="1"/>
  <c r="S935" i="13" s="1"/>
  <c r="S936" i="13" s="1"/>
  <c r="S937" i="13" s="1"/>
  <c r="S938" i="13" s="1"/>
  <c r="S939" i="13" s="1"/>
  <c r="S940" i="13" s="1"/>
  <c r="S941" i="13" s="1"/>
  <c r="S942" i="13" s="1"/>
  <c r="S943" i="13" s="1"/>
  <c r="S944" i="13" s="1"/>
  <c r="S945" i="13" s="1"/>
  <c r="S946" i="13" s="1"/>
  <c r="S947" i="13" s="1"/>
  <c r="S948" i="13" s="1"/>
  <c r="S949" i="13" s="1"/>
  <c r="S950" i="13" s="1"/>
  <c r="S951" i="13" s="1"/>
  <c r="S952" i="13" s="1"/>
  <c r="S953" i="13" s="1"/>
  <c r="S954" i="13" s="1"/>
  <c r="S955" i="13" s="1"/>
  <c r="S956" i="13" s="1"/>
  <c r="S957" i="13" s="1"/>
  <c r="S958" i="13" s="1"/>
  <c r="S959" i="13" s="1"/>
  <c r="S960" i="13" s="1"/>
  <c r="S961" i="13" s="1"/>
  <c r="S962" i="13" s="1"/>
  <c r="S963" i="13" s="1"/>
  <c r="S964" i="13" s="1"/>
  <c r="S965" i="13" s="1"/>
  <c r="S966" i="13" s="1"/>
  <c r="S967" i="13" s="1"/>
  <c r="S968" i="13" s="1"/>
  <c r="S969" i="13" s="1"/>
  <c r="S970" i="13" s="1"/>
  <c r="S971" i="13" s="1"/>
  <c r="S972" i="13" s="1"/>
  <c r="S973" i="13" s="1"/>
  <c r="S974" i="13" s="1"/>
  <c r="S975" i="13" s="1"/>
  <c r="S976" i="13" s="1"/>
  <c r="S977" i="13" s="1"/>
  <c r="S978" i="13" s="1"/>
  <c r="S979" i="13" s="1"/>
  <c r="S980" i="13" s="1"/>
  <c r="S981" i="13" s="1"/>
  <c r="S982" i="13" s="1"/>
  <c r="S983" i="13" s="1"/>
  <c r="S984" i="13" s="1"/>
  <c r="S985" i="13" s="1"/>
  <c r="S986" i="13" s="1"/>
  <c r="S987" i="13" s="1"/>
  <c r="S988" i="13" s="1"/>
  <c r="S989" i="13" s="1"/>
  <c r="S990" i="13" s="1"/>
  <c r="S991" i="13" s="1"/>
  <c r="S992" i="13" s="1"/>
  <c r="S993" i="13" s="1"/>
  <c r="S994" i="13" s="1"/>
  <c r="S995" i="13" s="1"/>
  <c r="S996" i="13" s="1"/>
  <c r="S997" i="13" s="1"/>
  <c r="S998" i="13" s="1"/>
  <c r="S999" i="13" s="1"/>
  <c r="S1000" i="13" s="1"/>
  <c r="S1001" i="13" s="1"/>
  <c r="S1002" i="13" s="1"/>
  <c r="S1003" i="13" s="1"/>
  <c r="S1004" i="13" s="1"/>
  <c r="S1005" i="13" s="1"/>
  <c r="S1006" i="13" s="1"/>
  <c r="S1007" i="13" s="1"/>
  <c r="S1008" i="13" s="1"/>
  <c r="S1009" i="13" s="1"/>
  <c r="S1010" i="13" s="1"/>
  <c r="S1011" i="13" s="1"/>
  <c r="S1012" i="13" s="1"/>
  <c r="S1013" i="13" s="1"/>
  <c r="S1014" i="13" s="1"/>
  <c r="S1015" i="13" s="1"/>
  <c r="S1016" i="13" s="1"/>
  <c r="S1017" i="13" s="1"/>
  <c r="S1018" i="13" s="1"/>
  <c r="S1019" i="13" s="1"/>
  <c r="S1020" i="13" s="1"/>
  <c r="S1021" i="13" s="1"/>
  <c r="S1022" i="13" s="1"/>
  <c r="S1023" i="13" s="1"/>
  <c r="S1024" i="13" s="1"/>
  <c r="S1025" i="13" s="1"/>
  <c r="S1026" i="13" s="1"/>
  <c r="S1027" i="13" s="1"/>
  <c r="S1028" i="13" s="1"/>
  <c r="S1029" i="13" s="1"/>
  <c r="S1030" i="13" s="1"/>
  <c r="S1031" i="13" s="1"/>
  <c r="S1032" i="13" s="1"/>
  <c r="S18" i="13"/>
  <c r="S17" i="13"/>
  <c r="S17" i="12"/>
  <c r="S18" i="12" s="1"/>
  <c r="S19" i="12" s="1"/>
  <c r="S20" i="12" s="1"/>
  <c r="S21" i="12" s="1"/>
  <c r="S22" i="12" s="1"/>
  <c r="S23" i="12" s="1"/>
  <c r="S24" i="12" s="1"/>
  <c r="S25" i="12" s="1"/>
  <c r="S26" i="12" s="1"/>
  <c r="S27" i="12" s="1"/>
  <c r="S28" i="12" s="1"/>
  <c r="S29" i="12" s="1"/>
  <c r="S30" i="12" s="1"/>
  <c r="S31" i="12" s="1"/>
  <c r="S32" i="12" s="1"/>
  <c r="S33" i="12" s="1"/>
  <c r="S34" i="12" s="1"/>
  <c r="S35" i="12" s="1"/>
  <c r="S36" i="12" s="1"/>
  <c r="S37" i="12" s="1"/>
  <c r="S38" i="12" s="1"/>
  <c r="S39" i="12" s="1"/>
  <c r="S40" i="12" s="1"/>
  <c r="S41" i="12" s="1"/>
  <c r="S42" i="12" s="1"/>
  <c r="S43" i="12" s="1"/>
  <c r="S44" i="12" s="1"/>
  <c r="S45" i="12" s="1"/>
  <c r="S46" i="12" s="1"/>
  <c r="S47" i="12" s="1"/>
  <c r="S48" i="12" s="1"/>
  <c r="S49" i="12" s="1"/>
  <c r="S50" i="12" s="1"/>
  <c r="S51" i="12" s="1"/>
  <c r="S52" i="12" s="1"/>
  <c r="S53" i="12" s="1"/>
  <c r="S54" i="12" s="1"/>
  <c r="S55" i="12" s="1"/>
  <c r="S56" i="12" s="1"/>
  <c r="S57" i="12" s="1"/>
  <c r="S58" i="12" s="1"/>
  <c r="S59" i="12" s="1"/>
  <c r="S60" i="12" s="1"/>
  <c r="S61" i="12" s="1"/>
  <c r="S62" i="12" s="1"/>
  <c r="S63" i="12" s="1"/>
  <c r="S64" i="12" s="1"/>
  <c r="S65" i="12" s="1"/>
  <c r="S66" i="12" s="1"/>
  <c r="S67" i="12" s="1"/>
  <c r="S68" i="12" s="1"/>
  <c r="S69" i="12" s="1"/>
  <c r="S70" i="12" s="1"/>
  <c r="S71" i="12" s="1"/>
  <c r="S72" i="12" s="1"/>
  <c r="S73" i="12" s="1"/>
  <c r="S74" i="12" s="1"/>
  <c r="S75" i="12" s="1"/>
  <c r="S76" i="12" s="1"/>
  <c r="S77" i="12" s="1"/>
  <c r="S78" i="12" s="1"/>
  <c r="S79" i="12" s="1"/>
  <c r="S80" i="12" s="1"/>
  <c r="S81" i="12" s="1"/>
  <c r="S82" i="12" s="1"/>
  <c r="S83" i="12" s="1"/>
  <c r="S84" i="12" s="1"/>
  <c r="S85" i="12" s="1"/>
  <c r="S86" i="12" s="1"/>
  <c r="S87" i="12" s="1"/>
  <c r="S88" i="12" s="1"/>
  <c r="S89" i="12" s="1"/>
  <c r="S90" i="12" s="1"/>
  <c r="S91" i="12" s="1"/>
  <c r="S92" i="12" s="1"/>
  <c r="S93" i="12" s="1"/>
  <c r="S94" i="12" s="1"/>
  <c r="S95" i="12" s="1"/>
  <c r="S96" i="12" s="1"/>
  <c r="S97" i="12" s="1"/>
  <c r="S98" i="12" s="1"/>
  <c r="S99" i="12" s="1"/>
  <c r="S100" i="12" s="1"/>
  <c r="S101" i="12" s="1"/>
  <c r="S102" i="12" s="1"/>
  <c r="S103" i="12" s="1"/>
  <c r="S104" i="12" s="1"/>
  <c r="S105" i="12" s="1"/>
  <c r="S106" i="12" s="1"/>
  <c r="S107" i="12" s="1"/>
  <c r="S108" i="12" s="1"/>
  <c r="S109" i="12" s="1"/>
  <c r="S110" i="12" s="1"/>
  <c r="S111" i="12" s="1"/>
  <c r="S112" i="12" s="1"/>
  <c r="S113" i="12" s="1"/>
  <c r="S114" i="12" s="1"/>
  <c r="S115" i="12" s="1"/>
  <c r="S116" i="12" s="1"/>
  <c r="S117" i="12" s="1"/>
  <c r="S118" i="12" s="1"/>
  <c r="S119" i="12" s="1"/>
  <c r="S120" i="12" s="1"/>
  <c r="S121" i="12" s="1"/>
  <c r="S122" i="12" s="1"/>
  <c r="S123" i="12" s="1"/>
  <c r="S124" i="12" s="1"/>
  <c r="S125" i="12" s="1"/>
  <c r="S126" i="12" s="1"/>
  <c r="S127" i="12" s="1"/>
  <c r="S128" i="12" s="1"/>
  <c r="S129" i="12" s="1"/>
  <c r="S130" i="12" s="1"/>
  <c r="S131" i="12" s="1"/>
  <c r="S132" i="12" s="1"/>
  <c r="S133" i="12" s="1"/>
  <c r="S134" i="12" s="1"/>
  <c r="S135" i="12" s="1"/>
  <c r="S136" i="12" s="1"/>
  <c r="S137" i="12" s="1"/>
  <c r="S138" i="12" s="1"/>
  <c r="S139" i="12" s="1"/>
  <c r="S140" i="12" s="1"/>
  <c r="S141" i="12" s="1"/>
  <c r="S142" i="12" s="1"/>
  <c r="S143" i="12" s="1"/>
  <c r="S144" i="12" s="1"/>
  <c r="S145" i="12" s="1"/>
  <c r="S146" i="12" s="1"/>
  <c r="S147" i="12" s="1"/>
  <c r="S148" i="12" s="1"/>
  <c r="S149" i="12" s="1"/>
  <c r="S150" i="12" s="1"/>
  <c r="S151" i="12" s="1"/>
  <c r="S152" i="12" s="1"/>
  <c r="S153" i="12" s="1"/>
  <c r="S154" i="12" s="1"/>
  <c r="S155" i="12" s="1"/>
  <c r="S156" i="12" s="1"/>
  <c r="S157" i="12" s="1"/>
  <c r="S158" i="12" s="1"/>
  <c r="S159" i="12" s="1"/>
  <c r="S160" i="12" s="1"/>
  <c r="S161" i="12" s="1"/>
  <c r="S162" i="12" s="1"/>
  <c r="S163" i="12" s="1"/>
  <c r="S164" i="12" s="1"/>
  <c r="S165" i="12" s="1"/>
  <c r="S166" i="12" s="1"/>
  <c r="S167" i="12" s="1"/>
  <c r="S168" i="12" s="1"/>
  <c r="S169" i="12" s="1"/>
  <c r="S170" i="12" s="1"/>
  <c r="S171" i="12" s="1"/>
  <c r="S172" i="12" s="1"/>
  <c r="S173" i="12" s="1"/>
  <c r="S174" i="12" s="1"/>
  <c r="S175" i="12" s="1"/>
  <c r="S176" i="12" s="1"/>
  <c r="S177" i="12" s="1"/>
  <c r="S178" i="12" s="1"/>
  <c r="S179" i="12" s="1"/>
  <c r="S180" i="12" s="1"/>
  <c r="S181" i="12" s="1"/>
  <c r="S182" i="12" s="1"/>
  <c r="S183" i="12" s="1"/>
  <c r="S184" i="12" s="1"/>
  <c r="S185" i="12" s="1"/>
  <c r="S186" i="12" s="1"/>
  <c r="S187" i="12" s="1"/>
  <c r="S188" i="12" s="1"/>
  <c r="S189" i="12" s="1"/>
  <c r="S190" i="12" s="1"/>
  <c r="S191" i="12" s="1"/>
  <c r="S192" i="12" s="1"/>
  <c r="S193" i="12" s="1"/>
  <c r="S194" i="12" s="1"/>
  <c r="S195" i="12" s="1"/>
  <c r="S196" i="12" s="1"/>
  <c r="S197" i="12" s="1"/>
  <c r="S198" i="12" s="1"/>
  <c r="S199" i="12" s="1"/>
  <c r="S200" i="12" s="1"/>
  <c r="S201" i="12" s="1"/>
  <c r="S202" i="12" s="1"/>
  <c r="S203" i="12" s="1"/>
  <c r="S204" i="12" s="1"/>
  <c r="S205" i="12" s="1"/>
  <c r="S206" i="12" s="1"/>
  <c r="S207" i="12" s="1"/>
  <c r="S208" i="12" s="1"/>
  <c r="S209" i="12" s="1"/>
  <c r="S210" i="12" s="1"/>
  <c r="S211" i="12" s="1"/>
  <c r="S212" i="12" s="1"/>
  <c r="S213" i="12" s="1"/>
  <c r="S214" i="12" s="1"/>
  <c r="S215" i="12" s="1"/>
  <c r="S216" i="12" s="1"/>
  <c r="S217" i="12" s="1"/>
  <c r="S218" i="12" s="1"/>
  <c r="S219" i="12" s="1"/>
  <c r="S220" i="12" s="1"/>
  <c r="S221" i="12" s="1"/>
  <c r="S222" i="12" s="1"/>
  <c r="S223" i="12" s="1"/>
  <c r="S224" i="12" s="1"/>
  <c r="S225" i="12" s="1"/>
  <c r="S226" i="12" s="1"/>
  <c r="S227" i="12" s="1"/>
  <c r="S228" i="12" s="1"/>
  <c r="S229" i="12" s="1"/>
  <c r="S230" i="12" s="1"/>
  <c r="S231" i="12" s="1"/>
  <c r="S232" i="12" s="1"/>
  <c r="S233" i="12" s="1"/>
  <c r="S234" i="12" s="1"/>
  <c r="S235" i="12" s="1"/>
  <c r="S236" i="12" s="1"/>
  <c r="S237" i="12" s="1"/>
  <c r="S238" i="12" s="1"/>
  <c r="S239" i="12" s="1"/>
  <c r="S240" i="12" s="1"/>
  <c r="S241" i="12" s="1"/>
  <c r="S242" i="12" s="1"/>
  <c r="S243" i="12" s="1"/>
  <c r="S244" i="12" s="1"/>
  <c r="S245" i="12" s="1"/>
  <c r="S246" i="12" s="1"/>
  <c r="S247" i="12" s="1"/>
  <c r="S248" i="12" s="1"/>
  <c r="S249" i="12" s="1"/>
  <c r="S250" i="12" s="1"/>
  <c r="S251" i="12" s="1"/>
  <c r="S252" i="12" s="1"/>
  <c r="S253" i="12" s="1"/>
  <c r="S254" i="12" s="1"/>
  <c r="S255" i="12" s="1"/>
  <c r="S256" i="12" s="1"/>
  <c r="S257" i="12" s="1"/>
  <c r="S258" i="12" s="1"/>
  <c r="S259" i="12" s="1"/>
  <c r="S260" i="12" s="1"/>
  <c r="S261" i="12" s="1"/>
  <c r="S262" i="12" s="1"/>
  <c r="S263" i="12" s="1"/>
  <c r="S264" i="12" s="1"/>
  <c r="S265" i="12" s="1"/>
  <c r="S266" i="12" s="1"/>
  <c r="S267" i="12" s="1"/>
  <c r="S268" i="12" s="1"/>
  <c r="S269" i="12" s="1"/>
  <c r="S270" i="12" s="1"/>
  <c r="S271" i="12" s="1"/>
  <c r="S272" i="12" s="1"/>
  <c r="S273" i="12" s="1"/>
  <c r="S274" i="12" s="1"/>
  <c r="S275" i="12" s="1"/>
  <c r="S276" i="12" s="1"/>
  <c r="S277" i="12" s="1"/>
  <c r="S278" i="12" s="1"/>
  <c r="S279" i="12" s="1"/>
  <c r="S280" i="12" s="1"/>
  <c r="S281" i="12" s="1"/>
  <c r="S282" i="12" s="1"/>
  <c r="S283" i="12" s="1"/>
  <c r="S284" i="12" s="1"/>
  <c r="S285" i="12" s="1"/>
  <c r="S286" i="12" s="1"/>
  <c r="S287" i="12" s="1"/>
  <c r="S288" i="12" s="1"/>
  <c r="S289" i="12" s="1"/>
  <c r="S290" i="12" s="1"/>
  <c r="S291" i="12" s="1"/>
  <c r="S292" i="12" s="1"/>
  <c r="S293" i="12" s="1"/>
  <c r="S294" i="12" s="1"/>
  <c r="S295" i="12" s="1"/>
  <c r="S296" i="12" s="1"/>
  <c r="S297" i="12" s="1"/>
  <c r="S298" i="12" s="1"/>
  <c r="S299" i="12" s="1"/>
  <c r="S300" i="12" s="1"/>
  <c r="S301" i="12" s="1"/>
  <c r="S302" i="12" s="1"/>
  <c r="S303" i="12" s="1"/>
  <c r="S304" i="12" s="1"/>
  <c r="S305" i="12" s="1"/>
  <c r="S306" i="12" s="1"/>
  <c r="S307" i="12" s="1"/>
  <c r="S308" i="12" s="1"/>
  <c r="S309" i="12" s="1"/>
  <c r="S310" i="12" s="1"/>
  <c r="S311" i="12" s="1"/>
  <c r="S312" i="12" s="1"/>
  <c r="S313" i="12" s="1"/>
  <c r="S314" i="12" s="1"/>
  <c r="S315" i="12" s="1"/>
  <c r="S316" i="12" s="1"/>
  <c r="S317" i="12" s="1"/>
  <c r="S318" i="12" s="1"/>
  <c r="S319" i="12" s="1"/>
  <c r="S320" i="12" s="1"/>
  <c r="S321" i="12" s="1"/>
  <c r="S322" i="12" s="1"/>
  <c r="S323" i="12" s="1"/>
  <c r="S324" i="12" s="1"/>
  <c r="S325" i="12" s="1"/>
  <c r="S326" i="12" s="1"/>
  <c r="S327" i="12" s="1"/>
  <c r="S328" i="12" s="1"/>
  <c r="S329" i="12" s="1"/>
  <c r="S330" i="12" s="1"/>
  <c r="S331" i="12" s="1"/>
  <c r="S332" i="12" s="1"/>
  <c r="S333" i="12" s="1"/>
  <c r="S334" i="12" s="1"/>
  <c r="S335" i="12" s="1"/>
  <c r="S336" i="12" s="1"/>
  <c r="S337" i="12" s="1"/>
  <c r="S338" i="12" s="1"/>
  <c r="S339" i="12" s="1"/>
  <c r="S340" i="12" s="1"/>
  <c r="S341" i="12" s="1"/>
  <c r="S342" i="12" s="1"/>
  <c r="S343" i="12" s="1"/>
  <c r="S344" i="12" s="1"/>
  <c r="S345" i="12" s="1"/>
  <c r="S346" i="12" s="1"/>
  <c r="S347" i="12" s="1"/>
  <c r="S348" i="12" s="1"/>
  <c r="S349" i="12" s="1"/>
  <c r="S350" i="12" s="1"/>
  <c r="S351" i="12" s="1"/>
  <c r="S352" i="12" s="1"/>
  <c r="S353" i="12" s="1"/>
  <c r="S354" i="12" s="1"/>
  <c r="S355" i="12" s="1"/>
  <c r="S356" i="12" s="1"/>
  <c r="S357" i="12" s="1"/>
  <c r="S358" i="12" s="1"/>
  <c r="S359" i="12" s="1"/>
  <c r="S360" i="12" s="1"/>
  <c r="S361" i="12" s="1"/>
  <c r="S362" i="12" s="1"/>
  <c r="S363" i="12" s="1"/>
  <c r="S364" i="12" s="1"/>
  <c r="S365" i="12" s="1"/>
  <c r="S366" i="12" s="1"/>
  <c r="S367" i="12" s="1"/>
  <c r="S368" i="12" s="1"/>
  <c r="S369" i="12" s="1"/>
  <c r="S370" i="12" s="1"/>
  <c r="S371" i="12" s="1"/>
  <c r="S372" i="12" s="1"/>
  <c r="S373" i="12" s="1"/>
  <c r="S374" i="12" s="1"/>
  <c r="S375" i="12" s="1"/>
  <c r="S376" i="12" s="1"/>
  <c r="S377" i="12" s="1"/>
  <c r="S378" i="12" s="1"/>
  <c r="S379" i="12" s="1"/>
  <c r="S380" i="12" s="1"/>
  <c r="S381" i="12" s="1"/>
  <c r="S382" i="12" s="1"/>
  <c r="S383" i="12" s="1"/>
  <c r="S384" i="12" s="1"/>
  <c r="S385" i="12" s="1"/>
  <c r="S386" i="12" s="1"/>
  <c r="S387" i="12" s="1"/>
  <c r="S388" i="12" s="1"/>
  <c r="S389" i="12" s="1"/>
  <c r="S390" i="12" s="1"/>
  <c r="S391" i="12" s="1"/>
  <c r="S392" i="12" s="1"/>
  <c r="S393" i="12" s="1"/>
  <c r="S394" i="12" s="1"/>
  <c r="S395" i="12" s="1"/>
  <c r="S396" i="12" s="1"/>
  <c r="S397" i="12" s="1"/>
  <c r="S398" i="12" s="1"/>
  <c r="S399" i="12" s="1"/>
  <c r="S400" i="12" s="1"/>
  <c r="S401" i="12" s="1"/>
  <c r="S402" i="12" s="1"/>
  <c r="S403" i="12" s="1"/>
  <c r="S404" i="12" s="1"/>
  <c r="S405" i="12" s="1"/>
  <c r="S406" i="12" s="1"/>
  <c r="S407" i="12" s="1"/>
  <c r="S408" i="12" s="1"/>
  <c r="S409" i="12" s="1"/>
  <c r="S410" i="12" s="1"/>
  <c r="S411" i="12" s="1"/>
  <c r="S412" i="12" s="1"/>
  <c r="S413" i="12" s="1"/>
  <c r="S414" i="12" s="1"/>
  <c r="S415" i="12" s="1"/>
  <c r="S416" i="12" s="1"/>
  <c r="S417" i="12" s="1"/>
  <c r="S418" i="12" s="1"/>
  <c r="S419" i="12" s="1"/>
  <c r="S420" i="12" s="1"/>
  <c r="S421" i="12" s="1"/>
  <c r="S422" i="12" s="1"/>
  <c r="S423" i="12" s="1"/>
  <c r="S424" i="12" s="1"/>
  <c r="S425" i="12" s="1"/>
  <c r="S426" i="12" s="1"/>
  <c r="S427" i="12" s="1"/>
  <c r="S428" i="12" s="1"/>
  <c r="S429" i="12" s="1"/>
  <c r="S430" i="12" s="1"/>
  <c r="S431" i="12" s="1"/>
  <c r="S432" i="12" s="1"/>
  <c r="S433" i="12" s="1"/>
  <c r="S434" i="12" s="1"/>
  <c r="S435" i="12" s="1"/>
  <c r="S436" i="12" s="1"/>
  <c r="S437" i="12" s="1"/>
  <c r="S438" i="12" s="1"/>
  <c r="S439" i="12" s="1"/>
  <c r="S440" i="12" s="1"/>
  <c r="S441" i="12" s="1"/>
  <c r="S442" i="12" s="1"/>
  <c r="S443" i="12" s="1"/>
  <c r="S444" i="12" s="1"/>
  <c r="S445" i="12" s="1"/>
  <c r="S446" i="12" s="1"/>
  <c r="S447" i="12" s="1"/>
  <c r="S448" i="12" s="1"/>
  <c r="S449" i="12" s="1"/>
  <c r="S450" i="12" s="1"/>
  <c r="S451" i="12" s="1"/>
  <c r="S452" i="12" s="1"/>
  <c r="S453" i="12" s="1"/>
  <c r="S454" i="12" s="1"/>
  <c r="S455" i="12" s="1"/>
  <c r="S456" i="12" s="1"/>
  <c r="S457" i="12" s="1"/>
  <c r="S458" i="12" s="1"/>
  <c r="S459" i="12" s="1"/>
  <c r="S460" i="12" s="1"/>
  <c r="S461" i="12" s="1"/>
  <c r="S462" i="12" s="1"/>
  <c r="S463" i="12" s="1"/>
  <c r="S464" i="12" s="1"/>
  <c r="S465" i="12" s="1"/>
  <c r="S466" i="12" s="1"/>
  <c r="S467" i="12" s="1"/>
  <c r="S468" i="12" s="1"/>
  <c r="S469" i="12" s="1"/>
  <c r="S470" i="12" s="1"/>
  <c r="S471" i="12" s="1"/>
  <c r="S472" i="12" s="1"/>
  <c r="S473" i="12" s="1"/>
  <c r="S474" i="12" s="1"/>
  <c r="S475" i="12" s="1"/>
  <c r="S476" i="12" s="1"/>
  <c r="S477" i="12" s="1"/>
  <c r="S478" i="12" s="1"/>
  <c r="S479" i="12" s="1"/>
  <c r="S480" i="12" s="1"/>
  <c r="S481" i="12" s="1"/>
  <c r="S482" i="12" s="1"/>
  <c r="S483" i="12" s="1"/>
  <c r="S484" i="12" s="1"/>
  <c r="S485" i="12" s="1"/>
  <c r="S486" i="12" s="1"/>
  <c r="S487" i="12" s="1"/>
  <c r="S488" i="12" s="1"/>
  <c r="S489" i="12" s="1"/>
  <c r="S490" i="12" s="1"/>
  <c r="S491" i="12" s="1"/>
  <c r="S492" i="12" s="1"/>
  <c r="S493" i="12" s="1"/>
  <c r="S494" i="12" s="1"/>
  <c r="S495" i="12" s="1"/>
  <c r="S496" i="12" s="1"/>
  <c r="S497" i="12" s="1"/>
  <c r="S498" i="12" s="1"/>
  <c r="S499" i="12" s="1"/>
  <c r="S500" i="12" s="1"/>
  <c r="S501" i="12" s="1"/>
  <c r="S502" i="12" s="1"/>
  <c r="S503" i="12" s="1"/>
  <c r="S504" i="12" s="1"/>
  <c r="S505" i="12" s="1"/>
  <c r="S506" i="12" s="1"/>
  <c r="S507" i="12" s="1"/>
  <c r="S508" i="12" s="1"/>
  <c r="S509" i="12" s="1"/>
  <c r="S510" i="12" s="1"/>
  <c r="S511" i="12" s="1"/>
  <c r="S512" i="12" s="1"/>
  <c r="S513" i="12" s="1"/>
  <c r="S514" i="12" s="1"/>
  <c r="S515" i="12" s="1"/>
  <c r="S516" i="12" s="1"/>
  <c r="S517" i="12" s="1"/>
  <c r="S518" i="12" s="1"/>
  <c r="S519" i="12" s="1"/>
  <c r="S520" i="12" s="1"/>
  <c r="S521" i="12" s="1"/>
  <c r="S522" i="12" s="1"/>
  <c r="S523" i="12" s="1"/>
  <c r="S524" i="12" s="1"/>
  <c r="S525" i="12" s="1"/>
  <c r="S526" i="12" s="1"/>
  <c r="S527" i="12" s="1"/>
  <c r="S528" i="12" s="1"/>
  <c r="S529" i="12" s="1"/>
  <c r="S530" i="12" s="1"/>
  <c r="S531" i="12" s="1"/>
  <c r="S532" i="12" s="1"/>
  <c r="S533" i="12" s="1"/>
  <c r="S534" i="12" s="1"/>
  <c r="S535" i="12" s="1"/>
  <c r="S536" i="12" s="1"/>
  <c r="S537" i="12" s="1"/>
  <c r="S538" i="12" s="1"/>
  <c r="S539" i="12" s="1"/>
  <c r="S540" i="12" s="1"/>
  <c r="S541" i="12" s="1"/>
  <c r="S542" i="12" s="1"/>
  <c r="S543" i="12" s="1"/>
  <c r="S544" i="12" s="1"/>
  <c r="S545" i="12" s="1"/>
  <c r="S546" i="12" s="1"/>
  <c r="S547" i="12" s="1"/>
  <c r="S548" i="12" s="1"/>
  <c r="S549" i="12" s="1"/>
  <c r="S550" i="12" s="1"/>
  <c r="S551" i="12" s="1"/>
  <c r="S552" i="12" s="1"/>
  <c r="S553" i="12" s="1"/>
  <c r="S554" i="12" s="1"/>
  <c r="S555" i="12" s="1"/>
  <c r="S556" i="12" s="1"/>
  <c r="S557" i="12" s="1"/>
  <c r="S558" i="12" s="1"/>
  <c r="S559" i="12" s="1"/>
  <c r="S560" i="12" s="1"/>
  <c r="S561" i="12" s="1"/>
  <c r="S562" i="12" s="1"/>
  <c r="S563" i="12" s="1"/>
  <c r="S564" i="12" s="1"/>
  <c r="S565" i="12" s="1"/>
  <c r="S566" i="12" s="1"/>
  <c r="S567" i="12" s="1"/>
  <c r="S568" i="12" s="1"/>
  <c r="S569" i="12" s="1"/>
  <c r="S570" i="12" s="1"/>
  <c r="S571" i="12" s="1"/>
  <c r="S572" i="12" s="1"/>
  <c r="S573" i="12" s="1"/>
  <c r="S574" i="12" s="1"/>
  <c r="S575" i="12" s="1"/>
  <c r="S576" i="12" s="1"/>
  <c r="S577" i="12" s="1"/>
  <c r="S578" i="12" s="1"/>
  <c r="S579" i="12" s="1"/>
  <c r="S580" i="12" s="1"/>
  <c r="S581" i="12" s="1"/>
  <c r="S582" i="12" s="1"/>
  <c r="S583" i="12" s="1"/>
  <c r="S584" i="12" s="1"/>
  <c r="S585" i="12" s="1"/>
  <c r="S586" i="12" s="1"/>
  <c r="S587" i="12" s="1"/>
  <c r="S588" i="12" s="1"/>
  <c r="S589" i="12" s="1"/>
  <c r="S590" i="12" s="1"/>
  <c r="S591" i="12" s="1"/>
  <c r="S592" i="12" s="1"/>
  <c r="S593" i="12" s="1"/>
  <c r="S594" i="12" s="1"/>
  <c r="S595" i="12" s="1"/>
  <c r="S596" i="12" s="1"/>
  <c r="S597" i="12" s="1"/>
  <c r="S598" i="12" s="1"/>
  <c r="S599" i="12" s="1"/>
  <c r="S600" i="12" s="1"/>
  <c r="S601" i="12" s="1"/>
  <c r="S602" i="12" s="1"/>
  <c r="S603" i="12" s="1"/>
  <c r="S604" i="12" s="1"/>
  <c r="S605" i="12" s="1"/>
  <c r="S606" i="12" s="1"/>
  <c r="S607" i="12" s="1"/>
  <c r="S608" i="12" s="1"/>
  <c r="S609" i="12" s="1"/>
  <c r="S610" i="12" s="1"/>
  <c r="S611" i="12" s="1"/>
  <c r="S612" i="12" s="1"/>
  <c r="S613" i="12" s="1"/>
  <c r="S614" i="12" s="1"/>
  <c r="S615" i="12" s="1"/>
  <c r="S616" i="12" s="1"/>
  <c r="S617" i="12" s="1"/>
  <c r="S618" i="12" s="1"/>
  <c r="S619" i="12" s="1"/>
  <c r="S620" i="12" s="1"/>
  <c r="S621" i="12" s="1"/>
  <c r="S622" i="12" s="1"/>
  <c r="S623" i="12" s="1"/>
  <c r="S624" i="12" s="1"/>
  <c r="S625" i="12" s="1"/>
  <c r="S626" i="12" s="1"/>
  <c r="S627" i="12" s="1"/>
  <c r="S628" i="12" s="1"/>
  <c r="S629" i="12" s="1"/>
  <c r="S630" i="12" s="1"/>
  <c r="S631" i="12" s="1"/>
  <c r="S632" i="12" s="1"/>
  <c r="S633" i="12" s="1"/>
  <c r="S634" i="12" s="1"/>
  <c r="S635" i="12" s="1"/>
  <c r="S636" i="12" s="1"/>
  <c r="S637" i="12" s="1"/>
  <c r="S638" i="12" s="1"/>
  <c r="S639" i="12" s="1"/>
  <c r="S640" i="12" s="1"/>
  <c r="S641" i="12" s="1"/>
  <c r="S642" i="12" s="1"/>
  <c r="S643" i="12" s="1"/>
  <c r="S644" i="12" s="1"/>
  <c r="S645" i="12" s="1"/>
  <c r="S646" i="12" s="1"/>
  <c r="S647" i="12" s="1"/>
  <c r="S648" i="12" s="1"/>
  <c r="S649" i="12" s="1"/>
  <c r="S650" i="12" s="1"/>
  <c r="S651" i="12" s="1"/>
  <c r="S652" i="12" s="1"/>
  <c r="S653" i="12" s="1"/>
  <c r="S654" i="12" s="1"/>
  <c r="S655" i="12" s="1"/>
  <c r="S656" i="12" s="1"/>
  <c r="S657" i="12" s="1"/>
  <c r="S658" i="12" s="1"/>
  <c r="S659" i="12" s="1"/>
  <c r="S660" i="12" s="1"/>
  <c r="S661" i="12" s="1"/>
  <c r="S662" i="12" s="1"/>
  <c r="S663" i="12" s="1"/>
  <c r="S664" i="12" s="1"/>
  <c r="S665" i="12" s="1"/>
  <c r="S666" i="12" s="1"/>
  <c r="S667" i="12" s="1"/>
  <c r="S668" i="12" s="1"/>
  <c r="S669" i="12" s="1"/>
  <c r="S670" i="12" s="1"/>
  <c r="S671" i="12" s="1"/>
  <c r="S672" i="12" s="1"/>
  <c r="S673" i="12" s="1"/>
  <c r="S674" i="12" s="1"/>
  <c r="S675" i="12" s="1"/>
  <c r="S676" i="12" s="1"/>
  <c r="S677" i="12" s="1"/>
  <c r="S678" i="12" s="1"/>
  <c r="S679" i="12" s="1"/>
  <c r="S680" i="12" s="1"/>
  <c r="S681" i="12" s="1"/>
  <c r="S682" i="12" s="1"/>
  <c r="S683" i="12" s="1"/>
  <c r="S684" i="12" s="1"/>
  <c r="S685" i="12" s="1"/>
  <c r="S686" i="12" s="1"/>
  <c r="S687" i="12" s="1"/>
  <c r="S688" i="12" s="1"/>
  <c r="S689" i="12" s="1"/>
  <c r="S690" i="12" s="1"/>
  <c r="S691" i="12" s="1"/>
  <c r="S692" i="12" s="1"/>
  <c r="S693" i="12" s="1"/>
  <c r="S694" i="12" s="1"/>
  <c r="S695" i="12" s="1"/>
  <c r="S696" i="12" s="1"/>
  <c r="S697" i="12" s="1"/>
  <c r="S698" i="12" s="1"/>
  <c r="S699" i="12" s="1"/>
  <c r="S700" i="12" s="1"/>
  <c r="S701" i="12" s="1"/>
  <c r="S702" i="12" s="1"/>
  <c r="S703" i="12" s="1"/>
  <c r="S704" i="12" s="1"/>
  <c r="S705" i="12" s="1"/>
  <c r="S706" i="12" s="1"/>
  <c r="S707" i="12" s="1"/>
  <c r="S708" i="12" s="1"/>
  <c r="S709" i="12" s="1"/>
  <c r="S710" i="12" s="1"/>
  <c r="S711" i="12" s="1"/>
  <c r="S712" i="12" s="1"/>
  <c r="S713" i="12" s="1"/>
  <c r="S714" i="12" s="1"/>
  <c r="S715" i="12" s="1"/>
  <c r="S716" i="12" s="1"/>
  <c r="S717" i="12" s="1"/>
  <c r="S718" i="12" s="1"/>
  <c r="S719" i="12" s="1"/>
  <c r="S720" i="12" s="1"/>
  <c r="S721" i="12" s="1"/>
  <c r="S722" i="12" s="1"/>
  <c r="S723" i="12" s="1"/>
  <c r="S724" i="12" s="1"/>
  <c r="S725" i="12" s="1"/>
  <c r="S726" i="12" s="1"/>
  <c r="S727" i="12" s="1"/>
  <c r="S728" i="12" s="1"/>
  <c r="S729" i="12" s="1"/>
  <c r="S730" i="12" s="1"/>
  <c r="S731" i="12" s="1"/>
  <c r="S732" i="12" s="1"/>
  <c r="S733" i="12" s="1"/>
  <c r="S734" i="12" s="1"/>
  <c r="S735" i="12" s="1"/>
  <c r="S736" i="12" s="1"/>
  <c r="S737" i="12" s="1"/>
  <c r="S738" i="12" s="1"/>
  <c r="S739" i="12" s="1"/>
  <c r="S740" i="12" s="1"/>
  <c r="S741" i="12" s="1"/>
  <c r="S742" i="12" s="1"/>
  <c r="S743" i="12" s="1"/>
  <c r="S744" i="12" s="1"/>
  <c r="S745" i="12" s="1"/>
  <c r="S746" i="12" s="1"/>
  <c r="S747" i="12" s="1"/>
  <c r="S748" i="12" s="1"/>
  <c r="S749" i="12" s="1"/>
  <c r="S750" i="12" s="1"/>
  <c r="S751" i="12" s="1"/>
  <c r="S752" i="12" s="1"/>
  <c r="S753" i="12" s="1"/>
  <c r="S754" i="12" s="1"/>
  <c r="S755" i="12" s="1"/>
  <c r="S756" i="12" s="1"/>
  <c r="S757" i="12" s="1"/>
  <c r="S758" i="12" s="1"/>
  <c r="S759" i="12" s="1"/>
  <c r="S760" i="12" s="1"/>
  <c r="S761" i="12" s="1"/>
  <c r="S762" i="12" s="1"/>
  <c r="S763" i="12" s="1"/>
  <c r="S764" i="12" s="1"/>
  <c r="S765" i="12" s="1"/>
  <c r="S766" i="12" s="1"/>
  <c r="S767" i="12" s="1"/>
  <c r="S768" i="12" s="1"/>
  <c r="S769" i="12" s="1"/>
  <c r="S770" i="12" s="1"/>
  <c r="S771" i="12" s="1"/>
  <c r="S772" i="12" s="1"/>
  <c r="S773" i="12" s="1"/>
  <c r="S774" i="12" s="1"/>
  <c r="S775" i="12" s="1"/>
  <c r="S776" i="12" s="1"/>
  <c r="S777" i="12" s="1"/>
  <c r="S778" i="12" s="1"/>
  <c r="S779" i="12" s="1"/>
  <c r="S780" i="12" s="1"/>
  <c r="S781" i="12" s="1"/>
  <c r="S782" i="12" s="1"/>
  <c r="S783" i="12" s="1"/>
  <c r="S784" i="12" s="1"/>
  <c r="S785" i="12" s="1"/>
  <c r="S786" i="12" s="1"/>
  <c r="S787" i="12" s="1"/>
  <c r="S788" i="12" s="1"/>
  <c r="S789" i="12" s="1"/>
  <c r="S790" i="12" s="1"/>
  <c r="S791" i="12" s="1"/>
  <c r="S792" i="12" s="1"/>
  <c r="S793" i="12" s="1"/>
  <c r="S794" i="12" s="1"/>
  <c r="S795" i="12" s="1"/>
  <c r="S796" i="12" s="1"/>
  <c r="S797" i="12" s="1"/>
  <c r="S798" i="12" s="1"/>
  <c r="S799" i="12" s="1"/>
  <c r="S800" i="12" s="1"/>
  <c r="S801" i="12" s="1"/>
  <c r="S802" i="12" s="1"/>
  <c r="S803" i="12" s="1"/>
  <c r="S804" i="12" s="1"/>
  <c r="S805" i="12" s="1"/>
  <c r="S806" i="12" s="1"/>
  <c r="S807" i="12" s="1"/>
  <c r="S808" i="12" s="1"/>
  <c r="S809" i="12" s="1"/>
  <c r="S810" i="12" s="1"/>
  <c r="S811" i="12" s="1"/>
  <c r="S812" i="12" s="1"/>
  <c r="S813" i="12" s="1"/>
  <c r="S814" i="12" s="1"/>
  <c r="S815" i="12" s="1"/>
  <c r="S816" i="12" s="1"/>
  <c r="S817" i="12" s="1"/>
  <c r="S818" i="12" s="1"/>
  <c r="S819" i="12" s="1"/>
  <c r="S820" i="12" s="1"/>
  <c r="S821" i="12" s="1"/>
  <c r="S822" i="12" s="1"/>
  <c r="S823" i="12" s="1"/>
  <c r="S824" i="12" s="1"/>
  <c r="S825" i="12" s="1"/>
  <c r="S826" i="12" s="1"/>
  <c r="S827" i="12" s="1"/>
  <c r="S828" i="12" s="1"/>
  <c r="S829" i="12" s="1"/>
  <c r="S830" i="12" s="1"/>
  <c r="S831" i="12" s="1"/>
  <c r="S832" i="12" s="1"/>
  <c r="S833" i="12" s="1"/>
  <c r="S834" i="12" s="1"/>
  <c r="S835" i="12" s="1"/>
  <c r="S836" i="12" s="1"/>
  <c r="S837" i="12" s="1"/>
  <c r="S838" i="12" s="1"/>
  <c r="S839" i="12" s="1"/>
  <c r="S840" i="12" s="1"/>
  <c r="S841" i="12" s="1"/>
  <c r="S842" i="12" s="1"/>
  <c r="S843" i="12" s="1"/>
  <c r="S844" i="12" s="1"/>
  <c r="S845" i="12" s="1"/>
  <c r="S846" i="12" s="1"/>
  <c r="S847" i="12" s="1"/>
  <c r="S848" i="12" s="1"/>
  <c r="S849" i="12" s="1"/>
  <c r="S850" i="12" s="1"/>
  <c r="S851" i="12" s="1"/>
  <c r="S852" i="12" s="1"/>
  <c r="S853" i="12" s="1"/>
  <c r="S854" i="12" s="1"/>
  <c r="S855" i="12" s="1"/>
  <c r="S856" i="12" s="1"/>
  <c r="S857" i="12" s="1"/>
  <c r="S858" i="12" s="1"/>
  <c r="S859" i="12" s="1"/>
  <c r="S860" i="12" s="1"/>
  <c r="S861" i="12" s="1"/>
  <c r="S862" i="12" s="1"/>
  <c r="S863" i="12" s="1"/>
  <c r="S864" i="12" s="1"/>
  <c r="S865" i="12" s="1"/>
  <c r="S866" i="12" s="1"/>
  <c r="S867" i="12" s="1"/>
  <c r="S868" i="12" s="1"/>
  <c r="S869" i="12" s="1"/>
  <c r="S870" i="12" s="1"/>
  <c r="S871" i="12" s="1"/>
  <c r="S872" i="12" s="1"/>
  <c r="S873" i="12" s="1"/>
  <c r="S874" i="12" s="1"/>
  <c r="S875" i="12" s="1"/>
  <c r="S876" i="12" s="1"/>
  <c r="S877" i="12" s="1"/>
  <c r="S878" i="12" s="1"/>
  <c r="S879" i="12" s="1"/>
  <c r="S880" i="12" s="1"/>
  <c r="S881" i="12" s="1"/>
  <c r="S882" i="12" s="1"/>
  <c r="S883" i="12" s="1"/>
  <c r="S884" i="12" s="1"/>
  <c r="S885" i="12" s="1"/>
  <c r="S886" i="12" s="1"/>
  <c r="S887" i="12" s="1"/>
  <c r="S888" i="12" s="1"/>
  <c r="S889" i="12" s="1"/>
  <c r="S890" i="12" s="1"/>
  <c r="S891" i="12" s="1"/>
  <c r="S892" i="12" s="1"/>
  <c r="S893" i="12" s="1"/>
  <c r="S894" i="12" s="1"/>
  <c r="S895" i="12" s="1"/>
  <c r="S896" i="12" s="1"/>
  <c r="S897" i="12" s="1"/>
  <c r="S898" i="12" s="1"/>
  <c r="S899" i="12" s="1"/>
  <c r="S900" i="12" s="1"/>
  <c r="S901" i="12" s="1"/>
  <c r="S902" i="12" s="1"/>
  <c r="S903" i="12" s="1"/>
  <c r="S904" i="12" s="1"/>
  <c r="S905" i="12" s="1"/>
  <c r="S906" i="12" s="1"/>
  <c r="S907" i="12" s="1"/>
  <c r="S908" i="12" s="1"/>
  <c r="S909" i="12" s="1"/>
  <c r="S910" i="12" s="1"/>
  <c r="S911" i="12" s="1"/>
  <c r="S912" i="12" s="1"/>
  <c r="S913" i="12" s="1"/>
  <c r="S914" i="12" s="1"/>
  <c r="S915" i="12" s="1"/>
  <c r="S916" i="12" s="1"/>
  <c r="S917" i="12" s="1"/>
  <c r="S918" i="12" s="1"/>
  <c r="S919" i="12" s="1"/>
  <c r="S920" i="12" s="1"/>
  <c r="S921" i="12" s="1"/>
  <c r="S922" i="12" s="1"/>
  <c r="S923" i="12" s="1"/>
  <c r="S924" i="12" s="1"/>
  <c r="S925" i="12" s="1"/>
  <c r="S926" i="12" s="1"/>
  <c r="S927" i="12" s="1"/>
  <c r="S928" i="12" s="1"/>
  <c r="S929" i="12" s="1"/>
  <c r="S930" i="12" s="1"/>
  <c r="S931" i="12" s="1"/>
  <c r="S932" i="12" s="1"/>
  <c r="S933" i="12" s="1"/>
  <c r="S934" i="12" s="1"/>
  <c r="S935" i="12" s="1"/>
  <c r="S936" i="12" s="1"/>
  <c r="S937" i="12" s="1"/>
  <c r="S938" i="12" s="1"/>
  <c r="S939" i="12" s="1"/>
  <c r="S940" i="12" s="1"/>
  <c r="S941" i="12" s="1"/>
  <c r="S942" i="12" s="1"/>
  <c r="S943" i="12" s="1"/>
  <c r="S944" i="12" s="1"/>
  <c r="S945" i="12" s="1"/>
  <c r="S946" i="12" s="1"/>
  <c r="S947" i="12" s="1"/>
  <c r="S948" i="12" s="1"/>
  <c r="S949" i="12" s="1"/>
  <c r="S950" i="12" s="1"/>
  <c r="S951" i="12" s="1"/>
  <c r="S952" i="12" s="1"/>
  <c r="S953" i="12" s="1"/>
  <c r="S954" i="12" s="1"/>
  <c r="S955" i="12" s="1"/>
  <c r="S956" i="12" s="1"/>
  <c r="S957" i="12" s="1"/>
  <c r="S958" i="12" s="1"/>
  <c r="S959" i="12" s="1"/>
  <c r="S960" i="12" s="1"/>
  <c r="S961" i="12" s="1"/>
  <c r="S962" i="12" s="1"/>
  <c r="S963" i="12" s="1"/>
  <c r="S964" i="12" s="1"/>
  <c r="S965" i="12" s="1"/>
  <c r="S966" i="12" s="1"/>
  <c r="S967" i="12" s="1"/>
  <c r="S968" i="12" s="1"/>
  <c r="S969" i="12" s="1"/>
  <c r="S970" i="12" s="1"/>
  <c r="S971" i="12" s="1"/>
  <c r="S972" i="12" s="1"/>
  <c r="S973" i="12" s="1"/>
  <c r="S974" i="12" s="1"/>
  <c r="S975" i="12" s="1"/>
  <c r="S976" i="12" s="1"/>
  <c r="S977" i="12" s="1"/>
  <c r="S978" i="12" s="1"/>
  <c r="S979" i="12" s="1"/>
  <c r="S980" i="12" s="1"/>
  <c r="S981" i="12" s="1"/>
  <c r="S982" i="12" s="1"/>
  <c r="S983" i="12" s="1"/>
  <c r="S984" i="12" s="1"/>
  <c r="S985" i="12" s="1"/>
  <c r="S986" i="12" s="1"/>
  <c r="S987" i="12" s="1"/>
  <c r="S988" i="12" s="1"/>
  <c r="S989" i="12" s="1"/>
  <c r="S990" i="12" s="1"/>
  <c r="S991" i="12" s="1"/>
  <c r="S992" i="12" s="1"/>
  <c r="S993" i="12" s="1"/>
  <c r="S994" i="12" s="1"/>
  <c r="S995" i="12" s="1"/>
  <c r="S996" i="12" s="1"/>
  <c r="S997" i="12" s="1"/>
  <c r="S998" i="12" s="1"/>
  <c r="S999" i="12" s="1"/>
  <c r="S1000" i="12" s="1"/>
  <c r="S1001" i="12" s="1"/>
  <c r="S1002" i="12" s="1"/>
  <c r="S1003" i="12" s="1"/>
  <c r="S1004" i="12" s="1"/>
  <c r="S1005" i="12" s="1"/>
  <c r="S1006" i="12" s="1"/>
  <c r="S1007" i="12" s="1"/>
  <c r="S1008" i="12" s="1"/>
  <c r="S1009" i="12" s="1"/>
  <c r="S1010" i="12" s="1"/>
  <c r="S1011" i="12" s="1"/>
  <c r="S1012" i="12" s="1"/>
  <c r="S1013" i="12" s="1"/>
  <c r="S1014" i="12" s="1"/>
  <c r="S1015" i="12" s="1"/>
  <c r="S1016" i="12" s="1"/>
  <c r="S1017" i="12" s="1"/>
  <c r="S1018" i="12" s="1"/>
  <c r="S1019" i="12" s="1"/>
  <c r="S1020" i="12" s="1"/>
  <c r="S1021" i="12" s="1"/>
  <c r="S1022" i="12" s="1"/>
  <c r="S1023" i="12" s="1"/>
  <c r="S1024" i="12" s="1"/>
  <c r="S1025" i="12" s="1"/>
  <c r="S1026" i="12" s="1"/>
  <c r="S1027" i="12" s="1"/>
  <c r="S1028" i="12" s="1"/>
  <c r="S1029" i="12" s="1"/>
  <c r="S1030" i="12" s="1"/>
  <c r="S1031" i="12" s="1"/>
  <c r="S1032" i="12" s="1"/>
  <c r="S22" i="11"/>
  <c r="S23" i="11" s="1"/>
  <c r="S24" i="11" s="1"/>
  <c r="S25" i="11" s="1"/>
  <c r="S26" i="11" s="1"/>
  <c r="S27" i="11" s="1"/>
  <c r="S28" i="11" s="1"/>
  <c r="S29" i="11" s="1"/>
  <c r="S30" i="11" s="1"/>
  <c r="S31" i="11" s="1"/>
  <c r="S32" i="11" s="1"/>
  <c r="S33" i="11" s="1"/>
  <c r="S34" i="11" s="1"/>
  <c r="S35" i="11" s="1"/>
  <c r="S36" i="11" s="1"/>
  <c r="S37" i="11" s="1"/>
  <c r="S38" i="11" s="1"/>
  <c r="S39" i="11" s="1"/>
  <c r="S40" i="11" s="1"/>
  <c r="S41" i="11" s="1"/>
  <c r="S42" i="11" s="1"/>
  <c r="S43" i="11" s="1"/>
  <c r="S44" i="11" s="1"/>
  <c r="S45" i="11" s="1"/>
  <c r="S46" i="11" s="1"/>
  <c r="S47" i="11" s="1"/>
  <c r="S48" i="11" s="1"/>
  <c r="S49" i="11" s="1"/>
  <c r="S50" i="11" s="1"/>
  <c r="S51" i="11" s="1"/>
  <c r="S52" i="11" s="1"/>
  <c r="S53" i="11" s="1"/>
  <c r="S54" i="11" s="1"/>
  <c r="S55" i="11" s="1"/>
  <c r="S56" i="11" s="1"/>
  <c r="S57" i="11" s="1"/>
  <c r="S58" i="11" s="1"/>
  <c r="S59" i="11" s="1"/>
  <c r="S60" i="11" s="1"/>
  <c r="S61" i="11" s="1"/>
  <c r="S62" i="11" s="1"/>
  <c r="S63" i="11" s="1"/>
  <c r="S64" i="11" s="1"/>
  <c r="S65" i="11" s="1"/>
  <c r="S66" i="11" s="1"/>
  <c r="S67" i="11" s="1"/>
  <c r="S68" i="11" s="1"/>
  <c r="S69" i="11" s="1"/>
  <c r="S70" i="11" s="1"/>
  <c r="S71" i="11" s="1"/>
  <c r="S72" i="11" s="1"/>
  <c r="S73" i="11" s="1"/>
  <c r="S74" i="11" s="1"/>
  <c r="S75" i="11" s="1"/>
  <c r="S76" i="11" s="1"/>
  <c r="S77" i="11" s="1"/>
  <c r="S78" i="11" s="1"/>
  <c r="S79" i="11" s="1"/>
  <c r="S80" i="11" s="1"/>
  <c r="S81" i="11" s="1"/>
  <c r="S82" i="11" s="1"/>
  <c r="S83" i="11" s="1"/>
  <c r="S84" i="11" s="1"/>
  <c r="S85" i="11" s="1"/>
  <c r="S86" i="11" s="1"/>
  <c r="S87" i="11" s="1"/>
  <c r="S88" i="11" s="1"/>
  <c r="S89" i="11" s="1"/>
  <c r="S90" i="11" s="1"/>
  <c r="S91" i="11" s="1"/>
  <c r="S92" i="11" s="1"/>
  <c r="S93" i="11" s="1"/>
  <c r="S94" i="11" s="1"/>
  <c r="S95" i="11" s="1"/>
  <c r="S96" i="11" s="1"/>
  <c r="S97" i="11" s="1"/>
  <c r="S98" i="11" s="1"/>
  <c r="S99" i="11" s="1"/>
  <c r="S100" i="11" s="1"/>
  <c r="S101" i="11" s="1"/>
  <c r="S102" i="11" s="1"/>
  <c r="S103" i="11" s="1"/>
  <c r="S104" i="11" s="1"/>
  <c r="S105" i="11" s="1"/>
  <c r="S106" i="11" s="1"/>
  <c r="S107" i="11" s="1"/>
  <c r="S108" i="11" s="1"/>
  <c r="S109" i="11" s="1"/>
  <c r="S110" i="11" s="1"/>
  <c r="S111" i="11" s="1"/>
  <c r="S112" i="11" s="1"/>
  <c r="S113" i="11" s="1"/>
  <c r="S114" i="11" s="1"/>
  <c r="S115" i="11" s="1"/>
  <c r="S116" i="11" s="1"/>
  <c r="S117" i="11" s="1"/>
  <c r="S118" i="11" s="1"/>
  <c r="S119" i="11" s="1"/>
  <c r="S120" i="11" s="1"/>
  <c r="S121" i="11" s="1"/>
  <c r="S122" i="11" s="1"/>
  <c r="S123" i="11" s="1"/>
  <c r="S124" i="11" s="1"/>
  <c r="S125" i="11" s="1"/>
  <c r="S126" i="11" s="1"/>
  <c r="S127" i="11" s="1"/>
  <c r="S128" i="11" s="1"/>
  <c r="S129" i="11" s="1"/>
  <c r="S130" i="11" s="1"/>
  <c r="S131" i="11" s="1"/>
  <c r="S132" i="11" s="1"/>
  <c r="S133" i="11" s="1"/>
  <c r="S134" i="11" s="1"/>
  <c r="S135" i="11" s="1"/>
  <c r="S136" i="11" s="1"/>
  <c r="S137" i="11" s="1"/>
  <c r="S138" i="11" s="1"/>
  <c r="S139" i="11" s="1"/>
  <c r="S140" i="11" s="1"/>
  <c r="S141" i="11" s="1"/>
  <c r="S142" i="11" s="1"/>
  <c r="S143" i="11" s="1"/>
  <c r="S144" i="11" s="1"/>
  <c r="S145" i="11" s="1"/>
  <c r="S146" i="11" s="1"/>
  <c r="S147" i="11" s="1"/>
  <c r="S148" i="11" s="1"/>
  <c r="S149" i="11" s="1"/>
  <c r="S150" i="11" s="1"/>
  <c r="S151" i="11" s="1"/>
  <c r="S152" i="11" s="1"/>
  <c r="S153" i="11" s="1"/>
  <c r="S154" i="11" s="1"/>
  <c r="S155" i="11" s="1"/>
  <c r="S156" i="11" s="1"/>
  <c r="S157" i="11" s="1"/>
  <c r="S158" i="11" s="1"/>
  <c r="S159" i="11" s="1"/>
  <c r="S160" i="11" s="1"/>
  <c r="S161" i="11" s="1"/>
  <c r="S162" i="11" s="1"/>
  <c r="S163" i="11" s="1"/>
  <c r="S164" i="11" s="1"/>
  <c r="S165" i="11" s="1"/>
  <c r="S166" i="11" s="1"/>
  <c r="S167" i="11" s="1"/>
  <c r="S168" i="11" s="1"/>
  <c r="S169" i="11" s="1"/>
  <c r="S170" i="11" s="1"/>
  <c r="S171" i="11" s="1"/>
  <c r="S172" i="11" s="1"/>
  <c r="S173" i="11" s="1"/>
  <c r="S174" i="11" s="1"/>
  <c r="S175" i="11" s="1"/>
  <c r="S176" i="11" s="1"/>
  <c r="S177" i="11" s="1"/>
  <c r="S178" i="11" s="1"/>
  <c r="S179" i="11" s="1"/>
  <c r="S180" i="11" s="1"/>
  <c r="S181" i="11" s="1"/>
  <c r="S182" i="11" s="1"/>
  <c r="S183" i="11" s="1"/>
  <c r="S184" i="11" s="1"/>
  <c r="S185" i="11" s="1"/>
  <c r="S186" i="11" s="1"/>
  <c r="S187" i="11" s="1"/>
  <c r="S188" i="11" s="1"/>
  <c r="S189" i="11" s="1"/>
  <c r="S190" i="11" s="1"/>
  <c r="S191" i="11" s="1"/>
  <c r="S192" i="11" s="1"/>
  <c r="S193" i="11" s="1"/>
  <c r="S194" i="11" s="1"/>
  <c r="S195" i="11" s="1"/>
  <c r="S196" i="11" s="1"/>
  <c r="S197" i="11" s="1"/>
  <c r="S198" i="11" s="1"/>
  <c r="S199" i="11" s="1"/>
  <c r="S200" i="11" s="1"/>
  <c r="S201" i="11" s="1"/>
  <c r="S202" i="11" s="1"/>
  <c r="S203" i="11" s="1"/>
  <c r="S204" i="11" s="1"/>
  <c r="S205" i="11" s="1"/>
  <c r="S206" i="11" s="1"/>
  <c r="S207" i="11" s="1"/>
  <c r="S208" i="11" s="1"/>
  <c r="S209" i="11" s="1"/>
  <c r="S210" i="11" s="1"/>
  <c r="S211" i="11" s="1"/>
  <c r="S212" i="11" s="1"/>
  <c r="S213" i="11" s="1"/>
  <c r="S214" i="11" s="1"/>
  <c r="S215" i="11" s="1"/>
  <c r="S216" i="11" s="1"/>
  <c r="S217" i="11" s="1"/>
  <c r="S218" i="11" s="1"/>
  <c r="S219" i="11" s="1"/>
  <c r="S220" i="11" s="1"/>
  <c r="S221" i="11" s="1"/>
  <c r="S222" i="11" s="1"/>
  <c r="S223" i="11" s="1"/>
  <c r="S224" i="11" s="1"/>
  <c r="S225" i="11" s="1"/>
  <c r="S226" i="11" s="1"/>
  <c r="S227" i="11" s="1"/>
  <c r="S228" i="11" s="1"/>
  <c r="S229" i="11" s="1"/>
  <c r="S230" i="11" s="1"/>
  <c r="S231" i="11" s="1"/>
  <c r="S232" i="11" s="1"/>
  <c r="S233" i="11" s="1"/>
  <c r="S234" i="11" s="1"/>
  <c r="S235" i="11" s="1"/>
  <c r="S236" i="11" s="1"/>
  <c r="S237" i="11" s="1"/>
  <c r="S238" i="11" s="1"/>
  <c r="S239" i="11" s="1"/>
  <c r="S240" i="11" s="1"/>
  <c r="S241" i="11" s="1"/>
  <c r="S242" i="11" s="1"/>
  <c r="S243" i="11" s="1"/>
  <c r="S244" i="11" s="1"/>
  <c r="S245" i="11" s="1"/>
  <c r="S246" i="11" s="1"/>
  <c r="S247" i="11" s="1"/>
  <c r="S248" i="11" s="1"/>
  <c r="S249" i="11" s="1"/>
  <c r="S250" i="11" s="1"/>
  <c r="S251" i="11" s="1"/>
  <c r="S252" i="11" s="1"/>
  <c r="S253" i="11" s="1"/>
  <c r="S254" i="11" s="1"/>
  <c r="S255" i="11" s="1"/>
  <c r="S256" i="11" s="1"/>
  <c r="S257" i="11" s="1"/>
  <c r="S258" i="11" s="1"/>
  <c r="S259" i="11" s="1"/>
  <c r="S260" i="11" s="1"/>
  <c r="S261" i="11" s="1"/>
  <c r="S262" i="11" s="1"/>
  <c r="S263" i="11" s="1"/>
  <c r="S264" i="11" s="1"/>
  <c r="S265" i="11" s="1"/>
  <c r="S266" i="11" s="1"/>
  <c r="S267" i="11" s="1"/>
  <c r="S268" i="11" s="1"/>
  <c r="S269" i="11" s="1"/>
  <c r="S270" i="11" s="1"/>
  <c r="S271" i="11" s="1"/>
  <c r="S272" i="11" s="1"/>
  <c r="S273" i="11" s="1"/>
  <c r="S274" i="11" s="1"/>
  <c r="S275" i="11" s="1"/>
  <c r="S276" i="11" s="1"/>
  <c r="S277" i="11" s="1"/>
  <c r="S278" i="11" s="1"/>
  <c r="S279" i="11" s="1"/>
  <c r="S280" i="11" s="1"/>
  <c r="S281" i="11" s="1"/>
  <c r="S282" i="11" s="1"/>
  <c r="S283" i="11" s="1"/>
  <c r="S284" i="11" s="1"/>
  <c r="S285" i="11" s="1"/>
  <c r="S286" i="11" s="1"/>
  <c r="S287" i="11" s="1"/>
  <c r="S288" i="11" s="1"/>
  <c r="S289" i="11" s="1"/>
  <c r="S290" i="11" s="1"/>
  <c r="S291" i="11" s="1"/>
  <c r="S292" i="11" s="1"/>
  <c r="S293" i="11" s="1"/>
  <c r="S294" i="11" s="1"/>
  <c r="S295" i="11" s="1"/>
  <c r="S296" i="11" s="1"/>
  <c r="S297" i="11" s="1"/>
  <c r="S298" i="11" s="1"/>
  <c r="S299" i="11" s="1"/>
  <c r="S300" i="11" s="1"/>
  <c r="S301" i="11" s="1"/>
  <c r="S302" i="11" s="1"/>
  <c r="S303" i="11" s="1"/>
  <c r="S304" i="11" s="1"/>
  <c r="S305" i="11" s="1"/>
  <c r="S306" i="11" s="1"/>
  <c r="S307" i="11" s="1"/>
  <c r="S308" i="11" s="1"/>
  <c r="S309" i="11" s="1"/>
  <c r="S310" i="11" s="1"/>
  <c r="S311" i="11" s="1"/>
  <c r="S312" i="11" s="1"/>
  <c r="S313" i="11" s="1"/>
  <c r="S314" i="11" s="1"/>
  <c r="S315" i="11" s="1"/>
  <c r="S316" i="11" s="1"/>
  <c r="S317" i="11" s="1"/>
  <c r="S318" i="11" s="1"/>
  <c r="S319" i="11" s="1"/>
  <c r="S320" i="11" s="1"/>
  <c r="S321" i="11" s="1"/>
  <c r="S322" i="11" s="1"/>
  <c r="S323" i="11" s="1"/>
  <c r="S324" i="11" s="1"/>
  <c r="S325" i="11" s="1"/>
  <c r="S326" i="11" s="1"/>
  <c r="S327" i="11" s="1"/>
  <c r="S328" i="11" s="1"/>
  <c r="S329" i="11" s="1"/>
  <c r="S330" i="11" s="1"/>
  <c r="S331" i="11" s="1"/>
  <c r="S332" i="11" s="1"/>
  <c r="S333" i="11" s="1"/>
  <c r="S334" i="11" s="1"/>
  <c r="S335" i="11" s="1"/>
  <c r="S336" i="11" s="1"/>
  <c r="S337" i="11" s="1"/>
  <c r="S338" i="11" s="1"/>
  <c r="S339" i="11" s="1"/>
  <c r="S340" i="11" s="1"/>
  <c r="S341" i="11" s="1"/>
  <c r="S342" i="11" s="1"/>
  <c r="S343" i="11" s="1"/>
  <c r="S344" i="11" s="1"/>
  <c r="S345" i="11" s="1"/>
  <c r="S346" i="11" s="1"/>
  <c r="S347" i="11" s="1"/>
  <c r="S348" i="11" s="1"/>
  <c r="S349" i="11" s="1"/>
  <c r="S350" i="11" s="1"/>
  <c r="S351" i="11" s="1"/>
  <c r="S352" i="11" s="1"/>
  <c r="S353" i="11" s="1"/>
  <c r="S354" i="11" s="1"/>
  <c r="S355" i="11" s="1"/>
  <c r="S356" i="11" s="1"/>
  <c r="S357" i="11" s="1"/>
  <c r="S358" i="11" s="1"/>
  <c r="S359" i="11" s="1"/>
  <c r="S360" i="11" s="1"/>
  <c r="S361" i="11" s="1"/>
  <c r="S362" i="11" s="1"/>
  <c r="S363" i="11" s="1"/>
  <c r="S364" i="11" s="1"/>
  <c r="S365" i="11" s="1"/>
  <c r="S366" i="11" s="1"/>
  <c r="S367" i="11" s="1"/>
  <c r="S368" i="11" s="1"/>
  <c r="S369" i="11" s="1"/>
  <c r="S370" i="11" s="1"/>
  <c r="S371" i="11" s="1"/>
  <c r="S372" i="11" s="1"/>
  <c r="S373" i="11" s="1"/>
  <c r="S374" i="11" s="1"/>
  <c r="S375" i="11" s="1"/>
  <c r="S376" i="11" s="1"/>
  <c r="S377" i="11" s="1"/>
  <c r="S378" i="11" s="1"/>
  <c r="S379" i="11" s="1"/>
  <c r="S380" i="11" s="1"/>
  <c r="S381" i="11" s="1"/>
  <c r="S382" i="11" s="1"/>
  <c r="S383" i="11" s="1"/>
  <c r="S384" i="11" s="1"/>
  <c r="S385" i="11" s="1"/>
  <c r="S386" i="11" s="1"/>
  <c r="S387" i="11" s="1"/>
  <c r="S388" i="11" s="1"/>
  <c r="S389" i="11" s="1"/>
  <c r="S390" i="11" s="1"/>
  <c r="S391" i="11" s="1"/>
  <c r="S392" i="11" s="1"/>
  <c r="S393" i="11" s="1"/>
  <c r="S394" i="11" s="1"/>
  <c r="S395" i="11" s="1"/>
  <c r="S396" i="11" s="1"/>
  <c r="S397" i="11" s="1"/>
  <c r="S398" i="11" s="1"/>
  <c r="S399" i="11" s="1"/>
  <c r="S400" i="11" s="1"/>
  <c r="S401" i="11" s="1"/>
  <c r="S402" i="11" s="1"/>
  <c r="S403" i="11" s="1"/>
  <c r="S404" i="11" s="1"/>
  <c r="S405" i="11" s="1"/>
  <c r="S406" i="11" s="1"/>
  <c r="S407" i="11" s="1"/>
  <c r="S408" i="11" s="1"/>
  <c r="S409" i="11" s="1"/>
  <c r="S410" i="11" s="1"/>
  <c r="S411" i="11" s="1"/>
  <c r="S412" i="11" s="1"/>
  <c r="S413" i="11" s="1"/>
  <c r="S414" i="11" s="1"/>
  <c r="S415" i="11" s="1"/>
  <c r="S416" i="11" s="1"/>
  <c r="S417" i="11" s="1"/>
  <c r="S418" i="11" s="1"/>
  <c r="S419" i="11" s="1"/>
  <c r="S420" i="11" s="1"/>
  <c r="S421" i="11" s="1"/>
  <c r="S422" i="11" s="1"/>
  <c r="S423" i="11" s="1"/>
  <c r="S424" i="11" s="1"/>
  <c r="S425" i="11" s="1"/>
  <c r="S426" i="11" s="1"/>
  <c r="S427" i="11" s="1"/>
  <c r="S428" i="11" s="1"/>
  <c r="S429" i="11" s="1"/>
  <c r="S430" i="11" s="1"/>
  <c r="S431" i="11" s="1"/>
  <c r="S432" i="11" s="1"/>
  <c r="S433" i="11" s="1"/>
  <c r="S434" i="11" s="1"/>
  <c r="S435" i="11" s="1"/>
  <c r="S436" i="11" s="1"/>
  <c r="S437" i="11" s="1"/>
  <c r="S438" i="11" s="1"/>
  <c r="S439" i="11" s="1"/>
  <c r="S440" i="11" s="1"/>
  <c r="S441" i="11" s="1"/>
  <c r="S442" i="11" s="1"/>
  <c r="S443" i="11" s="1"/>
  <c r="S444" i="11" s="1"/>
  <c r="S445" i="11" s="1"/>
  <c r="S446" i="11" s="1"/>
  <c r="S447" i="11" s="1"/>
  <c r="S448" i="11" s="1"/>
  <c r="S449" i="11" s="1"/>
  <c r="S450" i="11" s="1"/>
  <c r="S451" i="11" s="1"/>
  <c r="S452" i="11" s="1"/>
  <c r="S453" i="11" s="1"/>
  <c r="S454" i="11" s="1"/>
  <c r="S455" i="11" s="1"/>
  <c r="S456" i="11" s="1"/>
  <c r="S457" i="11" s="1"/>
  <c r="S458" i="11" s="1"/>
  <c r="S459" i="11" s="1"/>
  <c r="S460" i="11" s="1"/>
  <c r="S461" i="11" s="1"/>
  <c r="S462" i="11" s="1"/>
  <c r="S463" i="11" s="1"/>
  <c r="S464" i="11" s="1"/>
  <c r="S465" i="11" s="1"/>
  <c r="S466" i="11" s="1"/>
  <c r="S467" i="11" s="1"/>
  <c r="S468" i="11" s="1"/>
  <c r="S469" i="11" s="1"/>
  <c r="S470" i="11" s="1"/>
  <c r="S471" i="11" s="1"/>
  <c r="S472" i="11" s="1"/>
  <c r="S473" i="11" s="1"/>
  <c r="S474" i="11" s="1"/>
  <c r="S475" i="11" s="1"/>
  <c r="S476" i="11" s="1"/>
  <c r="S477" i="11" s="1"/>
  <c r="S478" i="11" s="1"/>
  <c r="S479" i="11" s="1"/>
  <c r="S480" i="11" s="1"/>
  <c r="S481" i="11" s="1"/>
  <c r="S482" i="11" s="1"/>
  <c r="S483" i="11" s="1"/>
  <c r="S484" i="11" s="1"/>
  <c r="S485" i="11" s="1"/>
  <c r="S486" i="11" s="1"/>
  <c r="S487" i="11" s="1"/>
  <c r="S488" i="11" s="1"/>
  <c r="S489" i="11" s="1"/>
  <c r="S490" i="11" s="1"/>
  <c r="S491" i="11" s="1"/>
  <c r="S492" i="11" s="1"/>
  <c r="S493" i="11" s="1"/>
  <c r="S494" i="11" s="1"/>
  <c r="S495" i="11" s="1"/>
  <c r="S496" i="11" s="1"/>
  <c r="S497" i="11" s="1"/>
  <c r="S498" i="11" s="1"/>
  <c r="S499" i="11" s="1"/>
  <c r="S500" i="11" s="1"/>
  <c r="S501" i="11" s="1"/>
  <c r="S502" i="11" s="1"/>
  <c r="S503" i="11" s="1"/>
  <c r="S504" i="11" s="1"/>
  <c r="S505" i="11" s="1"/>
  <c r="S506" i="11" s="1"/>
  <c r="S507" i="11" s="1"/>
  <c r="S508" i="11" s="1"/>
  <c r="S509" i="11" s="1"/>
  <c r="S510" i="11" s="1"/>
  <c r="S511" i="11" s="1"/>
  <c r="S512" i="11" s="1"/>
  <c r="S513" i="11" s="1"/>
  <c r="S514" i="11" s="1"/>
  <c r="S515" i="11" s="1"/>
  <c r="S516" i="11" s="1"/>
  <c r="S517" i="11" s="1"/>
  <c r="S518" i="11" s="1"/>
  <c r="S519" i="11" s="1"/>
  <c r="S520" i="11" s="1"/>
  <c r="S521" i="11" s="1"/>
  <c r="S522" i="11" s="1"/>
  <c r="S523" i="11" s="1"/>
  <c r="S524" i="11" s="1"/>
  <c r="S525" i="11" s="1"/>
  <c r="S526" i="11" s="1"/>
  <c r="S527" i="11" s="1"/>
  <c r="S528" i="11" s="1"/>
  <c r="S529" i="11" s="1"/>
  <c r="S530" i="11" s="1"/>
  <c r="S531" i="11" s="1"/>
  <c r="S532" i="11" s="1"/>
  <c r="S533" i="11" s="1"/>
  <c r="S534" i="11" s="1"/>
  <c r="S535" i="11" s="1"/>
  <c r="S536" i="11" s="1"/>
  <c r="S537" i="11" s="1"/>
  <c r="S538" i="11" s="1"/>
  <c r="S539" i="11" s="1"/>
  <c r="S540" i="11" s="1"/>
  <c r="S541" i="11" s="1"/>
  <c r="S542" i="11" s="1"/>
  <c r="S543" i="11" s="1"/>
  <c r="S544" i="11" s="1"/>
  <c r="S545" i="11" s="1"/>
  <c r="S546" i="11" s="1"/>
  <c r="S547" i="11" s="1"/>
  <c r="S548" i="11" s="1"/>
  <c r="S549" i="11" s="1"/>
  <c r="S550" i="11" s="1"/>
  <c r="S551" i="11" s="1"/>
  <c r="S552" i="11" s="1"/>
  <c r="S553" i="11" s="1"/>
  <c r="S554" i="11" s="1"/>
  <c r="S555" i="11" s="1"/>
  <c r="S556" i="11" s="1"/>
  <c r="S557" i="11" s="1"/>
  <c r="S558" i="11" s="1"/>
  <c r="S559" i="11" s="1"/>
  <c r="S560" i="11" s="1"/>
  <c r="S561" i="11" s="1"/>
  <c r="S562" i="11" s="1"/>
  <c r="S563" i="11" s="1"/>
  <c r="S564" i="11" s="1"/>
  <c r="S565" i="11" s="1"/>
  <c r="S566" i="11" s="1"/>
  <c r="S567" i="11" s="1"/>
  <c r="S568" i="11" s="1"/>
  <c r="S569" i="11" s="1"/>
  <c r="S570" i="11" s="1"/>
  <c r="S571" i="11" s="1"/>
  <c r="S572" i="11" s="1"/>
  <c r="S573" i="11" s="1"/>
  <c r="S574" i="11" s="1"/>
  <c r="S575" i="11" s="1"/>
  <c r="S576" i="11" s="1"/>
  <c r="S577" i="11" s="1"/>
  <c r="S578" i="11" s="1"/>
  <c r="S579" i="11" s="1"/>
  <c r="S580" i="11" s="1"/>
  <c r="S581" i="11" s="1"/>
  <c r="S582" i="11" s="1"/>
  <c r="S583" i="11" s="1"/>
  <c r="S584" i="11" s="1"/>
  <c r="S585" i="11" s="1"/>
  <c r="S586" i="11" s="1"/>
  <c r="S587" i="11" s="1"/>
  <c r="S588" i="11" s="1"/>
  <c r="S589" i="11" s="1"/>
  <c r="S590" i="11" s="1"/>
  <c r="S591" i="11" s="1"/>
  <c r="S592" i="11" s="1"/>
  <c r="S593" i="11" s="1"/>
  <c r="S594" i="11" s="1"/>
  <c r="S595" i="11" s="1"/>
  <c r="S596" i="11" s="1"/>
  <c r="S597" i="11" s="1"/>
  <c r="S598" i="11" s="1"/>
  <c r="S599" i="11" s="1"/>
  <c r="S600" i="11" s="1"/>
  <c r="S601" i="11" s="1"/>
  <c r="S602" i="11" s="1"/>
  <c r="S603" i="11" s="1"/>
  <c r="S604" i="11" s="1"/>
  <c r="S605" i="11" s="1"/>
  <c r="S606" i="11" s="1"/>
  <c r="S607" i="11" s="1"/>
  <c r="S608" i="11" s="1"/>
  <c r="S609" i="11" s="1"/>
  <c r="S610" i="11" s="1"/>
  <c r="S611" i="11" s="1"/>
  <c r="S612" i="11" s="1"/>
  <c r="S613" i="11" s="1"/>
  <c r="S614" i="11" s="1"/>
  <c r="S615" i="11" s="1"/>
  <c r="S616" i="11" s="1"/>
  <c r="S617" i="11" s="1"/>
  <c r="S618" i="11" s="1"/>
  <c r="S619" i="11" s="1"/>
  <c r="S620" i="11" s="1"/>
  <c r="S621" i="11" s="1"/>
  <c r="S622" i="11" s="1"/>
  <c r="S623" i="11" s="1"/>
  <c r="S624" i="11" s="1"/>
  <c r="S625" i="11" s="1"/>
  <c r="S626" i="11" s="1"/>
  <c r="S627" i="11" s="1"/>
  <c r="S628" i="11" s="1"/>
  <c r="S629" i="11" s="1"/>
  <c r="S630" i="11" s="1"/>
  <c r="S631" i="11" s="1"/>
  <c r="S632" i="11" s="1"/>
  <c r="S633" i="11" s="1"/>
  <c r="S634" i="11" s="1"/>
  <c r="S635" i="11" s="1"/>
  <c r="S636" i="11" s="1"/>
  <c r="S637" i="11" s="1"/>
  <c r="S638" i="11" s="1"/>
  <c r="S639" i="11" s="1"/>
  <c r="S640" i="11" s="1"/>
  <c r="S641" i="11" s="1"/>
  <c r="S642" i="11" s="1"/>
  <c r="S643" i="11" s="1"/>
  <c r="S644" i="11" s="1"/>
  <c r="S645" i="11" s="1"/>
  <c r="S646" i="11" s="1"/>
  <c r="S647" i="11" s="1"/>
  <c r="S648" i="11" s="1"/>
  <c r="S649" i="11" s="1"/>
  <c r="S650" i="11" s="1"/>
  <c r="S651" i="11" s="1"/>
  <c r="S652" i="11" s="1"/>
  <c r="S653" i="11" s="1"/>
  <c r="S654" i="11" s="1"/>
  <c r="S655" i="11" s="1"/>
  <c r="S656" i="11" s="1"/>
  <c r="S657" i="11" s="1"/>
  <c r="S658" i="11" s="1"/>
  <c r="S659" i="11" s="1"/>
  <c r="S660" i="11" s="1"/>
  <c r="S661" i="11" s="1"/>
  <c r="S662" i="11" s="1"/>
  <c r="S663" i="11" s="1"/>
  <c r="S664" i="11" s="1"/>
  <c r="S665" i="11" s="1"/>
  <c r="S666" i="11" s="1"/>
  <c r="S667" i="11" s="1"/>
  <c r="S668" i="11" s="1"/>
  <c r="S669" i="11" s="1"/>
  <c r="S670" i="11" s="1"/>
  <c r="S671" i="11" s="1"/>
  <c r="S672" i="11" s="1"/>
  <c r="S673" i="11" s="1"/>
  <c r="S674" i="11" s="1"/>
  <c r="S675" i="11" s="1"/>
  <c r="S676" i="11" s="1"/>
  <c r="S677" i="11" s="1"/>
  <c r="S678" i="11" s="1"/>
  <c r="S679" i="11" s="1"/>
  <c r="S680" i="11" s="1"/>
  <c r="S681" i="11" s="1"/>
  <c r="S682" i="11" s="1"/>
  <c r="S683" i="11" s="1"/>
  <c r="S684" i="11" s="1"/>
  <c r="S685" i="11" s="1"/>
  <c r="S686" i="11" s="1"/>
  <c r="S687" i="11" s="1"/>
  <c r="S688" i="11" s="1"/>
  <c r="S689" i="11" s="1"/>
  <c r="S690" i="11" s="1"/>
  <c r="S691" i="11" s="1"/>
  <c r="S692" i="11" s="1"/>
  <c r="S693" i="11" s="1"/>
  <c r="S694" i="11" s="1"/>
  <c r="S695" i="11" s="1"/>
  <c r="S696" i="11" s="1"/>
  <c r="S697" i="11" s="1"/>
  <c r="S698" i="11" s="1"/>
  <c r="S699" i="11" s="1"/>
  <c r="S700" i="11" s="1"/>
  <c r="S701" i="11" s="1"/>
  <c r="S702" i="11" s="1"/>
  <c r="S703" i="11" s="1"/>
  <c r="S704" i="11" s="1"/>
  <c r="S705" i="11" s="1"/>
  <c r="S706" i="11" s="1"/>
  <c r="S707" i="11" s="1"/>
  <c r="S708" i="11" s="1"/>
  <c r="S709" i="11" s="1"/>
  <c r="S710" i="11" s="1"/>
  <c r="S711" i="11" s="1"/>
  <c r="S712" i="11" s="1"/>
  <c r="S713" i="11" s="1"/>
  <c r="S714" i="11" s="1"/>
  <c r="S715" i="11" s="1"/>
  <c r="S716" i="11" s="1"/>
  <c r="S717" i="11" s="1"/>
  <c r="S718" i="11" s="1"/>
  <c r="S719" i="11" s="1"/>
  <c r="S720" i="11" s="1"/>
  <c r="S721" i="11" s="1"/>
  <c r="S722" i="11" s="1"/>
  <c r="S723" i="11" s="1"/>
  <c r="S724" i="11" s="1"/>
  <c r="S725" i="11" s="1"/>
  <c r="S726" i="11" s="1"/>
  <c r="S727" i="11" s="1"/>
  <c r="S728" i="11" s="1"/>
  <c r="S729" i="11" s="1"/>
  <c r="S730" i="11" s="1"/>
  <c r="S731" i="11" s="1"/>
  <c r="S732" i="11" s="1"/>
  <c r="S733" i="11" s="1"/>
  <c r="S734" i="11" s="1"/>
  <c r="S735" i="11" s="1"/>
  <c r="S736" i="11" s="1"/>
  <c r="S737" i="11" s="1"/>
  <c r="S738" i="11" s="1"/>
  <c r="S739" i="11" s="1"/>
  <c r="S740" i="11" s="1"/>
  <c r="S741" i="11" s="1"/>
  <c r="S742" i="11" s="1"/>
  <c r="S743" i="11" s="1"/>
  <c r="S744" i="11" s="1"/>
  <c r="S745" i="11" s="1"/>
  <c r="S746" i="11" s="1"/>
  <c r="S747" i="11" s="1"/>
  <c r="S748" i="11" s="1"/>
  <c r="S749" i="11" s="1"/>
  <c r="S750" i="11" s="1"/>
  <c r="S751" i="11" s="1"/>
  <c r="S752" i="11" s="1"/>
  <c r="S753" i="11" s="1"/>
  <c r="S754" i="11" s="1"/>
  <c r="S755" i="11" s="1"/>
  <c r="S756" i="11" s="1"/>
  <c r="S757" i="11" s="1"/>
  <c r="S758" i="11" s="1"/>
  <c r="S759" i="11" s="1"/>
  <c r="S760" i="11" s="1"/>
  <c r="S761" i="11" s="1"/>
  <c r="S762" i="11" s="1"/>
  <c r="S763" i="11" s="1"/>
  <c r="S764" i="11" s="1"/>
  <c r="S765" i="11" s="1"/>
  <c r="S766" i="11" s="1"/>
  <c r="S767" i="11" s="1"/>
  <c r="S768" i="11" s="1"/>
  <c r="S769" i="11" s="1"/>
  <c r="S770" i="11" s="1"/>
  <c r="S771" i="11" s="1"/>
  <c r="S772" i="11" s="1"/>
  <c r="S773" i="11" s="1"/>
  <c r="S774" i="11" s="1"/>
  <c r="S775" i="11" s="1"/>
  <c r="S776" i="11" s="1"/>
  <c r="S777" i="11" s="1"/>
  <c r="S778" i="11" s="1"/>
  <c r="S779" i="11" s="1"/>
  <c r="S780" i="11" s="1"/>
  <c r="S781" i="11" s="1"/>
  <c r="S782" i="11" s="1"/>
  <c r="S783" i="11" s="1"/>
  <c r="S784" i="11" s="1"/>
  <c r="S785" i="11" s="1"/>
  <c r="S786" i="11" s="1"/>
  <c r="S787" i="11" s="1"/>
  <c r="S788" i="11" s="1"/>
  <c r="S789" i="11" s="1"/>
  <c r="S790" i="11" s="1"/>
  <c r="S791" i="11" s="1"/>
  <c r="S792" i="11" s="1"/>
  <c r="S793" i="11" s="1"/>
  <c r="S794" i="11" s="1"/>
  <c r="S795" i="11" s="1"/>
  <c r="S796" i="11" s="1"/>
  <c r="S797" i="11" s="1"/>
  <c r="S798" i="11" s="1"/>
  <c r="S799" i="11" s="1"/>
  <c r="S800" i="11" s="1"/>
  <c r="S801" i="11" s="1"/>
  <c r="S802" i="11" s="1"/>
  <c r="S803" i="11" s="1"/>
  <c r="S804" i="11" s="1"/>
  <c r="S805" i="11" s="1"/>
  <c r="S806" i="11" s="1"/>
  <c r="S807" i="11" s="1"/>
  <c r="S808" i="11" s="1"/>
  <c r="S809" i="11" s="1"/>
  <c r="S810" i="11" s="1"/>
  <c r="S811" i="11" s="1"/>
  <c r="S812" i="11" s="1"/>
  <c r="S813" i="11" s="1"/>
  <c r="S814" i="11" s="1"/>
  <c r="S815" i="11" s="1"/>
  <c r="S816" i="11" s="1"/>
  <c r="S817" i="11" s="1"/>
  <c r="S818" i="11" s="1"/>
  <c r="S819" i="11" s="1"/>
  <c r="S820" i="11" s="1"/>
  <c r="S821" i="11" s="1"/>
  <c r="S822" i="11" s="1"/>
  <c r="S823" i="11" s="1"/>
  <c r="S824" i="11" s="1"/>
  <c r="S825" i="11" s="1"/>
  <c r="S826" i="11" s="1"/>
  <c r="S827" i="11" s="1"/>
  <c r="S828" i="11" s="1"/>
  <c r="S829" i="11" s="1"/>
  <c r="S830" i="11" s="1"/>
  <c r="S831" i="11" s="1"/>
  <c r="S832" i="11" s="1"/>
  <c r="S833" i="11" s="1"/>
  <c r="S834" i="11" s="1"/>
  <c r="S835" i="11" s="1"/>
  <c r="S836" i="11" s="1"/>
  <c r="S837" i="11" s="1"/>
  <c r="S838" i="11" s="1"/>
  <c r="S839" i="11" s="1"/>
  <c r="S840" i="11" s="1"/>
  <c r="S841" i="11" s="1"/>
  <c r="S842" i="11" s="1"/>
  <c r="S843" i="11" s="1"/>
  <c r="S844" i="11" s="1"/>
  <c r="S845" i="11" s="1"/>
  <c r="S846" i="11" s="1"/>
  <c r="S847" i="11" s="1"/>
  <c r="S848" i="11" s="1"/>
  <c r="S849" i="11" s="1"/>
  <c r="S850" i="11" s="1"/>
  <c r="S851" i="11" s="1"/>
  <c r="S852" i="11" s="1"/>
  <c r="S853" i="11" s="1"/>
  <c r="S854" i="11" s="1"/>
  <c r="S855" i="11" s="1"/>
  <c r="S856" i="11" s="1"/>
  <c r="S857" i="11" s="1"/>
  <c r="S858" i="11" s="1"/>
  <c r="S859" i="11" s="1"/>
  <c r="S860" i="11" s="1"/>
  <c r="S861" i="11" s="1"/>
  <c r="S862" i="11" s="1"/>
  <c r="S863" i="11" s="1"/>
  <c r="S864" i="11" s="1"/>
  <c r="S865" i="11" s="1"/>
  <c r="S866" i="11" s="1"/>
  <c r="S867" i="11" s="1"/>
  <c r="S868" i="11" s="1"/>
  <c r="S869" i="11" s="1"/>
  <c r="S870" i="11" s="1"/>
  <c r="S871" i="11" s="1"/>
  <c r="S872" i="11" s="1"/>
  <c r="S873" i="11" s="1"/>
  <c r="S874" i="11" s="1"/>
  <c r="S875" i="11" s="1"/>
  <c r="S876" i="11" s="1"/>
  <c r="S877" i="11" s="1"/>
  <c r="S878" i="11" s="1"/>
  <c r="S879" i="11" s="1"/>
  <c r="S880" i="11" s="1"/>
  <c r="S881" i="11" s="1"/>
  <c r="S882" i="11" s="1"/>
  <c r="S883" i="11" s="1"/>
  <c r="S884" i="11" s="1"/>
  <c r="S885" i="11" s="1"/>
  <c r="S886" i="11" s="1"/>
  <c r="S887" i="11" s="1"/>
  <c r="S888" i="11" s="1"/>
  <c r="S889" i="11" s="1"/>
  <c r="S890" i="11" s="1"/>
  <c r="S891" i="11" s="1"/>
  <c r="S892" i="11" s="1"/>
  <c r="S893" i="11" s="1"/>
  <c r="S894" i="11" s="1"/>
  <c r="S895" i="11" s="1"/>
  <c r="S896" i="11" s="1"/>
  <c r="S897" i="11" s="1"/>
  <c r="S898" i="11" s="1"/>
  <c r="S899" i="11" s="1"/>
  <c r="S900" i="11" s="1"/>
  <c r="S901" i="11" s="1"/>
  <c r="S902" i="11" s="1"/>
  <c r="S903" i="11" s="1"/>
  <c r="S904" i="11" s="1"/>
  <c r="S905" i="11" s="1"/>
  <c r="S906" i="11" s="1"/>
  <c r="S907" i="11" s="1"/>
  <c r="S908" i="11" s="1"/>
  <c r="S909" i="11" s="1"/>
  <c r="S910" i="11" s="1"/>
  <c r="S911" i="11" s="1"/>
  <c r="S912" i="11" s="1"/>
  <c r="S913" i="11" s="1"/>
  <c r="S914" i="11" s="1"/>
  <c r="S915" i="11" s="1"/>
  <c r="S916" i="11" s="1"/>
  <c r="S917" i="11" s="1"/>
  <c r="S918" i="11" s="1"/>
  <c r="S919" i="11" s="1"/>
  <c r="S920" i="11" s="1"/>
  <c r="S921" i="11" s="1"/>
  <c r="S922" i="11" s="1"/>
  <c r="S923" i="11" s="1"/>
  <c r="S924" i="11" s="1"/>
  <c r="S925" i="11" s="1"/>
  <c r="S926" i="11" s="1"/>
  <c r="S927" i="11" s="1"/>
  <c r="S928" i="11" s="1"/>
  <c r="S929" i="11" s="1"/>
  <c r="S930" i="11" s="1"/>
  <c r="S931" i="11" s="1"/>
  <c r="S932" i="11" s="1"/>
  <c r="S933" i="11" s="1"/>
  <c r="S934" i="11" s="1"/>
  <c r="S935" i="11" s="1"/>
  <c r="S936" i="11" s="1"/>
  <c r="S937" i="11" s="1"/>
  <c r="S938" i="11" s="1"/>
  <c r="S939" i="11" s="1"/>
  <c r="S940" i="11" s="1"/>
  <c r="S941" i="11" s="1"/>
  <c r="S942" i="11" s="1"/>
  <c r="S943" i="11" s="1"/>
  <c r="S944" i="11" s="1"/>
  <c r="S945" i="11" s="1"/>
  <c r="S946" i="11" s="1"/>
  <c r="S947" i="11" s="1"/>
  <c r="S948" i="11" s="1"/>
  <c r="S949" i="11" s="1"/>
  <c r="S950" i="11" s="1"/>
  <c r="S951" i="11" s="1"/>
  <c r="S952" i="11" s="1"/>
  <c r="S953" i="11" s="1"/>
  <c r="S954" i="11" s="1"/>
  <c r="S955" i="11" s="1"/>
  <c r="S956" i="11" s="1"/>
  <c r="S957" i="11" s="1"/>
  <c r="S958" i="11" s="1"/>
  <c r="S959" i="11" s="1"/>
  <c r="S960" i="11" s="1"/>
  <c r="S961" i="11" s="1"/>
  <c r="S962" i="11" s="1"/>
  <c r="S963" i="11" s="1"/>
  <c r="S964" i="11" s="1"/>
  <c r="S965" i="11" s="1"/>
  <c r="S966" i="11" s="1"/>
  <c r="S967" i="11" s="1"/>
  <c r="S968" i="11" s="1"/>
  <c r="S969" i="11" s="1"/>
  <c r="S970" i="11" s="1"/>
  <c r="S971" i="11" s="1"/>
  <c r="S972" i="11" s="1"/>
  <c r="S973" i="11" s="1"/>
  <c r="S974" i="11" s="1"/>
  <c r="S975" i="11" s="1"/>
  <c r="S976" i="11" s="1"/>
  <c r="S977" i="11" s="1"/>
  <c r="S978" i="11" s="1"/>
  <c r="S979" i="11" s="1"/>
  <c r="S980" i="11" s="1"/>
  <c r="S981" i="11" s="1"/>
  <c r="S982" i="11" s="1"/>
  <c r="S983" i="11" s="1"/>
  <c r="S984" i="11" s="1"/>
  <c r="S985" i="11" s="1"/>
  <c r="S986" i="11" s="1"/>
  <c r="S987" i="11" s="1"/>
  <c r="S988" i="11" s="1"/>
  <c r="S989" i="11" s="1"/>
  <c r="S990" i="11" s="1"/>
  <c r="S991" i="11" s="1"/>
  <c r="S992" i="11" s="1"/>
  <c r="S993" i="11" s="1"/>
  <c r="S994" i="11" s="1"/>
  <c r="S995" i="11" s="1"/>
  <c r="S996" i="11" s="1"/>
  <c r="S997" i="11" s="1"/>
  <c r="S998" i="11" s="1"/>
  <c r="S999" i="11" s="1"/>
  <c r="S1000" i="11" s="1"/>
  <c r="S1001" i="11" s="1"/>
  <c r="S1002" i="11" s="1"/>
  <c r="S1003" i="11" s="1"/>
  <c r="S1004" i="11" s="1"/>
  <c r="S1005" i="11" s="1"/>
  <c r="S1006" i="11" s="1"/>
  <c r="S1007" i="11" s="1"/>
  <c r="S1008" i="11" s="1"/>
  <c r="S1009" i="11" s="1"/>
  <c r="S1010" i="11" s="1"/>
  <c r="S1011" i="11" s="1"/>
  <c r="S1012" i="11" s="1"/>
  <c r="S1013" i="11" s="1"/>
  <c r="S1014" i="11" s="1"/>
  <c r="S1015" i="11" s="1"/>
  <c r="S1016" i="11" s="1"/>
  <c r="S1017" i="11" s="1"/>
  <c r="S1018" i="11" s="1"/>
  <c r="S1019" i="11" s="1"/>
  <c r="S1020" i="11" s="1"/>
  <c r="S1021" i="11" s="1"/>
  <c r="S1022" i="11" s="1"/>
  <c r="S1023" i="11" s="1"/>
  <c r="S1024" i="11" s="1"/>
  <c r="S1025" i="11" s="1"/>
  <c r="S1026" i="11" s="1"/>
  <c r="S1027" i="11" s="1"/>
  <c r="S1028" i="11" s="1"/>
  <c r="S1029" i="11" s="1"/>
  <c r="S1030" i="11" s="1"/>
  <c r="S1031" i="11" s="1"/>
  <c r="S1032" i="11" s="1"/>
  <c r="S1033" i="11" s="1"/>
  <c r="S1034" i="11" s="1"/>
  <c r="S19" i="11"/>
  <c r="S20" i="11" s="1"/>
  <c r="S21" i="11" s="1"/>
  <c r="S19" i="10"/>
  <c r="S20" i="10" s="1"/>
  <c r="S21" i="10" s="1"/>
  <c r="S22" i="10" s="1"/>
  <c r="S23" i="10" s="1"/>
  <c r="S24" i="10" s="1"/>
  <c r="S25" i="10" s="1"/>
  <c r="S26" i="10" s="1"/>
  <c r="S27" i="10" s="1"/>
  <c r="S28" i="10" s="1"/>
  <c r="S29" i="10" s="1"/>
  <c r="S30" i="10" s="1"/>
  <c r="S31" i="10" s="1"/>
  <c r="S32" i="10" s="1"/>
  <c r="S33" i="10" s="1"/>
  <c r="S34" i="10" s="1"/>
  <c r="S35" i="10" s="1"/>
  <c r="S36" i="10" s="1"/>
  <c r="S37" i="10" s="1"/>
  <c r="S38" i="10" s="1"/>
  <c r="S39" i="10" s="1"/>
  <c r="S40" i="10" s="1"/>
  <c r="S41" i="10" s="1"/>
  <c r="S42" i="10" s="1"/>
  <c r="S43" i="10" s="1"/>
  <c r="S44" i="10" s="1"/>
  <c r="S45" i="10" s="1"/>
  <c r="S46" i="10" s="1"/>
  <c r="S47" i="10" s="1"/>
  <c r="S48" i="10" s="1"/>
  <c r="S49" i="10" s="1"/>
  <c r="S50" i="10" s="1"/>
  <c r="S51" i="10" s="1"/>
  <c r="S52" i="10" s="1"/>
  <c r="S53" i="10" s="1"/>
  <c r="S54" i="10" s="1"/>
  <c r="S55" i="10" s="1"/>
  <c r="S56" i="10" s="1"/>
  <c r="S57" i="10" s="1"/>
  <c r="S58" i="10" s="1"/>
  <c r="S59" i="10" s="1"/>
  <c r="S60" i="10" s="1"/>
  <c r="S61" i="10" s="1"/>
  <c r="S62" i="10" s="1"/>
  <c r="S63" i="10" s="1"/>
  <c r="S64" i="10" s="1"/>
  <c r="S65" i="10" s="1"/>
  <c r="S66" i="10" s="1"/>
  <c r="S67" i="10" s="1"/>
  <c r="S68" i="10" s="1"/>
  <c r="S69" i="10" s="1"/>
  <c r="S70" i="10" s="1"/>
  <c r="S71" i="10" s="1"/>
  <c r="S72" i="10" s="1"/>
  <c r="S73" i="10" s="1"/>
  <c r="S74" i="10" s="1"/>
  <c r="S75" i="10" s="1"/>
  <c r="S76" i="10" s="1"/>
  <c r="S77" i="10" s="1"/>
  <c r="S78" i="10" s="1"/>
  <c r="S79" i="10" s="1"/>
  <c r="S80" i="10" s="1"/>
  <c r="S81" i="10" s="1"/>
  <c r="S82" i="10" s="1"/>
  <c r="S83" i="10" s="1"/>
  <c r="S84" i="10" s="1"/>
  <c r="S85" i="10" s="1"/>
  <c r="S86" i="10" s="1"/>
  <c r="S87" i="10" s="1"/>
  <c r="S88" i="10" s="1"/>
  <c r="S89" i="10" s="1"/>
  <c r="S90" i="10" s="1"/>
  <c r="S91" i="10" s="1"/>
  <c r="S92" i="10" s="1"/>
  <c r="S93" i="10" s="1"/>
  <c r="S94" i="10" s="1"/>
  <c r="S95" i="10" s="1"/>
  <c r="S96" i="10" s="1"/>
  <c r="S97" i="10" s="1"/>
  <c r="S98" i="10" s="1"/>
  <c r="S99" i="10" s="1"/>
  <c r="S100" i="10" s="1"/>
  <c r="S101" i="10" s="1"/>
  <c r="S102" i="10" s="1"/>
  <c r="S103" i="10" s="1"/>
  <c r="S104" i="10" s="1"/>
  <c r="S105" i="10" s="1"/>
  <c r="S106" i="10" s="1"/>
  <c r="S107" i="10" s="1"/>
  <c r="S108" i="10" s="1"/>
  <c r="S109" i="10" s="1"/>
  <c r="S110" i="10" s="1"/>
  <c r="S111" i="10" s="1"/>
  <c r="S112" i="10" s="1"/>
  <c r="S113" i="10" s="1"/>
  <c r="S114" i="10" s="1"/>
  <c r="S115" i="10" s="1"/>
  <c r="S116" i="10" s="1"/>
  <c r="S117" i="10" s="1"/>
  <c r="S118" i="10" s="1"/>
  <c r="S119" i="10" s="1"/>
  <c r="S120" i="10" s="1"/>
  <c r="S121" i="10" s="1"/>
  <c r="S122" i="10" s="1"/>
  <c r="S123" i="10" s="1"/>
  <c r="S124" i="10" s="1"/>
  <c r="S125" i="10" s="1"/>
  <c r="S126" i="10" s="1"/>
  <c r="S127" i="10" s="1"/>
  <c r="S128" i="10" s="1"/>
  <c r="S129" i="10" s="1"/>
  <c r="S130" i="10" s="1"/>
  <c r="S131" i="10" s="1"/>
  <c r="S132" i="10" s="1"/>
  <c r="S133" i="10" s="1"/>
  <c r="S134" i="10" s="1"/>
  <c r="S135" i="10" s="1"/>
  <c r="S136" i="10" s="1"/>
  <c r="S137" i="10" s="1"/>
  <c r="S138" i="10" s="1"/>
  <c r="S139" i="10" s="1"/>
  <c r="S140" i="10" s="1"/>
  <c r="S141" i="10" s="1"/>
  <c r="S142" i="10" s="1"/>
  <c r="S143" i="10" s="1"/>
  <c r="S144" i="10" s="1"/>
  <c r="S145" i="10" s="1"/>
  <c r="S146" i="10" s="1"/>
  <c r="S147" i="10" s="1"/>
  <c r="S148" i="10" s="1"/>
  <c r="S149" i="10" s="1"/>
  <c r="S150" i="10" s="1"/>
  <c r="S151" i="10" s="1"/>
  <c r="S152" i="10" s="1"/>
  <c r="S153" i="10" s="1"/>
  <c r="S154" i="10" s="1"/>
  <c r="S155" i="10" s="1"/>
  <c r="S156" i="10" s="1"/>
  <c r="S157" i="10" s="1"/>
  <c r="S158" i="10" s="1"/>
  <c r="S159" i="10" s="1"/>
  <c r="S160" i="10" s="1"/>
  <c r="S161" i="10" s="1"/>
  <c r="S162" i="10" s="1"/>
  <c r="S163" i="10" s="1"/>
  <c r="S164" i="10" s="1"/>
  <c r="S165" i="10" s="1"/>
  <c r="S166" i="10" s="1"/>
  <c r="S167" i="10" s="1"/>
  <c r="S168" i="10" s="1"/>
  <c r="S169" i="10" s="1"/>
  <c r="S170" i="10" s="1"/>
  <c r="S171" i="10" s="1"/>
  <c r="S172" i="10" s="1"/>
  <c r="S173" i="10" s="1"/>
  <c r="S174" i="10" s="1"/>
  <c r="S175" i="10" s="1"/>
  <c r="S176" i="10" s="1"/>
  <c r="S177" i="10" s="1"/>
  <c r="S178" i="10" s="1"/>
  <c r="S179" i="10" s="1"/>
  <c r="S180" i="10" s="1"/>
  <c r="S181" i="10" s="1"/>
  <c r="S182" i="10" s="1"/>
  <c r="S183" i="10" s="1"/>
  <c r="S184" i="10" s="1"/>
  <c r="S185" i="10" s="1"/>
  <c r="S186" i="10" s="1"/>
  <c r="S187" i="10" s="1"/>
  <c r="S188" i="10" s="1"/>
  <c r="S189" i="10" s="1"/>
  <c r="S190" i="10" s="1"/>
  <c r="S191" i="10" s="1"/>
  <c r="S192" i="10" s="1"/>
  <c r="S193" i="10" s="1"/>
  <c r="S194" i="10" s="1"/>
  <c r="S195" i="10" s="1"/>
  <c r="S196" i="10" s="1"/>
  <c r="S197" i="10" s="1"/>
  <c r="S198" i="10" s="1"/>
  <c r="S199" i="10" s="1"/>
  <c r="S200" i="10" s="1"/>
  <c r="S201" i="10" s="1"/>
  <c r="S202" i="10" s="1"/>
  <c r="S203" i="10" s="1"/>
  <c r="S204" i="10" s="1"/>
  <c r="S205" i="10" s="1"/>
  <c r="S206" i="10" s="1"/>
  <c r="S207" i="10" s="1"/>
  <c r="S208" i="10" s="1"/>
  <c r="S209" i="10" s="1"/>
  <c r="S210" i="10" s="1"/>
  <c r="S211" i="10" s="1"/>
  <c r="S212" i="10" s="1"/>
  <c r="S213" i="10" s="1"/>
  <c r="S214" i="10" s="1"/>
  <c r="S215" i="10" s="1"/>
  <c r="S216" i="10" s="1"/>
  <c r="S217" i="10" s="1"/>
  <c r="S218" i="10" s="1"/>
  <c r="S219" i="10" s="1"/>
  <c r="S220" i="10" s="1"/>
  <c r="S221" i="10" s="1"/>
  <c r="S222" i="10" s="1"/>
  <c r="S223" i="10" s="1"/>
  <c r="S224" i="10" s="1"/>
  <c r="S225" i="10" s="1"/>
  <c r="S226" i="10" s="1"/>
  <c r="S227" i="10" s="1"/>
  <c r="S228" i="10" s="1"/>
  <c r="S229" i="10" s="1"/>
  <c r="S230" i="10" s="1"/>
  <c r="S231" i="10" s="1"/>
  <c r="S232" i="10" s="1"/>
  <c r="S233" i="10" s="1"/>
  <c r="S234" i="10" s="1"/>
  <c r="S235" i="10" s="1"/>
  <c r="S236" i="10" s="1"/>
  <c r="S237" i="10" s="1"/>
  <c r="S238" i="10" s="1"/>
  <c r="S239" i="10" s="1"/>
  <c r="S240" i="10" s="1"/>
  <c r="S241" i="10" s="1"/>
  <c r="S242" i="10" s="1"/>
  <c r="S243" i="10" s="1"/>
  <c r="S244" i="10" s="1"/>
  <c r="S245" i="10" s="1"/>
  <c r="S246" i="10" s="1"/>
  <c r="S247" i="10" s="1"/>
  <c r="S248" i="10" s="1"/>
  <c r="S249" i="10" s="1"/>
  <c r="S250" i="10" s="1"/>
  <c r="S251" i="10" s="1"/>
  <c r="S252" i="10" s="1"/>
  <c r="S253" i="10" s="1"/>
  <c r="S254" i="10" s="1"/>
  <c r="S255" i="10" s="1"/>
  <c r="S256" i="10" s="1"/>
  <c r="S257" i="10" s="1"/>
  <c r="S258" i="10" s="1"/>
  <c r="S259" i="10" s="1"/>
  <c r="S260" i="10" s="1"/>
  <c r="S261" i="10" s="1"/>
  <c r="S262" i="10" s="1"/>
  <c r="S263" i="10" s="1"/>
  <c r="S264" i="10" s="1"/>
  <c r="S265" i="10" s="1"/>
  <c r="S266" i="10" s="1"/>
  <c r="S267" i="10" s="1"/>
  <c r="S268" i="10" s="1"/>
  <c r="S269" i="10" s="1"/>
  <c r="S270" i="10" s="1"/>
  <c r="S271" i="10" s="1"/>
  <c r="S272" i="10" s="1"/>
  <c r="S273" i="10" s="1"/>
  <c r="S274" i="10" s="1"/>
  <c r="S275" i="10" s="1"/>
  <c r="S276" i="10" s="1"/>
  <c r="S277" i="10" s="1"/>
  <c r="S278" i="10" s="1"/>
  <c r="S279" i="10" s="1"/>
  <c r="S280" i="10" s="1"/>
  <c r="S281" i="10" s="1"/>
  <c r="S282" i="10" s="1"/>
  <c r="S283" i="10" s="1"/>
  <c r="S284" i="10" s="1"/>
  <c r="S285" i="10" s="1"/>
  <c r="S286" i="10" s="1"/>
  <c r="S287" i="10" s="1"/>
  <c r="S288" i="10" s="1"/>
  <c r="S289" i="10" s="1"/>
  <c r="S290" i="10" s="1"/>
  <c r="S291" i="10" s="1"/>
  <c r="S292" i="10" s="1"/>
  <c r="S293" i="10" s="1"/>
  <c r="S294" i="10" s="1"/>
  <c r="S295" i="10" s="1"/>
  <c r="S296" i="10" s="1"/>
  <c r="S297" i="10" s="1"/>
  <c r="S298" i="10" s="1"/>
  <c r="S299" i="10" s="1"/>
  <c r="S300" i="10" s="1"/>
  <c r="S301" i="10" s="1"/>
  <c r="S302" i="10" s="1"/>
  <c r="S303" i="10" s="1"/>
  <c r="S304" i="10" s="1"/>
  <c r="S305" i="10" s="1"/>
  <c r="S306" i="10" s="1"/>
  <c r="S307" i="10" s="1"/>
  <c r="S308" i="10" s="1"/>
  <c r="S309" i="10" s="1"/>
  <c r="S310" i="10" s="1"/>
  <c r="S311" i="10" s="1"/>
  <c r="S312" i="10" s="1"/>
  <c r="S313" i="10" s="1"/>
  <c r="S314" i="10" s="1"/>
  <c r="S315" i="10" s="1"/>
  <c r="S316" i="10" s="1"/>
  <c r="S317" i="10" s="1"/>
  <c r="S318" i="10" s="1"/>
  <c r="S319" i="10" s="1"/>
  <c r="S320" i="10" s="1"/>
  <c r="S321" i="10" s="1"/>
  <c r="S322" i="10" s="1"/>
  <c r="S323" i="10" s="1"/>
  <c r="S324" i="10" s="1"/>
  <c r="S325" i="10" s="1"/>
  <c r="S326" i="10" s="1"/>
  <c r="S327" i="10" s="1"/>
  <c r="S328" i="10" s="1"/>
  <c r="S329" i="10" s="1"/>
  <c r="S330" i="10" s="1"/>
  <c r="S331" i="10" s="1"/>
  <c r="S332" i="10" s="1"/>
  <c r="S333" i="10" s="1"/>
  <c r="S334" i="10" s="1"/>
  <c r="S335" i="10" s="1"/>
  <c r="S336" i="10" s="1"/>
  <c r="S337" i="10" s="1"/>
  <c r="S338" i="10" s="1"/>
  <c r="S339" i="10" s="1"/>
  <c r="S340" i="10" s="1"/>
  <c r="S341" i="10" s="1"/>
  <c r="S342" i="10" s="1"/>
  <c r="S343" i="10" s="1"/>
  <c r="S344" i="10" s="1"/>
  <c r="S345" i="10" s="1"/>
  <c r="S346" i="10" s="1"/>
  <c r="S347" i="10" s="1"/>
  <c r="S348" i="10" s="1"/>
  <c r="S349" i="10" s="1"/>
  <c r="S350" i="10" s="1"/>
  <c r="S351" i="10" s="1"/>
  <c r="S352" i="10" s="1"/>
  <c r="S353" i="10" s="1"/>
  <c r="S354" i="10" s="1"/>
  <c r="S355" i="10" s="1"/>
  <c r="S356" i="10" s="1"/>
  <c r="S357" i="10" s="1"/>
  <c r="S358" i="10" s="1"/>
  <c r="S359" i="10" s="1"/>
  <c r="S360" i="10" s="1"/>
  <c r="S361" i="10" s="1"/>
  <c r="S362" i="10" s="1"/>
  <c r="S363" i="10" s="1"/>
  <c r="S364" i="10" s="1"/>
  <c r="S365" i="10" s="1"/>
  <c r="S366" i="10" s="1"/>
  <c r="S367" i="10" s="1"/>
  <c r="S368" i="10" s="1"/>
  <c r="S369" i="10" s="1"/>
  <c r="S370" i="10" s="1"/>
  <c r="S371" i="10" s="1"/>
  <c r="S372" i="10" s="1"/>
  <c r="S373" i="10" s="1"/>
  <c r="S374" i="10" s="1"/>
  <c r="S375" i="10" s="1"/>
  <c r="S376" i="10" s="1"/>
  <c r="S377" i="10" s="1"/>
  <c r="S378" i="10" s="1"/>
  <c r="S379" i="10" s="1"/>
  <c r="S380" i="10" s="1"/>
  <c r="S381" i="10" s="1"/>
  <c r="S382" i="10" s="1"/>
  <c r="S383" i="10" s="1"/>
  <c r="S384" i="10" s="1"/>
  <c r="S385" i="10" s="1"/>
  <c r="S386" i="10" s="1"/>
  <c r="S387" i="10" s="1"/>
  <c r="S388" i="10" s="1"/>
  <c r="S389" i="10" s="1"/>
  <c r="S390" i="10" s="1"/>
  <c r="S391" i="10" s="1"/>
  <c r="S392" i="10" s="1"/>
  <c r="S393" i="10" s="1"/>
  <c r="S394" i="10" s="1"/>
  <c r="S395" i="10" s="1"/>
  <c r="S396" i="10" s="1"/>
  <c r="S397" i="10" s="1"/>
  <c r="S398" i="10" s="1"/>
  <c r="S399" i="10" s="1"/>
  <c r="S400" i="10" s="1"/>
  <c r="S401" i="10" s="1"/>
  <c r="S402" i="10" s="1"/>
  <c r="S403" i="10" s="1"/>
  <c r="S404" i="10" s="1"/>
  <c r="S405" i="10" s="1"/>
  <c r="S406" i="10" s="1"/>
  <c r="S407" i="10" s="1"/>
  <c r="S408" i="10" s="1"/>
  <c r="S409" i="10" s="1"/>
  <c r="S410" i="10" s="1"/>
  <c r="S411" i="10" s="1"/>
  <c r="S412" i="10" s="1"/>
  <c r="S413" i="10" s="1"/>
  <c r="S414" i="10" s="1"/>
  <c r="S415" i="10" s="1"/>
  <c r="S416" i="10" s="1"/>
  <c r="S417" i="10" s="1"/>
  <c r="S418" i="10" s="1"/>
  <c r="S419" i="10" s="1"/>
  <c r="S420" i="10" s="1"/>
  <c r="S421" i="10" s="1"/>
  <c r="S422" i="10" s="1"/>
  <c r="S423" i="10" s="1"/>
  <c r="S424" i="10" s="1"/>
  <c r="S425" i="10" s="1"/>
  <c r="S426" i="10" s="1"/>
  <c r="S427" i="10" s="1"/>
  <c r="S428" i="10" s="1"/>
  <c r="S429" i="10" s="1"/>
  <c r="S430" i="10" s="1"/>
  <c r="S431" i="10" s="1"/>
  <c r="S432" i="10" s="1"/>
  <c r="S433" i="10" s="1"/>
  <c r="S434" i="10" s="1"/>
  <c r="S435" i="10" s="1"/>
  <c r="S436" i="10" s="1"/>
  <c r="S437" i="10" s="1"/>
  <c r="S438" i="10" s="1"/>
  <c r="S439" i="10" s="1"/>
  <c r="S440" i="10" s="1"/>
  <c r="S441" i="10" s="1"/>
  <c r="S442" i="10" s="1"/>
  <c r="S443" i="10" s="1"/>
  <c r="S444" i="10" s="1"/>
  <c r="S445" i="10" s="1"/>
  <c r="S446" i="10" s="1"/>
  <c r="S447" i="10" s="1"/>
  <c r="S448" i="10" s="1"/>
  <c r="S449" i="10" s="1"/>
  <c r="S450" i="10" s="1"/>
  <c r="S451" i="10" s="1"/>
  <c r="S452" i="10" s="1"/>
  <c r="S453" i="10" s="1"/>
  <c r="S454" i="10" s="1"/>
  <c r="S455" i="10" s="1"/>
  <c r="S456" i="10" s="1"/>
  <c r="S457" i="10" s="1"/>
  <c r="S458" i="10" s="1"/>
  <c r="S459" i="10" s="1"/>
  <c r="S460" i="10" s="1"/>
  <c r="S461" i="10" s="1"/>
  <c r="S462" i="10" s="1"/>
  <c r="S463" i="10" s="1"/>
  <c r="S464" i="10" s="1"/>
  <c r="S465" i="10" s="1"/>
  <c r="S466" i="10" s="1"/>
  <c r="S467" i="10" s="1"/>
  <c r="S468" i="10" s="1"/>
  <c r="S469" i="10" s="1"/>
  <c r="S470" i="10" s="1"/>
  <c r="S471" i="10" s="1"/>
  <c r="S472" i="10" s="1"/>
  <c r="S473" i="10" s="1"/>
  <c r="S474" i="10" s="1"/>
  <c r="S475" i="10" s="1"/>
  <c r="S476" i="10" s="1"/>
  <c r="S477" i="10" s="1"/>
  <c r="S478" i="10" s="1"/>
  <c r="S479" i="10" s="1"/>
  <c r="S480" i="10" s="1"/>
  <c r="S481" i="10" s="1"/>
  <c r="S482" i="10" s="1"/>
  <c r="S483" i="10" s="1"/>
  <c r="S484" i="10" s="1"/>
  <c r="S485" i="10" s="1"/>
  <c r="S486" i="10" s="1"/>
  <c r="S487" i="10" s="1"/>
  <c r="S488" i="10" s="1"/>
  <c r="S489" i="10" s="1"/>
  <c r="S490" i="10" s="1"/>
  <c r="S491" i="10" s="1"/>
  <c r="S492" i="10" s="1"/>
  <c r="S493" i="10" s="1"/>
  <c r="S494" i="10" s="1"/>
  <c r="S495" i="10" s="1"/>
  <c r="S496" i="10" s="1"/>
  <c r="S497" i="10" s="1"/>
  <c r="S498" i="10" s="1"/>
  <c r="S499" i="10" s="1"/>
  <c r="S500" i="10" s="1"/>
  <c r="S501" i="10" s="1"/>
  <c r="S502" i="10" s="1"/>
  <c r="S503" i="10" s="1"/>
  <c r="S504" i="10" s="1"/>
  <c r="S505" i="10" s="1"/>
  <c r="S506" i="10" s="1"/>
  <c r="S507" i="10" s="1"/>
  <c r="S508" i="10" s="1"/>
  <c r="S509" i="10" s="1"/>
  <c r="S510" i="10" s="1"/>
  <c r="S511" i="10" s="1"/>
  <c r="S512" i="10" s="1"/>
  <c r="S513" i="10" s="1"/>
  <c r="S514" i="10" s="1"/>
  <c r="S515" i="10" s="1"/>
  <c r="S516" i="10" s="1"/>
  <c r="S517" i="10" s="1"/>
  <c r="S518" i="10" s="1"/>
  <c r="S519" i="10" s="1"/>
  <c r="S520" i="10" s="1"/>
  <c r="S521" i="10" s="1"/>
  <c r="S522" i="10" s="1"/>
  <c r="S523" i="10" s="1"/>
  <c r="S524" i="10" s="1"/>
  <c r="S525" i="10" s="1"/>
  <c r="S526" i="10" s="1"/>
  <c r="S527" i="10" s="1"/>
  <c r="S528" i="10" s="1"/>
  <c r="S529" i="10" s="1"/>
  <c r="S530" i="10" s="1"/>
  <c r="S531" i="10" s="1"/>
  <c r="S532" i="10" s="1"/>
  <c r="S533" i="10" s="1"/>
  <c r="S534" i="10" s="1"/>
  <c r="S535" i="10" s="1"/>
  <c r="S536" i="10" s="1"/>
  <c r="S537" i="10" s="1"/>
  <c r="S538" i="10" s="1"/>
  <c r="S539" i="10" s="1"/>
  <c r="S540" i="10" s="1"/>
  <c r="S541" i="10" s="1"/>
  <c r="S542" i="10" s="1"/>
  <c r="S543" i="10" s="1"/>
  <c r="S544" i="10" s="1"/>
  <c r="S545" i="10" s="1"/>
  <c r="S546" i="10" s="1"/>
  <c r="S547" i="10" s="1"/>
  <c r="S548" i="10" s="1"/>
  <c r="S549" i="10" s="1"/>
  <c r="S550" i="10" s="1"/>
  <c r="S551" i="10" s="1"/>
  <c r="S552" i="10" s="1"/>
  <c r="S553" i="10" s="1"/>
  <c r="S554" i="10" s="1"/>
  <c r="S555" i="10" s="1"/>
  <c r="S556" i="10" s="1"/>
  <c r="S557" i="10" s="1"/>
  <c r="S558" i="10" s="1"/>
  <c r="S559" i="10" s="1"/>
  <c r="S560" i="10" s="1"/>
  <c r="S561" i="10" s="1"/>
  <c r="S562" i="10" s="1"/>
  <c r="S563" i="10" s="1"/>
  <c r="S564" i="10" s="1"/>
  <c r="S565" i="10" s="1"/>
  <c r="S566" i="10" s="1"/>
  <c r="S567" i="10" s="1"/>
  <c r="S568" i="10" s="1"/>
  <c r="S569" i="10" s="1"/>
  <c r="S570" i="10" s="1"/>
  <c r="S571" i="10" s="1"/>
  <c r="S572" i="10" s="1"/>
  <c r="S573" i="10" s="1"/>
  <c r="S574" i="10" s="1"/>
  <c r="S575" i="10" s="1"/>
  <c r="S576" i="10" s="1"/>
  <c r="S577" i="10" s="1"/>
  <c r="S578" i="10" s="1"/>
  <c r="S579" i="10" s="1"/>
  <c r="S580" i="10" s="1"/>
  <c r="S581" i="10" s="1"/>
  <c r="S582" i="10" s="1"/>
  <c r="S583" i="10" s="1"/>
  <c r="S584" i="10" s="1"/>
  <c r="S585" i="10" s="1"/>
  <c r="S586" i="10" s="1"/>
  <c r="S587" i="10" s="1"/>
  <c r="S588" i="10" s="1"/>
  <c r="S589" i="10" s="1"/>
  <c r="S590" i="10" s="1"/>
  <c r="S591" i="10" s="1"/>
  <c r="S592" i="10" s="1"/>
  <c r="S593" i="10" s="1"/>
  <c r="S594" i="10" s="1"/>
  <c r="S595" i="10" s="1"/>
  <c r="S596" i="10" s="1"/>
  <c r="S597" i="10" s="1"/>
  <c r="S598" i="10" s="1"/>
  <c r="S599" i="10" s="1"/>
  <c r="S600" i="10" s="1"/>
  <c r="S601" i="10" s="1"/>
  <c r="S602" i="10" s="1"/>
  <c r="S603" i="10" s="1"/>
  <c r="S604" i="10" s="1"/>
  <c r="S605" i="10" s="1"/>
  <c r="S606" i="10" s="1"/>
  <c r="S607" i="10" s="1"/>
  <c r="S608" i="10" s="1"/>
  <c r="S609" i="10" s="1"/>
  <c r="S610" i="10" s="1"/>
  <c r="S611" i="10" s="1"/>
  <c r="S612" i="10" s="1"/>
  <c r="S613" i="10" s="1"/>
  <c r="S614" i="10" s="1"/>
  <c r="S615" i="10" s="1"/>
  <c r="S616" i="10" s="1"/>
  <c r="S617" i="10" s="1"/>
  <c r="S618" i="10" s="1"/>
  <c r="S619" i="10" s="1"/>
  <c r="S620" i="10" s="1"/>
  <c r="S621" i="10" s="1"/>
  <c r="S622" i="10" s="1"/>
  <c r="S623" i="10" s="1"/>
  <c r="S624" i="10" s="1"/>
  <c r="S625" i="10" s="1"/>
  <c r="S626" i="10" s="1"/>
  <c r="S627" i="10" s="1"/>
  <c r="S628" i="10" s="1"/>
  <c r="S629" i="10" s="1"/>
  <c r="S630" i="10" s="1"/>
  <c r="S631" i="10" s="1"/>
  <c r="S632" i="10" s="1"/>
  <c r="S633" i="10" s="1"/>
  <c r="S634" i="10" s="1"/>
  <c r="S635" i="10" s="1"/>
  <c r="S636" i="10" s="1"/>
  <c r="S637" i="10" s="1"/>
  <c r="S638" i="10" s="1"/>
  <c r="S639" i="10" s="1"/>
  <c r="S640" i="10" s="1"/>
  <c r="S641" i="10" s="1"/>
  <c r="S642" i="10" s="1"/>
  <c r="S643" i="10" s="1"/>
  <c r="S644" i="10" s="1"/>
  <c r="S645" i="10" s="1"/>
  <c r="S646" i="10" s="1"/>
  <c r="S647" i="10" s="1"/>
  <c r="S648" i="10" s="1"/>
  <c r="S649" i="10" s="1"/>
  <c r="S650" i="10" s="1"/>
  <c r="S651" i="10" s="1"/>
  <c r="S652" i="10" s="1"/>
  <c r="S653" i="10" s="1"/>
  <c r="S654" i="10" s="1"/>
  <c r="S655" i="10" s="1"/>
  <c r="S656" i="10" s="1"/>
  <c r="S657" i="10" s="1"/>
  <c r="S658" i="10" s="1"/>
  <c r="S659" i="10" s="1"/>
  <c r="S660" i="10" s="1"/>
  <c r="S661" i="10" s="1"/>
  <c r="S662" i="10" s="1"/>
  <c r="S663" i="10" s="1"/>
  <c r="S664" i="10" s="1"/>
  <c r="S665" i="10" s="1"/>
  <c r="S666" i="10" s="1"/>
  <c r="S667" i="10" s="1"/>
  <c r="S668" i="10" s="1"/>
  <c r="S669" i="10" s="1"/>
  <c r="S670" i="10" s="1"/>
  <c r="S671" i="10" s="1"/>
  <c r="S672" i="10" s="1"/>
  <c r="S673" i="10" s="1"/>
  <c r="S674" i="10" s="1"/>
  <c r="S675" i="10" s="1"/>
  <c r="S676" i="10" s="1"/>
  <c r="S677" i="10" s="1"/>
  <c r="S678" i="10" s="1"/>
  <c r="S679" i="10" s="1"/>
  <c r="S680" i="10" s="1"/>
  <c r="S681" i="10" s="1"/>
  <c r="S682" i="10" s="1"/>
  <c r="S683" i="10" s="1"/>
  <c r="S684" i="10" s="1"/>
  <c r="S685" i="10" s="1"/>
  <c r="S686" i="10" s="1"/>
  <c r="S687" i="10" s="1"/>
  <c r="S688" i="10" s="1"/>
  <c r="S689" i="10" s="1"/>
  <c r="S690" i="10" s="1"/>
  <c r="S691" i="10" s="1"/>
  <c r="S692" i="10" s="1"/>
  <c r="S693" i="10" s="1"/>
  <c r="S694" i="10" s="1"/>
  <c r="S695" i="10" s="1"/>
  <c r="S696" i="10" s="1"/>
  <c r="S697" i="10" s="1"/>
  <c r="S698" i="10" s="1"/>
  <c r="S699" i="10" s="1"/>
  <c r="S700" i="10" s="1"/>
  <c r="S701" i="10" s="1"/>
  <c r="S702" i="10" s="1"/>
  <c r="S703" i="10" s="1"/>
  <c r="S704" i="10" s="1"/>
  <c r="S705" i="10" s="1"/>
  <c r="S706" i="10" s="1"/>
  <c r="S707" i="10" s="1"/>
  <c r="S708" i="10" s="1"/>
  <c r="S709" i="10" s="1"/>
  <c r="S710" i="10" s="1"/>
  <c r="S711" i="10" s="1"/>
  <c r="S712" i="10" s="1"/>
  <c r="S713" i="10" s="1"/>
  <c r="S714" i="10" s="1"/>
  <c r="S715" i="10" s="1"/>
  <c r="S716" i="10" s="1"/>
  <c r="S717" i="10" s="1"/>
  <c r="S718" i="10" s="1"/>
  <c r="S719" i="10" s="1"/>
  <c r="S720" i="10" s="1"/>
  <c r="S721" i="10" s="1"/>
  <c r="S722" i="10" s="1"/>
  <c r="S723" i="10" s="1"/>
  <c r="S724" i="10" s="1"/>
  <c r="S725" i="10" s="1"/>
  <c r="S726" i="10" s="1"/>
  <c r="S727" i="10" s="1"/>
  <c r="S728" i="10" s="1"/>
  <c r="S729" i="10" s="1"/>
  <c r="S730" i="10" s="1"/>
  <c r="S731" i="10" s="1"/>
  <c r="S732" i="10" s="1"/>
  <c r="S733" i="10" s="1"/>
  <c r="S734" i="10" s="1"/>
  <c r="S735" i="10" s="1"/>
  <c r="S736" i="10" s="1"/>
  <c r="S737" i="10" s="1"/>
  <c r="S738" i="10" s="1"/>
  <c r="S739" i="10" s="1"/>
  <c r="S740" i="10" s="1"/>
  <c r="S741" i="10" s="1"/>
  <c r="S742" i="10" s="1"/>
  <c r="S743" i="10" s="1"/>
  <c r="S744" i="10" s="1"/>
  <c r="S745" i="10" s="1"/>
  <c r="S746" i="10" s="1"/>
  <c r="S747" i="10" s="1"/>
  <c r="S748" i="10" s="1"/>
  <c r="S749" i="10" s="1"/>
  <c r="S750" i="10" s="1"/>
  <c r="S751" i="10" s="1"/>
  <c r="S752" i="10" s="1"/>
  <c r="S753" i="10" s="1"/>
  <c r="S754" i="10" s="1"/>
  <c r="S755" i="10" s="1"/>
  <c r="S756" i="10" s="1"/>
  <c r="S757" i="10" s="1"/>
  <c r="S758" i="10" s="1"/>
  <c r="S759" i="10" s="1"/>
  <c r="S760" i="10" s="1"/>
  <c r="S761" i="10" s="1"/>
  <c r="S762" i="10" s="1"/>
  <c r="S763" i="10" s="1"/>
  <c r="S764" i="10" s="1"/>
  <c r="S765" i="10" s="1"/>
  <c r="S766" i="10" s="1"/>
  <c r="S767" i="10" s="1"/>
  <c r="S768" i="10" s="1"/>
  <c r="S769" i="10" s="1"/>
  <c r="S770" i="10" s="1"/>
  <c r="S771" i="10" s="1"/>
  <c r="S772" i="10" s="1"/>
  <c r="S773" i="10" s="1"/>
  <c r="S774" i="10" s="1"/>
  <c r="S775" i="10" s="1"/>
  <c r="S776" i="10" s="1"/>
  <c r="S777" i="10" s="1"/>
  <c r="S778" i="10" s="1"/>
  <c r="S779" i="10" s="1"/>
  <c r="S780" i="10" s="1"/>
  <c r="S781" i="10" s="1"/>
  <c r="S782" i="10" s="1"/>
  <c r="S783" i="10" s="1"/>
  <c r="S784" i="10" s="1"/>
  <c r="S785" i="10" s="1"/>
  <c r="S786" i="10" s="1"/>
  <c r="S787" i="10" s="1"/>
  <c r="S788" i="10" s="1"/>
  <c r="S789" i="10" s="1"/>
  <c r="S790" i="10" s="1"/>
  <c r="S791" i="10" s="1"/>
  <c r="S792" i="10" s="1"/>
  <c r="S793" i="10" s="1"/>
  <c r="S794" i="10" s="1"/>
  <c r="S795" i="10" s="1"/>
  <c r="S796" i="10" s="1"/>
  <c r="S797" i="10" s="1"/>
  <c r="S798" i="10" s="1"/>
  <c r="S799" i="10" s="1"/>
  <c r="S800" i="10" s="1"/>
  <c r="S801" i="10" s="1"/>
  <c r="S802" i="10" s="1"/>
  <c r="S803" i="10" s="1"/>
  <c r="S804" i="10" s="1"/>
  <c r="S805" i="10" s="1"/>
  <c r="S806" i="10" s="1"/>
  <c r="S807" i="10" s="1"/>
  <c r="S808" i="10" s="1"/>
  <c r="S809" i="10" s="1"/>
  <c r="S810" i="10" s="1"/>
  <c r="S811" i="10" s="1"/>
  <c r="S812" i="10" s="1"/>
  <c r="S813" i="10" s="1"/>
  <c r="S814" i="10" s="1"/>
  <c r="S815" i="10" s="1"/>
  <c r="S816" i="10" s="1"/>
  <c r="S817" i="10" s="1"/>
  <c r="S818" i="10" s="1"/>
  <c r="S819" i="10" s="1"/>
  <c r="S820" i="10" s="1"/>
  <c r="S821" i="10" s="1"/>
  <c r="S822" i="10" s="1"/>
  <c r="S823" i="10" s="1"/>
  <c r="S824" i="10" s="1"/>
  <c r="S825" i="10" s="1"/>
  <c r="S826" i="10" s="1"/>
  <c r="S827" i="10" s="1"/>
  <c r="S828" i="10" s="1"/>
  <c r="S829" i="10" s="1"/>
  <c r="S830" i="10" s="1"/>
  <c r="S831" i="10" s="1"/>
  <c r="S832" i="10" s="1"/>
  <c r="S833" i="10" s="1"/>
  <c r="S834" i="10" s="1"/>
  <c r="S835" i="10" s="1"/>
  <c r="S836" i="10" s="1"/>
  <c r="S837" i="10" s="1"/>
  <c r="S838" i="10" s="1"/>
  <c r="S839" i="10" s="1"/>
  <c r="S840" i="10" s="1"/>
  <c r="S841" i="10" s="1"/>
  <c r="S842" i="10" s="1"/>
  <c r="S843" i="10" s="1"/>
  <c r="S844" i="10" s="1"/>
  <c r="S845" i="10" s="1"/>
  <c r="S846" i="10" s="1"/>
  <c r="S847" i="10" s="1"/>
  <c r="S848" i="10" s="1"/>
  <c r="S849" i="10" s="1"/>
  <c r="S850" i="10" s="1"/>
  <c r="S851" i="10" s="1"/>
  <c r="S852" i="10" s="1"/>
  <c r="S853" i="10" s="1"/>
  <c r="S854" i="10" s="1"/>
  <c r="S855" i="10" s="1"/>
  <c r="S856" i="10" s="1"/>
  <c r="S857" i="10" s="1"/>
  <c r="S858" i="10" s="1"/>
  <c r="S859" i="10" s="1"/>
  <c r="S860" i="10" s="1"/>
  <c r="S861" i="10" s="1"/>
  <c r="S862" i="10" s="1"/>
  <c r="S863" i="10" s="1"/>
  <c r="S864" i="10" s="1"/>
  <c r="S865" i="10" s="1"/>
  <c r="S866" i="10" s="1"/>
  <c r="S867" i="10" s="1"/>
  <c r="S868" i="10" s="1"/>
  <c r="S869" i="10" s="1"/>
  <c r="S870" i="10" s="1"/>
  <c r="S871" i="10" s="1"/>
  <c r="S872" i="10" s="1"/>
  <c r="S873" i="10" s="1"/>
  <c r="S874" i="10" s="1"/>
  <c r="S875" i="10" s="1"/>
  <c r="S876" i="10" s="1"/>
  <c r="S877" i="10" s="1"/>
  <c r="S878" i="10" s="1"/>
  <c r="S879" i="10" s="1"/>
  <c r="S880" i="10" s="1"/>
  <c r="S881" i="10" s="1"/>
  <c r="S882" i="10" s="1"/>
  <c r="S883" i="10" s="1"/>
  <c r="S884" i="10" s="1"/>
  <c r="S885" i="10" s="1"/>
  <c r="S886" i="10" s="1"/>
  <c r="S887" i="10" s="1"/>
  <c r="S888" i="10" s="1"/>
  <c r="S889" i="10" s="1"/>
  <c r="S890" i="10" s="1"/>
  <c r="S891" i="10" s="1"/>
  <c r="S892" i="10" s="1"/>
  <c r="S893" i="10" s="1"/>
  <c r="S894" i="10" s="1"/>
  <c r="S895" i="10" s="1"/>
  <c r="S896" i="10" s="1"/>
  <c r="S897" i="10" s="1"/>
  <c r="S898" i="10" s="1"/>
  <c r="S899" i="10" s="1"/>
  <c r="S900" i="10" s="1"/>
  <c r="S901" i="10" s="1"/>
  <c r="S902" i="10" s="1"/>
  <c r="S903" i="10" s="1"/>
  <c r="S904" i="10" s="1"/>
  <c r="S905" i="10" s="1"/>
  <c r="S906" i="10" s="1"/>
  <c r="S907" i="10" s="1"/>
  <c r="S908" i="10" s="1"/>
  <c r="S909" i="10" s="1"/>
  <c r="S910" i="10" s="1"/>
  <c r="S911" i="10" s="1"/>
  <c r="S912" i="10" s="1"/>
  <c r="S913" i="10" s="1"/>
  <c r="S914" i="10" s="1"/>
  <c r="S915" i="10" s="1"/>
  <c r="S916" i="10" s="1"/>
  <c r="S917" i="10" s="1"/>
  <c r="S918" i="10" s="1"/>
  <c r="S919" i="10" s="1"/>
  <c r="S920" i="10" s="1"/>
  <c r="S921" i="10" s="1"/>
  <c r="S922" i="10" s="1"/>
  <c r="S923" i="10" s="1"/>
  <c r="S924" i="10" s="1"/>
  <c r="S925" i="10" s="1"/>
  <c r="S926" i="10" s="1"/>
  <c r="S927" i="10" s="1"/>
  <c r="S928" i="10" s="1"/>
  <c r="S929" i="10" s="1"/>
  <c r="S930" i="10" s="1"/>
  <c r="S931" i="10" s="1"/>
  <c r="S932" i="10" s="1"/>
  <c r="S933" i="10" s="1"/>
  <c r="S934" i="10" s="1"/>
  <c r="S935" i="10" s="1"/>
  <c r="S936" i="10" s="1"/>
  <c r="S937" i="10" s="1"/>
  <c r="S938" i="10" s="1"/>
  <c r="S939" i="10" s="1"/>
  <c r="S940" i="10" s="1"/>
  <c r="S941" i="10" s="1"/>
  <c r="S942" i="10" s="1"/>
  <c r="S943" i="10" s="1"/>
  <c r="S944" i="10" s="1"/>
  <c r="S945" i="10" s="1"/>
  <c r="S946" i="10" s="1"/>
  <c r="S947" i="10" s="1"/>
  <c r="S948" i="10" s="1"/>
  <c r="S949" i="10" s="1"/>
  <c r="S950" i="10" s="1"/>
  <c r="S951" i="10" s="1"/>
  <c r="S952" i="10" s="1"/>
  <c r="S953" i="10" s="1"/>
  <c r="S954" i="10" s="1"/>
  <c r="S955" i="10" s="1"/>
  <c r="S956" i="10" s="1"/>
  <c r="S957" i="10" s="1"/>
  <c r="S958" i="10" s="1"/>
  <c r="S959" i="10" s="1"/>
  <c r="S960" i="10" s="1"/>
  <c r="S961" i="10" s="1"/>
  <c r="S962" i="10" s="1"/>
  <c r="S963" i="10" s="1"/>
  <c r="S964" i="10" s="1"/>
  <c r="S965" i="10" s="1"/>
  <c r="S966" i="10" s="1"/>
  <c r="S967" i="10" s="1"/>
  <c r="S968" i="10" s="1"/>
  <c r="S969" i="10" s="1"/>
  <c r="S970" i="10" s="1"/>
  <c r="S971" i="10" s="1"/>
  <c r="S972" i="10" s="1"/>
  <c r="S973" i="10" s="1"/>
  <c r="S974" i="10" s="1"/>
  <c r="S975" i="10" s="1"/>
  <c r="S976" i="10" s="1"/>
  <c r="S977" i="10" s="1"/>
  <c r="S978" i="10" s="1"/>
  <c r="S979" i="10" s="1"/>
  <c r="S980" i="10" s="1"/>
  <c r="S981" i="10" s="1"/>
  <c r="S982" i="10" s="1"/>
  <c r="S983" i="10" s="1"/>
  <c r="S984" i="10" s="1"/>
  <c r="S985" i="10" s="1"/>
  <c r="S986" i="10" s="1"/>
  <c r="S987" i="10" s="1"/>
  <c r="S988" i="10" s="1"/>
  <c r="S989" i="10" s="1"/>
  <c r="S990" i="10" s="1"/>
  <c r="S991" i="10" s="1"/>
  <c r="S992" i="10" s="1"/>
  <c r="S993" i="10" s="1"/>
  <c r="S994" i="10" s="1"/>
  <c r="S995" i="10" s="1"/>
  <c r="S996" i="10" s="1"/>
  <c r="S997" i="10" s="1"/>
  <c r="S998" i="10" s="1"/>
  <c r="S999" i="10" s="1"/>
  <c r="S1000" i="10" s="1"/>
  <c r="S1001" i="10" s="1"/>
  <c r="S1002" i="10" s="1"/>
  <c r="S1003" i="10" s="1"/>
  <c r="S1004" i="10" s="1"/>
  <c r="S1005" i="10" s="1"/>
  <c r="S1006" i="10" s="1"/>
  <c r="S1007" i="10" s="1"/>
  <c r="S1008" i="10" s="1"/>
  <c r="S1009" i="10" s="1"/>
  <c r="S1010" i="10" s="1"/>
  <c r="S1011" i="10" s="1"/>
  <c r="S1012" i="10" s="1"/>
  <c r="S1013" i="10" s="1"/>
  <c r="S1014" i="10" s="1"/>
  <c r="S1015" i="10" s="1"/>
  <c r="S1016" i="10" s="1"/>
  <c r="S1017" i="10" s="1"/>
  <c r="S1018" i="10" s="1"/>
  <c r="S1019" i="10" s="1"/>
  <c r="S1020" i="10" s="1"/>
  <c r="S1021" i="10" s="1"/>
  <c r="S1022" i="10" s="1"/>
  <c r="S1023" i="10" s="1"/>
  <c r="S1024" i="10" s="1"/>
  <c r="S1025" i="10" s="1"/>
  <c r="S1026" i="10" s="1"/>
  <c r="S1027" i="10" s="1"/>
  <c r="S1028" i="10" s="1"/>
  <c r="S1029" i="10" s="1"/>
  <c r="S1030" i="10" s="1"/>
  <c r="S1031" i="10" s="1"/>
  <c r="S1032" i="10" s="1"/>
  <c r="S1033" i="10" s="1"/>
  <c r="S1034" i="10" s="1"/>
  <c r="S23" i="9"/>
  <c r="S24" i="9" s="1"/>
  <c r="S25" i="9" s="1"/>
  <c r="S26" i="9" s="1"/>
  <c r="S27" i="9" s="1"/>
  <c r="S28" i="9" s="1"/>
  <c r="S29" i="9" s="1"/>
  <c r="S30" i="9" s="1"/>
  <c r="S31" i="9" s="1"/>
  <c r="S32" i="9" s="1"/>
  <c r="S33" i="9" s="1"/>
  <c r="S34" i="9" s="1"/>
  <c r="S35" i="9" s="1"/>
  <c r="S36" i="9" s="1"/>
  <c r="S37" i="9" s="1"/>
  <c r="S38" i="9" s="1"/>
  <c r="S39" i="9" s="1"/>
  <c r="S40" i="9" s="1"/>
  <c r="S41" i="9" s="1"/>
  <c r="S42" i="9" s="1"/>
  <c r="S43" i="9" s="1"/>
  <c r="S44" i="9" s="1"/>
  <c r="S45" i="9" s="1"/>
  <c r="S46" i="9" s="1"/>
  <c r="S47" i="9" s="1"/>
  <c r="S48" i="9" s="1"/>
  <c r="S49" i="9" s="1"/>
  <c r="S50" i="9" s="1"/>
  <c r="S51" i="9" s="1"/>
  <c r="S52" i="9" s="1"/>
  <c r="S53" i="9" s="1"/>
  <c r="S54" i="9" s="1"/>
  <c r="S55" i="9" s="1"/>
  <c r="S56" i="9" s="1"/>
  <c r="S57" i="9" s="1"/>
  <c r="S58" i="9" s="1"/>
  <c r="S59" i="9" s="1"/>
  <c r="S60" i="9" s="1"/>
  <c r="S61" i="9" s="1"/>
  <c r="S62" i="9" s="1"/>
  <c r="S63" i="9" s="1"/>
  <c r="S64" i="9" s="1"/>
  <c r="S65" i="9" s="1"/>
  <c r="S66" i="9" s="1"/>
  <c r="S67" i="9" s="1"/>
  <c r="S68" i="9" s="1"/>
  <c r="S69" i="9" s="1"/>
  <c r="S70" i="9" s="1"/>
  <c r="S71" i="9" s="1"/>
  <c r="S72" i="9" s="1"/>
  <c r="S73" i="9" s="1"/>
  <c r="S74" i="9" s="1"/>
  <c r="S75" i="9" s="1"/>
  <c r="S76" i="9" s="1"/>
  <c r="S77" i="9" s="1"/>
  <c r="S78" i="9" s="1"/>
  <c r="S79" i="9" s="1"/>
  <c r="S80" i="9" s="1"/>
  <c r="S81" i="9" s="1"/>
  <c r="S82" i="9" s="1"/>
  <c r="S83" i="9" s="1"/>
  <c r="S84" i="9" s="1"/>
  <c r="S85" i="9" s="1"/>
  <c r="S86" i="9" s="1"/>
  <c r="S87" i="9" s="1"/>
  <c r="S88" i="9" s="1"/>
  <c r="S89" i="9" s="1"/>
  <c r="S90" i="9" s="1"/>
  <c r="S91" i="9" s="1"/>
  <c r="S92" i="9" s="1"/>
  <c r="S93" i="9" s="1"/>
  <c r="S94" i="9" s="1"/>
  <c r="S95" i="9" s="1"/>
  <c r="S96" i="9" s="1"/>
  <c r="S97" i="9" s="1"/>
  <c r="S98" i="9" s="1"/>
  <c r="S99" i="9" s="1"/>
  <c r="S100" i="9" s="1"/>
  <c r="S101" i="9" s="1"/>
  <c r="S102" i="9" s="1"/>
  <c r="S103" i="9" s="1"/>
  <c r="S104" i="9" s="1"/>
  <c r="S105" i="9" s="1"/>
  <c r="S106" i="9" s="1"/>
  <c r="S107" i="9" s="1"/>
  <c r="S108" i="9" s="1"/>
  <c r="S109" i="9" s="1"/>
  <c r="S110" i="9" s="1"/>
  <c r="S111" i="9" s="1"/>
  <c r="S112" i="9" s="1"/>
  <c r="S113" i="9" s="1"/>
  <c r="S114" i="9" s="1"/>
  <c r="S115" i="9" s="1"/>
  <c r="S116" i="9" s="1"/>
  <c r="S117" i="9" s="1"/>
  <c r="S118" i="9" s="1"/>
  <c r="S119" i="9" s="1"/>
  <c r="S120" i="9" s="1"/>
  <c r="S121" i="9" s="1"/>
  <c r="S122" i="9" s="1"/>
  <c r="S123" i="9" s="1"/>
  <c r="S124" i="9" s="1"/>
  <c r="S125" i="9" s="1"/>
  <c r="S126" i="9" s="1"/>
  <c r="S127" i="9" s="1"/>
  <c r="S128" i="9" s="1"/>
  <c r="S129" i="9" s="1"/>
  <c r="S130" i="9" s="1"/>
  <c r="S131" i="9" s="1"/>
  <c r="S132" i="9" s="1"/>
  <c r="S133" i="9" s="1"/>
  <c r="S134" i="9" s="1"/>
  <c r="S135" i="9" s="1"/>
  <c r="S136" i="9" s="1"/>
  <c r="S137" i="9" s="1"/>
  <c r="S138" i="9" s="1"/>
  <c r="S139" i="9" s="1"/>
  <c r="S140" i="9" s="1"/>
  <c r="S141" i="9" s="1"/>
  <c r="S142" i="9" s="1"/>
  <c r="S143" i="9" s="1"/>
  <c r="S144" i="9" s="1"/>
  <c r="S145" i="9" s="1"/>
  <c r="S146" i="9" s="1"/>
  <c r="S147" i="9" s="1"/>
  <c r="S148" i="9" s="1"/>
  <c r="S149" i="9" s="1"/>
  <c r="S150" i="9" s="1"/>
  <c r="S151" i="9" s="1"/>
  <c r="S152" i="9" s="1"/>
  <c r="S153" i="9" s="1"/>
  <c r="S154" i="9" s="1"/>
  <c r="S155" i="9" s="1"/>
  <c r="S156" i="9" s="1"/>
  <c r="S157" i="9" s="1"/>
  <c r="S158" i="9" s="1"/>
  <c r="S159" i="9" s="1"/>
  <c r="S160" i="9" s="1"/>
  <c r="S161" i="9" s="1"/>
  <c r="S162" i="9" s="1"/>
  <c r="S163" i="9" s="1"/>
  <c r="S164" i="9" s="1"/>
  <c r="S165" i="9" s="1"/>
  <c r="S166" i="9" s="1"/>
  <c r="S167" i="9" s="1"/>
  <c r="S168" i="9" s="1"/>
  <c r="S169" i="9" s="1"/>
  <c r="S170" i="9" s="1"/>
  <c r="S171" i="9" s="1"/>
  <c r="S172" i="9" s="1"/>
  <c r="S173" i="9" s="1"/>
  <c r="S174" i="9" s="1"/>
  <c r="S175" i="9" s="1"/>
  <c r="S176" i="9" s="1"/>
  <c r="S177" i="9" s="1"/>
  <c r="S178" i="9" s="1"/>
  <c r="S179" i="9" s="1"/>
  <c r="S180" i="9" s="1"/>
  <c r="S181" i="9" s="1"/>
  <c r="S182" i="9" s="1"/>
  <c r="S183" i="9" s="1"/>
  <c r="S184" i="9" s="1"/>
  <c r="S185" i="9" s="1"/>
  <c r="S186" i="9" s="1"/>
  <c r="S187" i="9" s="1"/>
  <c r="S188" i="9" s="1"/>
  <c r="S189" i="9" s="1"/>
  <c r="S190" i="9" s="1"/>
  <c r="S191" i="9" s="1"/>
  <c r="S192" i="9" s="1"/>
  <c r="S193" i="9" s="1"/>
  <c r="S194" i="9" s="1"/>
  <c r="S195" i="9" s="1"/>
  <c r="S196" i="9" s="1"/>
  <c r="S197" i="9" s="1"/>
  <c r="S198" i="9" s="1"/>
  <c r="S199" i="9" s="1"/>
  <c r="S200" i="9" s="1"/>
  <c r="S201" i="9" s="1"/>
  <c r="S202" i="9" s="1"/>
  <c r="S203" i="9" s="1"/>
  <c r="S204" i="9" s="1"/>
  <c r="S205" i="9" s="1"/>
  <c r="S206" i="9" s="1"/>
  <c r="S207" i="9" s="1"/>
  <c r="S208" i="9" s="1"/>
  <c r="S209" i="9" s="1"/>
  <c r="S210" i="9" s="1"/>
  <c r="S211" i="9" s="1"/>
  <c r="S212" i="9" s="1"/>
  <c r="S213" i="9" s="1"/>
  <c r="S214" i="9" s="1"/>
  <c r="S215" i="9" s="1"/>
  <c r="S216" i="9" s="1"/>
  <c r="S217" i="9" s="1"/>
  <c r="S218" i="9" s="1"/>
  <c r="S219" i="9" s="1"/>
  <c r="S220" i="9" s="1"/>
  <c r="S221" i="9" s="1"/>
  <c r="S222" i="9" s="1"/>
  <c r="S223" i="9" s="1"/>
  <c r="S224" i="9" s="1"/>
  <c r="S225" i="9" s="1"/>
  <c r="S226" i="9" s="1"/>
  <c r="S227" i="9" s="1"/>
  <c r="S228" i="9" s="1"/>
  <c r="S229" i="9" s="1"/>
  <c r="S230" i="9" s="1"/>
  <c r="S231" i="9" s="1"/>
  <c r="S232" i="9" s="1"/>
  <c r="S233" i="9" s="1"/>
  <c r="S234" i="9" s="1"/>
  <c r="S235" i="9" s="1"/>
  <c r="S236" i="9" s="1"/>
  <c r="S237" i="9" s="1"/>
  <c r="S238" i="9" s="1"/>
  <c r="S239" i="9" s="1"/>
  <c r="S240" i="9" s="1"/>
  <c r="S241" i="9" s="1"/>
  <c r="S242" i="9" s="1"/>
  <c r="S243" i="9" s="1"/>
  <c r="S244" i="9" s="1"/>
  <c r="S245" i="9" s="1"/>
  <c r="S246" i="9" s="1"/>
  <c r="S247" i="9" s="1"/>
  <c r="S248" i="9" s="1"/>
  <c r="S249" i="9" s="1"/>
  <c r="S250" i="9" s="1"/>
  <c r="S251" i="9" s="1"/>
  <c r="S252" i="9" s="1"/>
  <c r="S253" i="9" s="1"/>
  <c r="S254" i="9" s="1"/>
  <c r="S255" i="9" s="1"/>
  <c r="S256" i="9" s="1"/>
  <c r="S257" i="9" s="1"/>
  <c r="S258" i="9" s="1"/>
  <c r="S259" i="9" s="1"/>
  <c r="S260" i="9" s="1"/>
  <c r="S261" i="9" s="1"/>
  <c r="S262" i="9" s="1"/>
  <c r="S263" i="9" s="1"/>
  <c r="S264" i="9" s="1"/>
  <c r="S265" i="9" s="1"/>
  <c r="S266" i="9" s="1"/>
  <c r="S267" i="9" s="1"/>
  <c r="S268" i="9" s="1"/>
  <c r="S269" i="9" s="1"/>
  <c r="S270" i="9" s="1"/>
  <c r="S271" i="9" s="1"/>
  <c r="S272" i="9" s="1"/>
  <c r="S273" i="9" s="1"/>
  <c r="S274" i="9" s="1"/>
  <c r="S275" i="9" s="1"/>
  <c r="S276" i="9" s="1"/>
  <c r="S277" i="9" s="1"/>
  <c r="S278" i="9" s="1"/>
  <c r="S279" i="9" s="1"/>
  <c r="S280" i="9" s="1"/>
  <c r="S281" i="9" s="1"/>
  <c r="S282" i="9" s="1"/>
  <c r="S283" i="9" s="1"/>
  <c r="S284" i="9" s="1"/>
  <c r="S285" i="9" s="1"/>
  <c r="S286" i="9" s="1"/>
  <c r="S287" i="9" s="1"/>
  <c r="S288" i="9" s="1"/>
  <c r="S289" i="9" s="1"/>
  <c r="S290" i="9" s="1"/>
  <c r="S291" i="9" s="1"/>
  <c r="S292" i="9" s="1"/>
  <c r="S293" i="9" s="1"/>
  <c r="S294" i="9" s="1"/>
  <c r="S295" i="9" s="1"/>
  <c r="S296" i="9" s="1"/>
  <c r="S297" i="9" s="1"/>
  <c r="S298" i="9" s="1"/>
  <c r="S299" i="9" s="1"/>
  <c r="S300" i="9" s="1"/>
  <c r="S301" i="9" s="1"/>
  <c r="S302" i="9" s="1"/>
  <c r="S303" i="9" s="1"/>
  <c r="S304" i="9" s="1"/>
  <c r="S305" i="9" s="1"/>
  <c r="S306" i="9" s="1"/>
  <c r="S307" i="9" s="1"/>
  <c r="S308" i="9" s="1"/>
  <c r="S309" i="9" s="1"/>
  <c r="S310" i="9" s="1"/>
  <c r="S311" i="9" s="1"/>
  <c r="S312" i="9" s="1"/>
  <c r="S313" i="9" s="1"/>
  <c r="S314" i="9" s="1"/>
  <c r="S315" i="9" s="1"/>
  <c r="S316" i="9" s="1"/>
  <c r="S317" i="9" s="1"/>
  <c r="S318" i="9" s="1"/>
  <c r="S319" i="9" s="1"/>
  <c r="S320" i="9" s="1"/>
  <c r="S321" i="9" s="1"/>
  <c r="S322" i="9" s="1"/>
  <c r="S323" i="9" s="1"/>
  <c r="S324" i="9" s="1"/>
  <c r="S325" i="9" s="1"/>
  <c r="S326" i="9" s="1"/>
  <c r="S327" i="9" s="1"/>
  <c r="S328" i="9" s="1"/>
  <c r="S329" i="9" s="1"/>
  <c r="S330" i="9" s="1"/>
  <c r="S331" i="9" s="1"/>
  <c r="S332" i="9" s="1"/>
  <c r="S333" i="9" s="1"/>
  <c r="S334" i="9" s="1"/>
  <c r="S335" i="9" s="1"/>
  <c r="S336" i="9" s="1"/>
  <c r="S337" i="9" s="1"/>
  <c r="S338" i="9" s="1"/>
  <c r="S339" i="9" s="1"/>
  <c r="S340" i="9" s="1"/>
  <c r="S341" i="9" s="1"/>
  <c r="S342" i="9" s="1"/>
  <c r="S343" i="9" s="1"/>
  <c r="S344" i="9" s="1"/>
  <c r="S345" i="9" s="1"/>
  <c r="S346" i="9" s="1"/>
  <c r="S347" i="9" s="1"/>
  <c r="S348" i="9" s="1"/>
  <c r="S349" i="9" s="1"/>
  <c r="S350" i="9" s="1"/>
  <c r="S351" i="9" s="1"/>
  <c r="S352" i="9" s="1"/>
  <c r="S353" i="9" s="1"/>
  <c r="S354" i="9" s="1"/>
  <c r="S355" i="9" s="1"/>
  <c r="S356" i="9" s="1"/>
  <c r="S357" i="9" s="1"/>
  <c r="S358" i="9" s="1"/>
  <c r="S359" i="9" s="1"/>
  <c r="S360" i="9" s="1"/>
  <c r="S361" i="9" s="1"/>
  <c r="S362" i="9" s="1"/>
  <c r="S363" i="9" s="1"/>
  <c r="S364" i="9" s="1"/>
  <c r="S365" i="9" s="1"/>
  <c r="S366" i="9" s="1"/>
  <c r="S367" i="9" s="1"/>
  <c r="S368" i="9" s="1"/>
  <c r="S369" i="9" s="1"/>
  <c r="S370" i="9" s="1"/>
  <c r="S371" i="9" s="1"/>
  <c r="S372" i="9" s="1"/>
  <c r="S373" i="9" s="1"/>
  <c r="S374" i="9" s="1"/>
  <c r="S375" i="9" s="1"/>
  <c r="S376" i="9" s="1"/>
  <c r="S377" i="9" s="1"/>
  <c r="S378" i="9" s="1"/>
  <c r="S379" i="9" s="1"/>
  <c r="S380" i="9" s="1"/>
  <c r="S381" i="9" s="1"/>
  <c r="S382" i="9" s="1"/>
  <c r="S383" i="9" s="1"/>
  <c r="S384" i="9" s="1"/>
  <c r="S385" i="9" s="1"/>
  <c r="S386" i="9" s="1"/>
  <c r="S387" i="9" s="1"/>
  <c r="S388" i="9" s="1"/>
  <c r="S389" i="9" s="1"/>
  <c r="S390" i="9" s="1"/>
  <c r="S391" i="9" s="1"/>
  <c r="S392" i="9" s="1"/>
  <c r="S393" i="9" s="1"/>
  <c r="S394" i="9" s="1"/>
  <c r="S395" i="9" s="1"/>
  <c r="S396" i="9" s="1"/>
  <c r="S397" i="9" s="1"/>
  <c r="S398" i="9" s="1"/>
  <c r="S399" i="9" s="1"/>
  <c r="S400" i="9" s="1"/>
  <c r="S401" i="9" s="1"/>
  <c r="S402" i="9" s="1"/>
  <c r="S403" i="9" s="1"/>
  <c r="S404" i="9" s="1"/>
  <c r="S405" i="9" s="1"/>
  <c r="S406" i="9" s="1"/>
  <c r="S407" i="9" s="1"/>
  <c r="S408" i="9" s="1"/>
  <c r="S409" i="9" s="1"/>
  <c r="S410" i="9" s="1"/>
  <c r="S411" i="9" s="1"/>
  <c r="S412" i="9" s="1"/>
  <c r="S413" i="9" s="1"/>
  <c r="S414" i="9" s="1"/>
  <c r="S415" i="9" s="1"/>
  <c r="S416" i="9" s="1"/>
  <c r="S417" i="9" s="1"/>
  <c r="S418" i="9" s="1"/>
  <c r="S419" i="9" s="1"/>
  <c r="S420" i="9" s="1"/>
  <c r="S421" i="9" s="1"/>
  <c r="S422" i="9" s="1"/>
  <c r="S423" i="9" s="1"/>
  <c r="S424" i="9" s="1"/>
  <c r="S425" i="9" s="1"/>
  <c r="S426" i="9" s="1"/>
  <c r="S427" i="9" s="1"/>
  <c r="S428" i="9" s="1"/>
  <c r="S429" i="9" s="1"/>
  <c r="S430" i="9" s="1"/>
  <c r="S431" i="9" s="1"/>
  <c r="S432" i="9" s="1"/>
  <c r="S433" i="9" s="1"/>
  <c r="S434" i="9" s="1"/>
  <c r="S435" i="9" s="1"/>
  <c r="S436" i="9" s="1"/>
  <c r="S437" i="9" s="1"/>
  <c r="S438" i="9" s="1"/>
  <c r="S439" i="9" s="1"/>
  <c r="S440" i="9" s="1"/>
  <c r="S441" i="9" s="1"/>
  <c r="S442" i="9" s="1"/>
  <c r="S443" i="9" s="1"/>
  <c r="S444" i="9" s="1"/>
  <c r="S445" i="9" s="1"/>
  <c r="S446" i="9" s="1"/>
  <c r="S447" i="9" s="1"/>
  <c r="S448" i="9" s="1"/>
  <c r="S449" i="9" s="1"/>
  <c r="S450" i="9" s="1"/>
  <c r="S451" i="9" s="1"/>
  <c r="S452" i="9" s="1"/>
  <c r="S453" i="9" s="1"/>
  <c r="S454" i="9" s="1"/>
  <c r="S455" i="9" s="1"/>
  <c r="S456" i="9" s="1"/>
  <c r="S457" i="9" s="1"/>
  <c r="S458" i="9" s="1"/>
  <c r="S459" i="9" s="1"/>
  <c r="S460" i="9" s="1"/>
  <c r="S461" i="9" s="1"/>
  <c r="S462" i="9" s="1"/>
  <c r="S463" i="9" s="1"/>
  <c r="S464" i="9" s="1"/>
  <c r="S465" i="9" s="1"/>
  <c r="S466" i="9" s="1"/>
  <c r="S467" i="9" s="1"/>
  <c r="S468" i="9" s="1"/>
  <c r="S469" i="9" s="1"/>
  <c r="S470" i="9" s="1"/>
  <c r="S471" i="9" s="1"/>
  <c r="S472" i="9" s="1"/>
  <c r="S473" i="9" s="1"/>
  <c r="S474" i="9" s="1"/>
  <c r="S475" i="9" s="1"/>
  <c r="S476" i="9" s="1"/>
  <c r="S477" i="9" s="1"/>
  <c r="S478" i="9" s="1"/>
  <c r="S479" i="9" s="1"/>
  <c r="S480" i="9" s="1"/>
  <c r="S481" i="9" s="1"/>
  <c r="S482" i="9" s="1"/>
  <c r="S483" i="9" s="1"/>
  <c r="S484" i="9" s="1"/>
  <c r="S485" i="9" s="1"/>
  <c r="S486" i="9" s="1"/>
  <c r="S487" i="9" s="1"/>
  <c r="S488" i="9" s="1"/>
  <c r="S489" i="9" s="1"/>
  <c r="S490" i="9" s="1"/>
  <c r="S491" i="9" s="1"/>
  <c r="S492" i="9" s="1"/>
  <c r="S493" i="9" s="1"/>
  <c r="S494" i="9" s="1"/>
  <c r="S495" i="9" s="1"/>
  <c r="S496" i="9" s="1"/>
  <c r="S497" i="9" s="1"/>
  <c r="S498" i="9" s="1"/>
  <c r="S499" i="9" s="1"/>
  <c r="S500" i="9" s="1"/>
  <c r="S501" i="9" s="1"/>
  <c r="S502" i="9" s="1"/>
  <c r="S503" i="9" s="1"/>
  <c r="S504" i="9" s="1"/>
  <c r="S505" i="9" s="1"/>
  <c r="S506" i="9" s="1"/>
  <c r="S507" i="9" s="1"/>
  <c r="S508" i="9" s="1"/>
  <c r="S509" i="9" s="1"/>
  <c r="S510" i="9" s="1"/>
  <c r="S511" i="9" s="1"/>
  <c r="S512" i="9" s="1"/>
  <c r="S513" i="9" s="1"/>
  <c r="S514" i="9" s="1"/>
  <c r="S515" i="9" s="1"/>
  <c r="S516" i="9" s="1"/>
  <c r="S517" i="9" s="1"/>
  <c r="S518" i="9" s="1"/>
  <c r="S519" i="9" s="1"/>
  <c r="S520" i="9" s="1"/>
  <c r="S521" i="9" s="1"/>
  <c r="S522" i="9" s="1"/>
  <c r="S523" i="9" s="1"/>
  <c r="S524" i="9" s="1"/>
  <c r="S525" i="9" s="1"/>
  <c r="S526" i="9" s="1"/>
  <c r="S527" i="9" s="1"/>
  <c r="S528" i="9" s="1"/>
  <c r="S529" i="9" s="1"/>
  <c r="S530" i="9" s="1"/>
  <c r="S531" i="9" s="1"/>
  <c r="S532" i="9" s="1"/>
  <c r="S533" i="9" s="1"/>
  <c r="S534" i="9" s="1"/>
  <c r="S535" i="9" s="1"/>
  <c r="S536" i="9" s="1"/>
  <c r="S537" i="9" s="1"/>
  <c r="S538" i="9" s="1"/>
  <c r="S539" i="9" s="1"/>
  <c r="S540" i="9" s="1"/>
  <c r="S541" i="9" s="1"/>
  <c r="S542" i="9" s="1"/>
  <c r="S543" i="9" s="1"/>
  <c r="S544" i="9" s="1"/>
  <c r="S545" i="9" s="1"/>
  <c r="S546" i="9" s="1"/>
  <c r="S547" i="9" s="1"/>
  <c r="S548" i="9" s="1"/>
  <c r="S549" i="9" s="1"/>
  <c r="S550" i="9" s="1"/>
  <c r="S551" i="9" s="1"/>
  <c r="S552" i="9" s="1"/>
  <c r="S553" i="9" s="1"/>
  <c r="S554" i="9" s="1"/>
  <c r="S555" i="9" s="1"/>
  <c r="S556" i="9" s="1"/>
  <c r="S557" i="9" s="1"/>
  <c r="S558" i="9" s="1"/>
  <c r="S559" i="9" s="1"/>
  <c r="S560" i="9" s="1"/>
  <c r="S561" i="9" s="1"/>
  <c r="S562" i="9" s="1"/>
  <c r="S563" i="9" s="1"/>
  <c r="S564" i="9" s="1"/>
  <c r="S565" i="9" s="1"/>
  <c r="S566" i="9" s="1"/>
  <c r="S567" i="9" s="1"/>
  <c r="S568" i="9" s="1"/>
  <c r="S569" i="9" s="1"/>
  <c r="S570" i="9" s="1"/>
  <c r="S571" i="9" s="1"/>
  <c r="S572" i="9" s="1"/>
  <c r="S573" i="9" s="1"/>
  <c r="S574" i="9" s="1"/>
  <c r="S575" i="9" s="1"/>
  <c r="S576" i="9" s="1"/>
  <c r="S577" i="9" s="1"/>
  <c r="S578" i="9" s="1"/>
  <c r="S579" i="9" s="1"/>
  <c r="S580" i="9" s="1"/>
  <c r="S581" i="9" s="1"/>
  <c r="S582" i="9" s="1"/>
  <c r="S583" i="9" s="1"/>
  <c r="S584" i="9" s="1"/>
  <c r="S585" i="9" s="1"/>
  <c r="S586" i="9" s="1"/>
  <c r="S587" i="9" s="1"/>
  <c r="S588" i="9" s="1"/>
  <c r="S589" i="9" s="1"/>
  <c r="S590" i="9" s="1"/>
  <c r="S591" i="9" s="1"/>
  <c r="S592" i="9" s="1"/>
  <c r="S593" i="9" s="1"/>
  <c r="S594" i="9" s="1"/>
  <c r="S595" i="9" s="1"/>
  <c r="S596" i="9" s="1"/>
  <c r="S597" i="9" s="1"/>
  <c r="S598" i="9" s="1"/>
  <c r="S599" i="9" s="1"/>
  <c r="S600" i="9" s="1"/>
  <c r="S601" i="9" s="1"/>
  <c r="S602" i="9" s="1"/>
  <c r="S603" i="9" s="1"/>
  <c r="S604" i="9" s="1"/>
  <c r="S605" i="9" s="1"/>
  <c r="S606" i="9" s="1"/>
  <c r="S607" i="9" s="1"/>
  <c r="S608" i="9" s="1"/>
  <c r="S609" i="9" s="1"/>
  <c r="S610" i="9" s="1"/>
  <c r="S611" i="9" s="1"/>
  <c r="S612" i="9" s="1"/>
  <c r="S613" i="9" s="1"/>
  <c r="S614" i="9" s="1"/>
  <c r="S615" i="9" s="1"/>
  <c r="S616" i="9" s="1"/>
  <c r="S617" i="9" s="1"/>
  <c r="S618" i="9" s="1"/>
  <c r="S619" i="9" s="1"/>
  <c r="S620" i="9" s="1"/>
  <c r="S621" i="9" s="1"/>
  <c r="S622" i="9" s="1"/>
  <c r="S623" i="9" s="1"/>
  <c r="S624" i="9" s="1"/>
  <c r="S625" i="9" s="1"/>
  <c r="S626" i="9" s="1"/>
  <c r="S627" i="9" s="1"/>
  <c r="S628" i="9" s="1"/>
  <c r="S629" i="9" s="1"/>
  <c r="S630" i="9" s="1"/>
  <c r="S631" i="9" s="1"/>
  <c r="S632" i="9" s="1"/>
  <c r="S633" i="9" s="1"/>
  <c r="S634" i="9" s="1"/>
  <c r="S635" i="9" s="1"/>
  <c r="S636" i="9" s="1"/>
  <c r="S637" i="9" s="1"/>
  <c r="S638" i="9" s="1"/>
  <c r="S639" i="9" s="1"/>
  <c r="S640" i="9" s="1"/>
  <c r="S641" i="9" s="1"/>
  <c r="S642" i="9" s="1"/>
  <c r="S643" i="9" s="1"/>
  <c r="S644" i="9" s="1"/>
  <c r="S645" i="9" s="1"/>
  <c r="S646" i="9" s="1"/>
  <c r="S647" i="9" s="1"/>
  <c r="S648" i="9" s="1"/>
  <c r="S649" i="9" s="1"/>
  <c r="S650" i="9" s="1"/>
  <c r="S651" i="9" s="1"/>
  <c r="S652" i="9" s="1"/>
  <c r="S653" i="9" s="1"/>
  <c r="S654" i="9" s="1"/>
  <c r="S655" i="9" s="1"/>
  <c r="S656" i="9" s="1"/>
  <c r="S657" i="9" s="1"/>
  <c r="S658" i="9" s="1"/>
  <c r="S659" i="9" s="1"/>
  <c r="S660" i="9" s="1"/>
  <c r="S661" i="9" s="1"/>
  <c r="S662" i="9" s="1"/>
  <c r="S663" i="9" s="1"/>
  <c r="S664" i="9" s="1"/>
  <c r="S665" i="9" s="1"/>
  <c r="S666" i="9" s="1"/>
  <c r="S667" i="9" s="1"/>
  <c r="S668" i="9" s="1"/>
  <c r="S669" i="9" s="1"/>
  <c r="S670" i="9" s="1"/>
  <c r="S671" i="9" s="1"/>
  <c r="S672" i="9" s="1"/>
  <c r="S673" i="9" s="1"/>
  <c r="S674" i="9" s="1"/>
  <c r="S675" i="9" s="1"/>
  <c r="S676" i="9" s="1"/>
  <c r="S677" i="9" s="1"/>
  <c r="S678" i="9" s="1"/>
  <c r="S679" i="9" s="1"/>
  <c r="S680" i="9" s="1"/>
  <c r="S681" i="9" s="1"/>
  <c r="S682" i="9" s="1"/>
  <c r="S683" i="9" s="1"/>
  <c r="S684" i="9" s="1"/>
  <c r="S685" i="9" s="1"/>
  <c r="S686" i="9" s="1"/>
  <c r="S687" i="9" s="1"/>
  <c r="S688" i="9" s="1"/>
  <c r="S689" i="9" s="1"/>
  <c r="S690" i="9" s="1"/>
  <c r="S691" i="9" s="1"/>
  <c r="S692" i="9" s="1"/>
  <c r="S693" i="9" s="1"/>
  <c r="S694" i="9" s="1"/>
  <c r="S695" i="9" s="1"/>
  <c r="S696" i="9" s="1"/>
  <c r="S697" i="9" s="1"/>
  <c r="S698" i="9" s="1"/>
  <c r="S699" i="9" s="1"/>
  <c r="S700" i="9" s="1"/>
  <c r="S701" i="9" s="1"/>
  <c r="S702" i="9" s="1"/>
  <c r="S703" i="9" s="1"/>
  <c r="S704" i="9" s="1"/>
  <c r="S705" i="9" s="1"/>
  <c r="S706" i="9" s="1"/>
  <c r="S707" i="9" s="1"/>
  <c r="S708" i="9" s="1"/>
  <c r="S709" i="9" s="1"/>
  <c r="S710" i="9" s="1"/>
  <c r="S711" i="9" s="1"/>
  <c r="S712" i="9" s="1"/>
  <c r="S713" i="9" s="1"/>
  <c r="S714" i="9" s="1"/>
  <c r="S715" i="9" s="1"/>
  <c r="S716" i="9" s="1"/>
  <c r="S717" i="9" s="1"/>
  <c r="S718" i="9" s="1"/>
  <c r="S719" i="9" s="1"/>
  <c r="S720" i="9" s="1"/>
  <c r="S721" i="9" s="1"/>
  <c r="S722" i="9" s="1"/>
  <c r="S723" i="9" s="1"/>
  <c r="S724" i="9" s="1"/>
  <c r="S725" i="9" s="1"/>
  <c r="S726" i="9" s="1"/>
  <c r="S727" i="9" s="1"/>
  <c r="S728" i="9" s="1"/>
  <c r="S729" i="9" s="1"/>
  <c r="S730" i="9" s="1"/>
  <c r="S731" i="9" s="1"/>
  <c r="S732" i="9" s="1"/>
  <c r="S733" i="9" s="1"/>
  <c r="S734" i="9" s="1"/>
  <c r="S735" i="9" s="1"/>
  <c r="S736" i="9" s="1"/>
  <c r="S737" i="9" s="1"/>
  <c r="S738" i="9" s="1"/>
  <c r="S739" i="9" s="1"/>
  <c r="S740" i="9" s="1"/>
  <c r="S741" i="9" s="1"/>
  <c r="S742" i="9" s="1"/>
  <c r="S743" i="9" s="1"/>
  <c r="S744" i="9" s="1"/>
  <c r="S745" i="9" s="1"/>
  <c r="S746" i="9" s="1"/>
  <c r="S747" i="9" s="1"/>
  <c r="S748" i="9" s="1"/>
  <c r="S749" i="9" s="1"/>
  <c r="S750" i="9" s="1"/>
  <c r="S751" i="9" s="1"/>
  <c r="S752" i="9" s="1"/>
  <c r="S753" i="9" s="1"/>
  <c r="S754" i="9" s="1"/>
  <c r="S755" i="9" s="1"/>
  <c r="S756" i="9" s="1"/>
  <c r="S757" i="9" s="1"/>
  <c r="S758" i="9" s="1"/>
  <c r="S759" i="9" s="1"/>
  <c r="S760" i="9" s="1"/>
  <c r="S761" i="9" s="1"/>
  <c r="S762" i="9" s="1"/>
  <c r="S763" i="9" s="1"/>
  <c r="S764" i="9" s="1"/>
  <c r="S765" i="9" s="1"/>
  <c r="S766" i="9" s="1"/>
  <c r="S767" i="9" s="1"/>
  <c r="S768" i="9" s="1"/>
  <c r="S769" i="9" s="1"/>
  <c r="S770" i="9" s="1"/>
  <c r="S771" i="9" s="1"/>
  <c r="S772" i="9" s="1"/>
  <c r="S773" i="9" s="1"/>
  <c r="S774" i="9" s="1"/>
  <c r="S775" i="9" s="1"/>
  <c r="S776" i="9" s="1"/>
  <c r="S777" i="9" s="1"/>
  <c r="S778" i="9" s="1"/>
  <c r="S779" i="9" s="1"/>
  <c r="S780" i="9" s="1"/>
  <c r="S781" i="9" s="1"/>
  <c r="S782" i="9" s="1"/>
  <c r="S783" i="9" s="1"/>
  <c r="S784" i="9" s="1"/>
  <c r="S785" i="9" s="1"/>
  <c r="S786" i="9" s="1"/>
  <c r="S787" i="9" s="1"/>
  <c r="S788" i="9" s="1"/>
  <c r="S789" i="9" s="1"/>
  <c r="S790" i="9" s="1"/>
  <c r="S791" i="9" s="1"/>
  <c r="S792" i="9" s="1"/>
  <c r="S793" i="9" s="1"/>
  <c r="S794" i="9" s="1"/>
  <c r="S795" i="9" s="1"/>
  <c r="S796" i="9" s="1"/>
  <c r="S797" i="9" s="1"/>
  <c r="S798" i="9" s="1"/>
  <c r="S799" i="9" s="1"/>
  <c r="S800" i="9" s="1"/>
  <c r="S801" i="9" s="1"/>
  <c r="S802" i="9" s="1"/>
  <c r="S803" i="9" s="1"/>
  <c r="S804" i="9" s="1"/>
  <c r="S805" i="9" s="1"/>
  <c r="S806" i="9" s="1"/>
  <c r="S807" i="9" s="1"/>
  <c r="S808" i="9" s="1"/>
  <c r="S809" i="9" s="1"/>
  <c r="S810" i="9" s="1"/>
  <c r="S811" i="9" s="1"/>
  <c r="S812" i="9" s="1"/>
  <c r="S813" i="9" s="1"/>
  <c r="S814" i="9" s="1"/>
  <c r="S815" i="9" s="1"/>
  <c r="S816" i="9" s="1"/>
  <c r="S817" i="9" s="1"/>
  <c r="S818" i="9" s="1"/>
  <c r="S819" i="9" s="1"/>
  <c r="S820" i="9" s="1"/>
  <c r="S821" i="9" s="1"/>
  <c r="S822" i="9" s="1"/>
  <c r="S823" i="9" s="1"/>
  <c r="S824" i="9" s="1"/>
  <c r="S825" i="9" s="1"/>
  <c r="S826" i="9" s="1"/>
  <c r="S827" i="9" s="1"/>
  <c r="S828" i="9" s="1"/>
  <c r="S829" i="9" s="1"/>
  <c r="S830" i="9" s="1"/>
  <c r="S831" i="9" s="1"/>
  <c r="S832" i="9" s="1"/>
  <c r="S833" i="9" s="1"/>
  <c r="S834" i="9" s="1"/>
  <c r="S835" i="9" s="1"/>
  <c r="S836" i="9" s="1"/>
  <c r="S837" i="9" s="1"/>
  <c r="S838" i="9" s="1"/>
  <c r="S839" i="9" s="1"/>
  <c r="S840" i="9" s="1"/>
  <c r="S841" i="9" s="1"/>
  <c r="S842" i="9" s="1"/>
  <c r="S843" i="9" s="1"/>
  <c r="S844" i="9" s="1"/>
  <c r="S845" i="9" s="1"/>
  <c r="S846" i="9" s="1"/>
  <c r="S847" i="9" s="1"/>
  <c r="S848" i="9" s="1"/>
  <c r="S849" i="9" s="1"/>
  <c r="S850" i="9" s="1"/>
  <c r="S851" i="9" s="1"/>
  <c r="S852" i="9" s="1"/>
  <c r="S853" i="9" s="1"/>
  <c r="S854" i="9" s="1"/>
  <c r="S855" i="9" s="1"/>
  <c r="S856" i="9" s="1"/>
  <c r="S857" i="9" s="1"/>
  <c r="S858" i="9" s="1"/>
  <c r="S859" i="9" s="1"/>
  <c r="S860" i="9" s="1"/>
  <c r="S861" i="9" s="1"/>
  <c r="S862" i="9" s="1"/>
  <c r="S863" i="9" s="1"/>
  <c r="S864" i="9" s="1"/>
  <c r="S865" i="9" s="1"/>
  <c r="S866" i="9" s="1"/>
  <c r="S867" i="9" s="1"/>
  <c r="S868" i="9" s="1"/>
  <c r="S869" i="9" s="1"/>
  <c r="S870" i="9" s="1"/>
  <c r="S871" i="9" s="1"/>
  <c r="S872" i="9" s="1"/>
  <c r="S873" i="9" s="1"/>
  <c r="S874" i="9" s="1"/>
  <c r="S875" i="9" s="1"/>
  <c r="S876" i="9" s="1"/>
  <c r="S877" i="9" s="1"/>
  <c r="S878" i="9" s="1"/>
  <c r="S879" i="9" s="1"/>
  <c r="S880" i="9" s="1"/>
  <c r="S881" i="9" s="1"/>
  <c r="S882" i="9" s="1"/>
  <c r="S883" i="9" s="1"/>
  <c r="S884" i="9" s="1"/>
  <c r="S885" i="9" s="1"/>
  <c r="S886" i="9" s="1"/>
  <c r="S887" i="9" s="1"/>
  <c r="S888" i="9" s="1"/>
  <c r="S889" i="9" s="1"/>
  <c r="S890" i="9" s="1"/>
  <c r="S891" i="9" s="1"/>
  <c r="S892" i="9" s="1"/>
  <c r="S893" i="9" s="1"/>
  <c r="S894" i="9" s="1"/>
  <c r="S895" i="9" s="1"/>
  <c r="S896" i="9" s="1"/>
  <c r="S897" i="9" s="1"/>
  <c r="S898" i="9" s="1"/>
  <c r="S899" i="9" s="1"/>
  <c r="S900" i="9" s="1"/>
  <c r="S901" i="9" s="1"/>
  <c r="S902" i="9" s="1"/>
  <c r="S903" i="9" s="1"/>
  <c r="S904" i="9" s="1"/>
  <c r="S905" i="9" s="1"/>
  <c r="S906" i="9" s="1"/>
  <c r="S907" i="9" s="1"/>
  <c r="S908" i="9" s="1"/>
  <c r="S909" i="9" s="1"/>
  <c r="S910" i="9" s="1"/>
  <c r="S911" i="9" s="1"/>
  <c r="S912" i="9" s="1"/>
  <c r="S913" i="9" s="1"/>
  <c r="S914" i="9" s="1"/>
  <c r="S915" i="9" s="1"/>
  <c r="S916" i="9" s="1"/>
  <c r="S917" i="9" s="1"/>
  <c r="S918" i="9" s="1"/>
  <c r="S919" i="9" s="1"/>
  <c r="S920" i="9" s="1"/>
  <c r="S921" i="9" s="1"/>
  <c r="S922" i="9" s="1"/>
  <c r="S923" i="9" s="1"/>
  <c r="S924" i="9" s="1"/>
  <c r="S925" i="9" s="1"/>
  <c r="S926" i="9" s="1"/>
  <c r="S927" i="9" s="1"/>
  <c r="S928" i="9" s="1"/>
  <c r="S929" i="9" s="1"/>
  <c r="S930" i="9" s="1"/>
  <c r="S931" i="9" s="1"/>
  <c r="S932" i="9" s="1"/>
  <c r="S933" i="9" s="1"/>
  <c r="S934" i="9" s="1"/>
  <c r="S935" i="9" s="1"/>
  <c r="S936" i="9" s="1"/>
  <c r="S937" i="9" s="1"/>
  <c r="S938" i="9" s="1"/>
  <c r="S939" i="9" s="1"/>
  <c r="S940" i="9" s="1"/>
  <c r="S941" i="9" s="1"/>
  <c r="S942" i="9" s="1"/>
  <c r="S943" i="9" s="1"/>
  <c r="S944" i="9" s="1"/>
  <c r="S945" i="9" s="1"/>
  <c r="S946" i="9" s="1"/>
  <c r="S947" i="9" s="1"/>
  <c r="S948" i="9" s="1"/>
  <c r="S949" i="9" s="1"/>
  <c r="S950" i="9" s="1"/>
  <c r="S951" i="9" s="1"/>
  <c r="S952" i="9" s="1"/>
  <c r="S953" i="9" s="1"/>
  <c r="S954" i="9" s="1"/>
  <c r="S955" i="9" s="1"/>
  <c r="S956" i="9" s="1"/>
  <c r="S957" i="9" s="1"/>
  <c r="S958" i="9" s="1"/>
  <c r="S959" i="9" s="1"/>
  <c r="S960" i="9" s="1"/>
  <c r="S961" i="9" s="1"/>
  <c r="S962" i="9" s="1"/>
  <c r="S963" i="9" s="1"/>
  <c r="S964" i="9" s="1"/>
  <c r="S965" i="9" s="1"/>
  <c r="S966" i="9" s="1"/>
  <c r="S967" i="9" s="1"/>
  <c r="S968" i="9" s="1"/>
  <c r="S969" i="9" s="1"/>
  <c r="S970" i="9" s="1"/>
  <c r="S971" i="9" s="1"/>
  <c r="S972" i="9" s="1"/>
  <c r="S973" i="9" s="1"/>
  <c r="S974" i="9" s="1"/>
  <c r="S975" i="9" s="1"/>
  <c r="S976" i="9" s="1"/>
  <c r="S977" i="9" s="1"/>
  <c r="S978" i="9" s="1"/>
  <c r="S979" i="9" s="1"/>
  <c r="S980" i="9" s="1"/>
  <c r="S981" i="9" s="1"/>
  <c r="S982" i="9" s="1"/>
  <c r="S983" i="9" s="1"/>
  <c r="S984" i="9" s="1"/>
  <c r="S985" i="9" s="1"/>
  <c r="S986" i="9" s="1"/>
  <c r="S987" i="9" s="1"/>
  <c r="S988" i="9" s="1"/>
  <c r="S989" i="9" s="1"/>
  <c r="S990" i="9" s="1"/>
  <c r="S991" i="9" s="1"/>
  <c r="S992" i="9" s="1"/>
  <c r="S993" i="9" s="1"/>
  <c r="S994" i="9" s="1"/>
  <c r="S995" i="9" s="1"/>
  <c r="S996" i="9" s="1"/>
  <c r="S997" i="9" s="1"/>
  <c r="S998" i="9" s="1"/>
  <c r="S999" i="9" s="1"/>
  <c r="S1000" i="9" s="1"/>
  <c r="S1001" i="9" s="1"/>
  <c r="S1002" i="9" s="1"/>
  <c r="S1003" i="9" s="1"/>
  <c r="S1004" i="9" s="1"/>
  <c r="S1005" i="9" s="1"/>
  <c r="S1006" i="9" s="1"/>
  <c r="S1007" i="9" s="1"/>
  <c r="S1008" i="9" s="1"/>
  <c r="S1009" i="9" s="1"/>
  <c r="S1010" i="9" s="1"/>
  <c r="S1011" i="9" s="1"/>
  <c r="S1012" i="9" s="1"/>
  <c r="S1013" i="9" s="1"/>
  <c r="S1014" i="9" s="1"/>
  <c r="S1015" i="9" s="1"/>
  <c r="S1016" i="9" s="1"/>
  <c r="S1017" i="9" s="1"/>
  <c r="S1018" i="9" s="1"/>
  <c r="S1019" i="9" s="1"/>
  <c r="S1020" i="9" s="1"/>
  <c r="S1021" i="9" s="1"/>
  <c r="S1022" i="9" s="1"/>
  <c r="S1023" i="9" s="1"/>
  <c r="S1024" i="9" s="1"/>
  <c r="S1025" i="9" s="1"/>
  <c r="S1026" i="9" s="1"/>
  <c r="S1027" i="9" s="1"/>
  <c r="S1028" i="9" s="1"/>
  <c r="S1029" i="9" s="1"/>
  <c r="S1030" i="9" s="1"/>
  <c r="S1031" i="9" s="1"/>
  <c r="S1032" i="9" s="1"/>
  <c r="S1033" i="9" s="1"/>
  <c r="S22" i="9"/>
  <c r="S18" i="9"/>
  <c r="S19" i="9" s="1"/>
  <c r="S20" i="9" s="1"/>
  <c r="S21" i="9" s="1"/>
  <c r="S18" i="8"/>
  <c r="S19" i="8" s="1"/>
  <c r="S20" i="8" s="1"/>
  <c r="S21" i="8" s="1"/>
  <c r="S22" i="8" s="1"/>
  <c r="S23" i="8" s="1"/>
  <c r="S24" i="8" s="1"/>
  <c r="S25" i="8" s="1"/>
  <c r="S26" i="8" s="1"/>
  <c r="S27" i="8" s="1"/>
  <c r="S28" i="8" s="1"/>
  <c r="S29" i="8" s="1"/>
  <c r="S30" i="8" s="1"/>
  <c r="S31" i="8" s="1"/>
  <c r="S32" i="8" s="1"/>
  <c r="S33" i="8" s="1"/>
  <c r="S34" i="8" s="1"/>
  <c r="S35" i="8" s="1"/>
  <c r="S36" i="8" s="1"/>
  <c r="S37" i="8" s="1"/>
  <c r="S38" i="8" s="1"/>
  <c r="S39" i="8" s="1"/>
  <c r="S40" i="8" s="1"/>
  <c r="S41" i="8" s="1"/>
  <c r="S42" i="8" s="1"/>
  <c r="S43" i="8" s="1"/>
  <c r="S44" i="8" s="1"/>
  <c r="S45" i="8" s="1"/>
  <c r="S46" i="8" s="1"/>
  <c r="S47" i="8" s="1"/>
  <c r="S48" i="8" s="1"/>
  <c r="S49" i="8" s="1"/>
  <c r="S50" i="8" s="1"/>
  <c r="S51" i="8" s="1"/>
  <c r="S52" i="8" s="1"/>
  <c r="S53" i="8" s="1"/>
  <c r="S54" i="8" s="1"/>
  <c r="S55" i="8" s="1"/>
  <c r="S56" i="8" s="1"/>
  <c r="S57" i="8" s="1"/>
  <c r="S58" i="8" s="1"/>
  <c r="S59" i="8" s="1"/>
  <c r="S60" i="8" s="1"/>
  <c r="S61" i="8" s="1"/>
  <c r="S62" i="8" s="1"/>
  <c r="S63" i="8" s="1"/>
  <c r="S64" i="8" s="1"/>
  <c r="S65" i="8" s="1"/>
  <c r="S66" i="8" s="1"/>
  <c r="S67" i="8" s="1"/>
  <c r="S68" i="8" s="1"/>
  <c r="S69" i="8" s="1"/>
  <c r="S70" i="8" s="1"/>
  <c r="S71" i="8" s="1"/>
  <c r="S72" i="8" s="1"/>
  <c r="S73" i="8" s="1"/>
  <c r="S74" i="8" s="1"/>
  <c r="S75" i="8" s="1"/>
  <c r="S76" i="8" s="1"/>
  <c r="S77" i="8" s="1"/>
  <c r="S78" i="8" s="1"/>
  <c r="S79" i="8" s="1"/>
  <c r="S80" i="8" s="1"/>
  <c r="S81" i="8" s="1"/>
  <c r="S82" i="8" s="1"/>
  <c r="S83" i="8" s="1"/>
  <c r="S84" i="8" s="1"/>
  <c r="S85" i="8" s="1"/>
  <c r="S86" i="8" s="1"/>
  <c r="S87" i="8" s="1"/>
  <c r="S88" i="8" s="1"/>
  <c r="S89" i="8" s="1"/>
  <c r="S90" i="8" s="1"/>
  <c r="S91" i="8" s="1"/>
  <c r="S92" i="8" s="1"/>
  <c r="S93" i="8" s="1"/>
  <c r="S94" i="8" s="1"/>
  <c r="S95" i="8" s="1"/>
  <c r="S96" i="8" s="1"/>
  <c r="S97" i="8" s="1"/>
  <c r="S98" i="8" s="1"/>
  <c r="S99" i="8" s="1"/>
  <c r="S100" i="8" s="1"/>
  <c r="S101" i="8" s="1"/>
  <c r="S102" i="8" s="1"/>
  <c r="S103" i="8" s="1"/>
  <c r="S104" i="8" s="1"/>
  <c r="S105" i="8" s="1"/>
  <c r="S106" i="8" s="1"/>
  <c r="S107" i="8" s="1"/>
  <c r="S108" i="8" s="1"/>
  <c r="S109" i="8" s="1"/>
  <c r="S110" i="8" s="1"/>
  <c r="S111" i="8" s="1"/>
  <c r="S112" i="8" s="1"/>
  <c r="S113" i="8" s="1"/>
  <c r="S114" i="8" s="1"/>
  <c r="S115" i="8" s="1"/>
  <c r="S116" i="8" s="1"/>
  <c r="S117" i="8" s="1"/>
  <c r="S118" i="8" s="1"/>
  <c r="S119" i="8" s="1"/>
  <c r="S120" i="8" s="1"/>
  <c r="S121" i="8" s="1"/>
  <c r="S122" i="8" s="1"/>
  <c r="S123" i="8" s="1"/>
  <c r="S124" i="8" s="1"/>
  <c r="S125" i="8" s="1"/>
  <c r="S126" i="8" s="1"/>
  <c r="S127" i="8" s="1"/>
  <c r="S128" i="8" s="1"/>
  <c r="S129" i="8" s="1"/>
  <c r="S130" i="8" s="1"/>
  <c r="S131" i="8" s="1"/>
  <c r="S132" i="8" s="1"/>
  <c r="S133" i="8" s="1"/>
  <c r="S134" i="8" s="1"/>
  <c r="S135" i="8" s="1"/>
  <c r="S136" i="8" s="1"/>
  <c r="S137" i="8" s="1"/>
  <c r="S138" i="8" s="1"/>
  <c r="S139" i="8" s="1"/>
  <c r="S140" i="8" s="1"/>
  <c r="S141" i="8" s="1"/>
  <c r="S142" i="8" s="1"/>
  <c r="S143" i="8" s="1"/>
  <c r="S144" i="8" s="1"/>
  <c r="S145" i="8" s="1"/>
  <c r="S146" i="8" s="1"/>
  <c r="S147" i="8" s="1"/>
  <c r="S148" i="8" s="1"/>
  <c r="S149" i="8" s="1"/>
  <c r="S150" i="8" s="1"/>
  <c r="S151" i="8" s="1"/>
  <c r="S152" i="8" s="1"/>
  <c r="S153" i="8" s="1"/>
  <c r="S154" i="8" s="1"/>
  <c r="S155" i="8" s="1"/>
  <c r="S156" i="8" s="1"/>
  <c r="S157" i="8" s="1"/>
  <c r="S158" i="8" s="1"/>
  <c r="S159" i="8" s="1"/>
  <c r="S160" i="8" s="1"/>
  <c r="S161" i="8" s="1"/>
  <c r="S162" i="8" s="1"/>
  <c r="S163" i="8" s="1"/>
  <c r="S164" i="8" s="1"/>
  <c r="S165" i="8" s="1"/>
  <c r="S166" i="8" s="1"/>
  <c r="S167" i="8" s="1"/>
  <c r="S168" i="8" s="1"/>
  <c r="S169" i="8" s="1"/>
  <c r="S170" i="8" s="1"/>
  <c r="S171" i="8" s="1"/>
  <c r="S172" i="8" s="1"/>
  <c r="S173" i="8" s="1"/>
  <c r="S174" i="8" s="1"/>
  <c r="S175" i="8" s="1"/>
  <c r="S176" i="8" s="1"/>
  <c r="S177" i="8" s="1"/>
  <c r="S178" i="8" s="1"/>
  <c r="S179" i="8" s="1"/>
  <c r="S180" i="8" s="1"/>
  <c r="S181" i="8" s="1"/>
  <c r="S182" i="8" s="1"/>
  <c r="S183" i="8" s="1"/>
  <c r="S184" i="8" s="1"/>
  <c r="S185" i="8" s="1"/>
  <c r="S186" i="8" s="1"/>
  <c r="S187" i="8" s="1"/>
  <c r="S188" i="8" s="1"/>
  <c r="S189" i="8" s="1"/>
  <c r="S190" i="8" s="1"/>
  <c r="S191" i="8" s="1"/>
  <c r="S192" i="8" s="1"/>
  <c r="S193" i="8" s="1"/>
  <c r="S194" i="8" s="1"/>
  <c r="S195" i="8" s="1"/>
  <c r="S196" i="8" s="1"/>
  <c r="S197" i="8" s="1"/>
  <c r="S198" i="8" s="1"/>
  <c r="S199" i="8" s="1"/>
  <c r="S200" i="8" s="1"/>
  <c r="S201" i="8" s="1"/>
  <c r="S202" i="8" s="1"/>
  <c r="S203" i="8" s="1"/>
  <c r="S204" i="8" s="1"/>
  <c r="S205" i="8" s="1"/>
  <c r="S206" i="8" s="1"/>
  <c r="S207" i="8" s="1"/>
  <c r="S208" i="8" s="1"/>
  <c r="S209" i="8" s="1"/>
  <c r="S210" i="8" s="1"/>
  <c r="S211" i="8" s="1"/>
  <c r="S212" i="8" s="1"/>
  <c r="S213" i="8" s="1"/>
  <c r="S214" i="8" s="1"/>
  <c r="S215" i="8" s="1"/>
  <c r="S216" i="8" s="1"/>
  <c r="S217" i="8" s="1"/>
  <c r="S218" i="8" s="1"/>
  <c r="S219" i="8" s="1"/>
  <c r="S220" i="8" s="1"/>
  <c r="S221" i="8" s="1"/>
  <c r="S222" i="8" s="1"/>
  <c r="S223" i="8" s="1"/>
  <c r="S224" i="8" s="1"/>
  <c r="S225" i="8" s="1"/>
  <c r="S226" i="8" s="1"/>
  <c r="S227" i="8" s="1"/>
  <c r="S228" i="8" s="1"/>
  <c r="S229" i="8" s="1"/>
  <c r="S230" i="8" s="1"/>
  <c r="S231" i="8" s="1"/>
  <c r="S232" i="8" s="1"/>
  <c r="S233" i="8" s="1"/>
  <c r="S234" i="8" s="1"/>
  <c r="S235" i="8" s="1"/>
  <c r="S236" i="8" s="1"/>
  <c r="S237" i="8" s="1"/>
  <c r="S238" i="8" s="1"/>
  <c r="S239" i="8" s="1"/>
  <c r="S240" i="8" s="1"/>
  <c r="S241" i="8" s="1"/>
  <c r="S242" i="8" s="1"/>
  <c r="S243" i="8" s="1"/>
  <c r="S244" i="8" s="1"/>
  <c r="S245" i="8" s="1"/>
  <c r="S246" i="8" s="1"/>
  <c r="S247" i="8" s="1"/>
  <c r="S248" i="8" s="1"/>
  <c r="S249" i="8" s="1"/>
  <c r="S250" i="8" s="1"/>
  <c r="S251" i="8" s="1"/>
  <c r="S252" i="8" s="1"/>
  <c r="S253" i="8" s="1"/>
  <c r="S254" i="8" s="1"/>
  <c r="S255" i="8" s="1"/>
  <c r="S256" i="8" s="1"/>
  <c r="S257" i="8" s="1"/>
  <c r="S258" i="8" s="1"/>
  <c r="S259" i="8" s="1"/>
  <c r="S260" i="8" s="1"/>
  <c r="S261" i="8" s="1"/>
  <c r="S262" i="8" s="1"/>
  <c r="S263" i="8" s="1"/>
  <c r="S264" i="8" s="1"/>
  <c r="S265" i="8" s="1"/>
  <c r="S266" i="8" s="1"/>
  <c r="S267" i="8" s="1"/>
  <c r="S268" i="8" s="1"/>
  <c r="S269" i="8" s="1"/>
  <c r="S270" i="8" s="1"/>
  <c r="S271" i="8" s="1"/>
  <c r="S272" i="8" s="1"/>
  <c r="S273" i="8" s="1"/>
  <c r="S274" i="8" s="1"/>
  <c r="S275" i="8" s="1"/>
  <c r="S276" i="8" s="1"/>
  <c r="S277" i="8" s="1"/>
  <c r="S278" i="8" s="1"/>
  <c r="S279" i="8" s="1"/>
  <c r="S280" i="8" s="1"/>
  <c r="S281" i="8" s="1"/>
  <c r="S282" i="8" s="1"/>
  <c r="S283" i="8" s="1"/>
  <c r="S284" i="8" s="1"/>
  <c r="S285" i="8" s="1"/>
  <c r="S286" i="8" s="1"/>
  <c r="S287" i="8" s="1"/>
  <c r="S288" i="8" s="1"/>
  <c r="S289" i="8" s="1"/>
  <c r="S290" i="8" s="1"/>
  <c r="S291" i="8" s="1"/>
  <c r="S292" i="8" s="1"/>
  <c r="S293" i="8" s="1"/>
  <c r="S294" i="8" s="1"/>
  <c r="S295" i="8" s="1"/>
  <c r="S296" i="8" s="1"/>
  <c r="S297" i="8" s="1"/>
  <c r="S298" i="8" s="1"/>
  <c r="S299" i="8" s="1"/>
  <c r="S300" i="8" s="1"/>
  <c r="S301" i="8" s="1"/>
  <c r="S302" i="8" s="1"/>
  <c r="S303" i="8" s="1"/>
  <c r="S304" i="8" s="1"/>
  <c r="S305" i="8" s="1"/>
  <c r="S306" i="8" s="1"/>
  <c r="S307" i="8" s="1"/>
  <c r="S308" i="8" s="1"/>
  <c r="S309" i="8" s="1"/>
  <c r="S310" i="8" s="1"/>
  <c r="S311" i="8" s="1"/>
  <c r="S312" i="8" s="1"/>
  <c r="S313" i="8" s="1"/>
  <c r="S314" i="8" s="1"/>
  <c r="S315" i="8" s="1"/>
  <c r="S316" i="8" s="1"/>
  <c r="S317" i="8" s="1"/>
  <c r="S318" i="8" s="1"/>
  <c r="S319" i="8" s="1"/>
  <c r="S320" i="8" s="1"/>
  <c r="S321" i="8" s="1"/>
  <c r="S322" i="8" s="1"/>
  <c r="S323" i="8" s="1"/>
  <c r="S324" i="8" s="1"/>
  <c r="S325" i="8" s="1"/>
  <c r="S326" i="8" s="1"/>
  <c r="S327" i="8" s="1"/>
  <c r="S328" i="8" s="1"/>
  <c r="S329" i="8" s="1"/>
  <c r="S330" i="8" s="1"/>
  <c r="S331" i="8" s="1"/>
  <c r="S332" i="8" s="1"/>
  <c r="S333" i="8" s="1"/>
  <c r="S334" i="8" s="1"/>
  <c r="S335" i="8" s="1"/>
  <c r="S336" i="8" s="1"/>
  <c r="S337" i="8" s="1"/>
  <c r="S338" i="8" s="1"/>
  <c r="S339" i="8" s="1"/>
  <c r="S340" i="8" s="1"/>
  <c r="S341" i="8" s="1"/>
  <c r="S342" i="8" s="1"/>
  <c r="S343" i="8" s="1"/>
  <c r="S344" i="8" s="1"/>
  <c r="S345" i="8" s="1"/>
  <c r="S346" i="8" s="1"/>
  <c r="S347" i="8" s="1"/>
  <c r="S348" i="8" s="1"/>
  <c r="S349" i="8" s="1"/>
  <c r="S350" i="8" s="1"/>
  <c r="S351" i="8" s="1"/>
  <c r="S352" i="8" s="1"/>
  <c r="S353" i="8" s="1"/>
  <c r="S354" i="8" s="1"/>
  <c r="S355" i="8" s="1"/>
  <c r="S356" i="8" s="1"/>
  <c r="S357" i="8" s="1"/>
  <c r="S358" i="8" s="1"/>
  <c r="S359" i="8" s="1"/>
  <c r="S360" i="8" s="1"/>
  <c r="S361" i="8" s="1"/>
  <c r="S362" i="8" s="1"/>
  <c r="S363" i="8" s="1"/>
  <c r="S364" i="8" s="1"/>
  <c r="S365" i="8" s="1"/>
  <c r="S366" i="8" s="1"/>
  <c r="S367" i="8" s="1"/>
  <c r="S368" i="8" s="1"/>
  <c r="S369" i="8" s="1"/>
  <c r="S370" i="8" s="1"/>
  <c r="S371" i="8" s="1"/>
  <c r="S372" i="8" s="1"/>
  <c r="S373" i="8" s="1"/>
  <c r="S374" i="8" s="1"/>
  <c r="S375" i="8" s="1"/>
  <c r="S376" i="8" s="1"/>
  <c r="S377" i="8" s="1"/>
  <c r="S378" i="8" s="1"/>
  <c r="S379" i="8" s="1"/>
  <c r="S380" i="8" s="1"/>
  <c r="S381" i="8" s="1"/>
  <c r="S382" i="8" s="1"/>
  <c r="S383" i="8" s="1"/>
  <c r="S384" i="8" s="1"/>
  <c r="S385" i="8" s="1"/>
  <c r="S386" i="8" s="1"/>
  <c r="S387" i="8" s="1"/>
  <c r="S388" i="8" s="1"/>
  <c r="S389" i="8" s="1"/>
  <c r="S390" i="8" s="1"/>
  <c r="S391" i="8" s="1"/>
  <c r="S392" i="8" s="1"/>
  <c r="S393" i="8" s="1"/>
  <c r="S394" i="8" s="1"/>
  <c r="S395" i="8" s="1"/>
  <c r="S396" i="8" s="1"/>
  <c r="S397" i="8" s="1"/>
  <c r="S398" i="8" s="1"/>
  <c r="S399" i="8" s="1"/>
  <c r="S400" i="8" s="1"/>
  <c r="S401" i="8" s="1"/>
  <c r="S402" i="8" s="1"/>
  <c r="S403" i="8" s="1"/>
  <c r="S404" i="8" s="1"/>
  <c r="S405" i="8" s="1"/>
  <c r="S406" i="8" s="1"/>
  <c r="S407" i="8" s="1"/>
  <c r="S408" i="8" s="1"/>
  <c r="S409" i="8" s="1"/>
  <c r="S410" i="8" s="1"/>
  <c r="S411" i="8" s="1"/>
  <c r="S412" i="8" s="1"/>
  <c r="S413" i="8" s="1"/>
  <c r="S414" i="8" s="1"/>
  <c r="S415" i="8" s="1"/>
  <c r="S416" i="8" s="1"/>
  <c r="S417" i="8" s="1"/>
  <c r="S418" i="8" s="1"/>
  <c r="S419" i="8" s="1"/>
  <c r="S420" i="8" s="1"/>
  <c r="S421" i="8" s="1"/>
  <c r="S422" i="8" s="1"/>
  <c r="S423" i="8" s="1"/>
  <c r="S424" i="8" s="1"/>
  <c r="S425" i="8" s="1"/>
  <c r="S426" i="8" s="1"/>
  <c r="S427" i="8" s="1"/>
  <c r="S428" i="8" s="1"/>
  <c r="S429" i="8" s="1"/>
  <c r="S430" i="8" s="1"/>
  <c r="S431" i="8" s="1"/>
  <c r="S432" i="8" s="1"/>
  <c r="S433" i="8" s="1"/>
  <c r="S434" i="8" s="1"/>
  <c r="S435" i="8" s="1"/>
  <c r="S436" i="8" s="1"/>
  <c r="S437" i="8" s="1"/>
  <c r="S438" i="8" s="1"/>
  <c r="S439" i="8" s="1"/>
  <c r="S440" i="8" s="1"/>
  <c r="S441" i="8" s="1"/>
  <c r="S442" i="8" s="1"/>
  <c r="S443" i="8" s="1"/>
  <c r="S444" i="8" s="1"/>
  <c r="S445" i="8" s="1"/>
  <c r="S446" i="8" s="1"/>
  <c r="S447" i="8" s="1"/>
  <c r="S448" i="8" s="1"/>
  <c r="S449" i="8" s="1"/>
  <c r="S450" i="8" s="1"/>
  <c r="S451" i="8" s="1"/>
  <c r="S452" i="8" s="1"/>
  <c r="S453" i="8" s="1"/>
  <c r="S454" i="8" s="1"/>
  <c r="S455" i="8" s="1"/>
  <c r="S456" i="8" s="1"/>
  <c r="S457" i="8" s="1"/>
  <c r="S458" i="8" s="1"/>
  <c r="S459" i="8" s="1"/>
  <c r="S460" i="8" s="1"/>
  <c r="S461" i="8" s="1"/>
  <c r="S462" i="8" s="1"/>
  <c r="S463" i="8" s="1"/>
  <c r="S464" i="8" s="1"/>
  <c r="S465" i="8" s="1"/>
  <c r="S466" i="8" s="1"/>
  <c r="S467" i="8" s="1"/>
  <c r="S468" i="8" s="1"/>
  <c r="S469" i="8" s="1"/>
  <c r="S470" i="8" s="1"/>
  <c r="S471" i="8" s="1"/>
  <c r="S472" i="8" s="1"/>
  <c r="S473" i="8" s="1"/>
  <c r="S474" i="8" s="1"/>
  <c r="S475" i="8" s="1"/>
  <c r="S476" i="8" s="1"/>
  <c r="S477" i="8" s="1"/>
  <c r="S478" i="8" s="1"/>
  <c r="S479" i="8" s="1"/>
  <c r="S480" i="8" s="1"/>
  <c r="S481" i="8" s="1"/>
  <c r="S482" i="8" s="1"/>
  <c r="S483" i="8" s="1"/>
  <c r="S484" i="8" s="1"/>
  <c r="S485" i="8" s="1"/>
  <c r="S486" i="8" s="1"/>
  <c r="S487" i="8" s="1"/>
  <c r="S488" i="8" s="1"/>
  <c r="S489" i="8" s="1"/>
  <c r="S490" i="8" s="1"/>
  <c r="S491" i="8" s="1"/>
  <c r="S492" i="8" s="1"/>
  <c r="S493" i="8" s="1"/>
  <c r="S494" i="8" s="1"/>
  <c r="S495" i="8" s="1"/>
  <c r="S496" i="8" s="1"/>
  <c r="S497" i="8" s="1"/>
  <c r="S498" i="8" s="1"/>
  <c r="S499" i="8" s="1"/>
  <c r="S500" i="8" s="1"/>
  <c r="S501" i="8" s="1"/>
  <c r="S502" i="8" s="1"/>
  <c r="S503" i="8" s="1"/>
  <c r="S504" i="8" s="1"/>
  <c r="S505" i="8" s="1"/>
  <c r="S506" i="8" s="1"/>
  <c r="S507" i="8" s="1"/>
  <c r="S508" i="8" s="1"/>
  <c r="S509" i="8" s="1"/>
  <c r="S510" i="8" s="1"/>
  <c r="S511" i="8" s="1"/>
  <c r="S512" i="8" s="1"/>
  <c r="S513" i="8" s="1"/>
  <c r="S514" i="8" s="1"/>
  <c r="S515" i="8" s="1"/>
  <c r="S516" i="8" s="1"/>
  <c r="S517" i="8" s="1"/>
  <c r="S518" i="8" s="1"/>
  <c r="S519" i="8" s="1"/>
  <c r="S520" i="8" s="1"/>
  <c r="S521" i="8" s="1"/>
  <c r="S522" i="8" s="1"/>
  <c r="S523" i="8" s="1"/>
  <c r="S524" i="8" s="1"/>
  <c r="S525" i="8" s="1"/>
  <c r="S526" i="8" s="1"/>
  <c r="S527" i="8" s="1"/>
  <c r="S528" i="8" s="1"/>
  <c r="S529" i="8" s="1"/>
  <c r="S530" i="8" s="1"/>
  <c r="S531" i="8" s="1"/>
  <c r="S532" i="8" s="1"/>
  <c r="S533" i="8" s="1"/>
  <c r="S534" i="8" s="1"/>
  <c r="S535" i="8" s="1"/>
  <c r="S536" i="8" s="1"/>
  <c r="S537" i="8" s="1"/>
  <c r="S538" i="8" s="1"/>
  <c r="S539" i="8" s="1"/>
  <c r="S540" i="8" s="1"/>
  <c r="S541" i="8" s="1"/>
  <c r="S542" i="8" s="1"/>
  <c r="S543" i="8" s="1"/>
  <c r="S544" i="8" s="1"/>
  <c r="S545" i="8" s="1"/>
  <c r="S546" i="8" s="1"/>
  <c r="S547" i="8" s="1"/>
  <c r="S548" i="8" s="1"/>
  <c r="S549" i="8" s="1"/>
  <c r="S550" i="8" s="1"/>
  <c r="S551" i="8" s="1"/>
  <c r="S552" i="8" s="1"/>
  <c r="S553" i="8" s="1"/>
  <c r="S554" i="8" s="1"/>
  <c r="S555" i="8" s="1"/>
  <c r="S556" i="8" s="1"/>
  <c r="S557" i="8" s="1"/>
  <c r="S558" i="8" s="1"/>
  <c r="S559" i="8" s="1"/>
  <c r="S560" i="8" s="1"/>
  <c r="S561" i="8" s="1"/>
  <c r="S562" i="8" s="1"/>
  <c r="S563" i="8" s="1"/>
  <c r="S564" i="8" s="1"/>
  <c r="S565" i="8" s="1"/>
  <c r="S566" i="8" s="1"/>
  <c r="S567" i="8" s="1"/>
  <c r="S568" i="8" s="1"/>
  <c r="S569" i="8" s="1"/>
  <c r="S570" i="8" s="1"/>
  <c r="S571" i="8" s="1"/>
  <c r="S572" i="8" s="1"/>
  <c r="S573" i="8" s="1"/>
  <c r="S574" i="8" s="1"/>
  <c r="S575" i="8" s="1"/>
  <c r="S576" i="8" s="1"/>
  <c r="S577" i="8" s="1"/>
  <c r="S578" i="8" s="1"/>
  <c r="S579" i="8" s="1"/>
  <c r="S580" i="8" s="1"/>
  <c r="S581" i="8" s="1"/>
  <c r="S582" i="8" s="1"/>
  <c r="S583" i="8" s="1"/>
  <c r="S584" i="8" s="1"/>
  <c r="S585" i="8" s="1"/>
  <c r="S586" i="8" s="1"/>
  <c r="S587" i="8" s="1"/>
  <c r="S588" i="8" s="1"/>
  <c r="S589" i="8" s="1"/>
  <c r="S590" i="8" s="1"/>
  <c r="S591" i="8" s="1"/>
  <c r="S592" i="8" s="1"/>
  <c r="S593" i="8" s="1"/>
  <c r="S594" i="8" s="1"/>
  <c r="S595" i="8" s="1"/>
  <c r="S596" i="8" s="1"/>
  <c r="S597" i="8" s="1"/>
  <c r="S598" i="8" s="1"/>
  <c r="S599" i="8" s="1"/>
  <c r="S600" i="8" s="1"/>
  <c r="S601" i="8" s="1"/>
  <c r="S602" i="8" s="1"/>
  <c r="S603" i="8" s="1"/>
  <c r="S604" i="8" s="1"/>
  <c r="S605" i="8" s="1"/>
  <c r="S606" i="8" s="1"/>
  <c r="S607" i="8" s="1"/>
  <c r="S608" i="8" s="1"/>
  <c r="S609" i="8" s="1"/>
  <c r="S610" i="8" s="1"/>
  <c r="S611" i="8" s="1"/>
  <c r="S612" i="8" s="1"/>
  <c r="S613" i="8" s="1"/>
  <c r="S614" i="8" s="1"/>
  <c r="S615" i="8" s="1"/>
  <c r="S616" i="8" s="1"/>
  <c r="S617" i="8" s="1"/>
  <c r="S618" i="8" s="1"/>
  <c r="S619" i="8" s="1"/>
  <c r="S620" i="8" s="1"/>
  <c r="S621" i="8" s="1"/>
  <c r="S622" i="8" s="1"/>
  <c r="S623" i="8" s="1"/>
  <c r="S624" i="8" s="1"/>
  <c r="S625" i="8" s="1"/>
  <c r="S626" i="8" s="1"/>
  <c r="S627" i="8" s="1"/>
  <c r="S628" i="8" s="1"/>
  <c r="S629" i="8" s="1"/>
  <c r="S630" i="8" s="1"/>
  <c r="S631" i="8" s="1"/>
  <c r="S632" i="8" s="1"/>
  <c r="S633" i="8" s="1"/>
  <c r="S634" i="8" s="1"/>
  <c r="S635" i="8" s="1"/>
  <c r="S636" i="8" s="1"/>
  <c r="S637" i="8" s="1"/>
  <c r="S638" i="8" s="1"/>
  <c r="S639" i="8" s="1"/>
  <c r="S640" i="8" s="1"/>
  <c r="S641" i="8" s="1"/>
  <c r="S642" i="8" s="1"/>
  <c r="S643" i="8" s="1"/>
  <c r="S644" i="8" s="1"/>
  <c r="S645" i="8" s="1"/>
  <c r="S646" i="8" s="1"/>
  <c r="S647" i="8" s="1"/>
  <c r="S648" i="8" s="1"/>
  <c r="S649" i="8" s="1"/>
  <c r="S650" i="8" s="1"/>
  <c r="S651" i="8" s="1"/>
  <c r="S652" i="8" s="1"/>
  <c r="S653" i="8" s="1"/>
  <c r="S654" i="8" s="1"/>
  <c r="S655" i="8" s="1"/>
  <c r="S656" i="8" s="1"/>
  <c r="S657" i="8" s="1"/>
  <c r="S658" i="8" s="1"/>
  <c r="S659" i="8" s="1"/>
  <c r="S660" i="8" s="1"/>
  <c r="S661" i="8" s="1"/>
  <c r="S662" i="8" s="1"/>
  <c r="S663" i="8" s="1"/>
  <c r="S664" i="8" s="1"/>
  <c r="S665" i="8" s="1"/>
  <c r="S666" i="8" s="1"/>
  <c r="S667" i="8" s="1"/>
  <c r="S668" i="8" s="1"/>
  <c r="S669" i="8" s="1"/>
  <c r="S670" i="8" s="1"/>
  <c r="S671" i="8" s="1"/>
  <c r="S672" i="8" s="1"/>
  <c r="S673" i="8" s="1"/>
  <c r="S674" i="8" s="1"/>
  <c r="S675" i="8" s="1"/>
  <c r="S676" i="8" s="1"/>
  <c r="S677" i="8" s="1"/>
  <c r="S678" i="8" s="1"/>
  <c r="S679" i="8" s="1"/>
  <c r="S680" i="8" s="1"/>
  <c r="S681" i="8" s="1"/>
  <c r="S682" i="8" s="1"/>
  <c r="S683" i="8" s="1"/>
  <c r="S684" i="8" s="1"/>
  <c r="S685" i="8" s="1"/>
  <c r="S686" i="8" s="1"/>
  <c r="S687" i="8" s="1"/>
  <c r="S688" i="8" s="1"/>
  <c r="S689" i="8" s="1"/>
  <c r="S690" i="8" s="1"/>
  <c r="S691" i="8" s="1"/>
  <c r="S692" i="8" s="1"/>
  <c r="S693" i="8" s="1"/>
  <c r="S694" i="8" s="1"/>
  <c r="S695" i="8" s="1"/>
  <c r="S696" i="8" s="1"/>
  <c r="S697" i="8" s="1"/>
  <c r="S698" i="8" s="1"/>
  <c r="S699" i="8" s="1"/>
  <c r="S700" i="8" s="1"/>
  <c r="S701" i="8" s="1"/>
  <c r="S702" i="8" s="1"/>
  <c r="S703" i="8" s="1"/>
  <c r="S704" i="8" s="1"/>
  <c r="S705" i="8" s="1"/>
  <c r="S706" i="8" s="1"/>
  <c r="S707" i="8" s="1"/>
  <c r="S708" i="8" s="1"/>
  <c r="S709" i="8" s="1"/>
  <c r="S710" i="8" s="1"/>
  <c r="S711" i="8" s="1"/>
  <c r="S712" i="8" s="1"/>
  <c r="S713" i="8" s="1"/>
  <c r="S714" i="8" s="1"/>
  <c r="S715" i="8" s="1"/>
  <c r="S716" i="8" s="1"/>
  <c r="S717" i="8" s="1"/>
  <c r="S718" i="8" s="1"/>
  <c r="S719" i="8" s="1"/>
  <c r="S720" i="8" s="1"/>
  <c r="S721" i="8" s="1"/>
  <c r="S722" i="8" s="1"/>
  <c r="S723" i="8" s="1"/>
  <c r="S724" i="8" s="1"/>
  <c r="S725" i="8" s="1"/>
  <c r="S726" i="8" s="1"/>
  <c r="S727" i="8" s="1"/>
  <c r="S728" i="8" s="1"/>
  <c r="S729" i="8" s="1"/>
  <c r="S730" i="8" s="1"/>
  <c r="S731" i="8" s="1"/>
  <c r="S732" i="8" s="1"/>
  <c r="S733" i="8" s="1"/>
  <c r="S734" i="8" s="1"/>
  <c r="S735" i="8" s="1"/>
  <c r="S736" i="8" s="1"/>
  <c r="S737" i="8" s="1"/>
  <c r="S738" i="8" s="1"/>
  <c r="S739" i="8" s="1"/>
  <c r="S740" i="8" s="1"/>
  <c r="S741" i="8" s="1"/>
  <c r="S742" i="8" s="1"/>
  <c r="S743" i="8" s="1"/>
  <c r="S744" i="8" s="1"/>
  <c r="S745" i="8" s="1"/>
  <c r="S746" i="8" s="1"/>
  <c r="S747" i="8" s="1"/>
  <c r="S748" i="8" s="1"/>
  <c r="S749" i="8" s="1"/>
  <c r="S750" i="8" s="1"/>
  <c r="S751" i="8" s="1"/>
  <c r="S752" i="8" s="1"/>
  <c r="S753" i="8" s="1"/>
  <c r="S754" i="8" s="1"/>
  <c r="S755" i="8" s="1"/>
  <c r="S756" i="8" s="1"/>
  <c r="S757" i="8" s="1"/>
  <c r="S758" i="8" s="1"/>
  <c r="S759" i="8" s="1"/>
  <c r="S760" i="8" s="1"/>
  <c r="S761" i="8" s="1"/>
  <c r="S762" i="8" s="1"/>
  <c r="S763" i="8" s="1"/>
  <c r="S764" i="8" s="1"/>
  <c r="S765" i="8" s="1"/>
  <c r="S766" i="8" s="1"/>
  <c r="S767" i="8" s="1"/>
  <c r="S768" i="8" s="1"/>
  <c r="S769" i="8" s="1"/>
  <c r="S770" i="8" s="1"/>
  <c r="S771" i="8" s="1"/>
  <c r="S772" i="8" s="1"/>
  <c r="S773" i="8" s="1"/>
  <c r="S774" i="8" s="1"/>
  <c r="S775" i="8" s="1"/>
  <c r="S776" i="8" s="1"/>
  <c r="S777" i="8" s="1"/>
  <c r="S778" i="8" s="1"/>
  <c r="S779" i="8" s="1"/>
  <c r="S780" i="8" s="1"/>
  <c r="S781" i="8" s="1"/>
  <c r="S782" i="8" s="1"/>
  <c r="S783" i="8" s="1"/>
  <c r="S784" i="8" s="1"/>
  <c r="S785" i="8" s="1"/>
  <c r="S786" i="8" s="1"/>
  <c r="S787" i="8" s="1"/>
  <c r="S788" i="8" s="1"/>
  <c r="S789" i="8" s="1"/>
  <c r="S790" i="8" s="1"/>
  <c r="S791" i="8" s="1"/>
  <c r="S792" i="8" s="1"/>
  <c r="S793" i="8" s="1"/>
  <c r="S794" i="8" s="1"/>
  <c r="S795" i="8" s="1"/>
  <c r="S796" i="8" s="1"/>
  <c r="S797" i="8" s="1"/>
  <c r="S798" i="8" s="1"/>
  <c r="S799" i="8" s="1"/>
  <c r="S800" i="8" s="1"/>
  <c r="S801" i="8" s="1"/>
  <c r="S802" i="8" s="1"/>
  <c r="S803" i="8" s="1"/>
  <c r="S804" i="8" s="1"/>
  <c r="S805" i="8" s="1"/>
  <c r="S806" i="8" s="1"/>
  <c r="S807" i="8" s="1"/>
  <c r="S808" i="8" s="1"/>
  <c r="S809" i="8" s="1"/>
  <c r="S810" i="8" s="1"/>
  <c r="S811" i="8" s="1"/>
  <c r="S812" i="8" s="1"/>
  <c r="S813" i="8" s="1"/>
  <c r="S814" i="8" s="1"/>
  <c r="S815" i="8" s="1"/>
  <c r="S816" i="8" s="1"/>
  <c r="S817" i="8" s="1"/>
  <c r="S818" i="8" s="1"/>
  <c r="S819" i="8" s="1"/>
  <c r="S820" i="8" s="1"/>
  <c r="S821" i="8" s="1"/>
  <c r="S822" i="8" s="1"/>
  <c r="S823" i="8" s="1"/>
  <c r="S824" i="8" s="1"/>
  <c r="S825" i="8" s="1"/>
  <c r="S826" i="8" s="1"/>
  <c r="S827" i="8" s="1"/>
  <c r="S828" i="8" s="1"/>
  <c r="S829" i="8" s="1"/>
  <c r="S830" i="8" s="1"/>
  <c r="S831" i="8" s="1"/>
  <c r="S832" i="8" s="1"/>
  <c r="S833" i="8" s="1"/>
  <c r="S834" i="8" s="1"/>
  <c r="S835" i="8" s="1"/>
  <c r="S836" i="8" s="1"/>
  <c r="S837" i="8" s="1"/>
  <c r="S838" i="8" s="1"/>
  <c r="S839" i="8" s="1"/>
  <c r="S840" i="8" s="1"/>
  <c r="S841" i="8" s="1"/>
  <c r="S842" i="8" s="1"/>
  <c r="S843" i="8" s="1"/>
  <c r="S844" i="8" s="1"/>
  <c r="S845" i="8" s="1"/>
  <c r="S846" i="8" s="1"/>
  <c r="S847" i="8" s="1"/>
  <c r="S848" i="8" s="1"/>
  <c r="S849" i="8" s="1"/>
  <c r="S850" i="8" s="1"/>
  <c r="S851" i="8" s="1"/>
  <c r="S852" i="8" s="1"/>
  <c r="S853" i="8" s="1"/>
  <c r="S854" i="8" s="1"/>
  <c r="S855" i="8" s="1"/>
  <c r="S856" i="8" s="1"/>
  <c r="S857" i="8" s="1"/>
  <c r="S858" i="8" s="1"/>
  <c r="S859" i="8" s="1"/>
  <c r="S860" i="8" s="1"/>
  <c r="S861" i="8" s="1"/>
  <c r="S862" i="8" s="1"/>
  <c r="S863" i="8" s="1"/>
  <c r="S864" i="8" s="1"/>
  <c r="S865" i="8" s="1"/>
  <c r="S866" i="8" s="1"/>
  <c r="S867" i="8" s="1"/>
  <c r="S868" i="8" s="1"/>
  <c r="S869" i="8" s="1"/>
  <c r="S870" i="8" s="1"/>
  <c r="S871" i="8" s="1"/>
  <c r="S872" i="8" s="1"/>
  <c r="S873" i="8" s="1"/>
  <c r="S874" i="8" s="1"/>
  <c r="S875" i="8" s="1"/>
  <c r="S876" i="8" s="1"/>
  <c r="S877" i="8" s="1"/>
  <c r="S878" i="8" s="1"/>
  <c r="S879" i="8" s="1"/>
  <c r="S880" i="8" s="1"/>
  <c r="S881" i="8" s="1"/>
  <c r="S882" i="8" s="1"/>
  <c r="S883" i="8" s="1"/>
  <c r="S884" i="8" s="1"/>
  <c r="S885" i="8" s="1"/>
  <c r="S886" i="8" s="1"/>
  <c r="S887" i="8" s="1"/>
  <c r="S888" i="8" s="1"/>
  <c r="S889" i="8" s="1"/>
  <c r="S890" i="8" s="1"/>
  <c r="S891" i="8" s="1"/>
  <c r="S892" i="8" s="1"/>
  <c r="S893" i="8" s="1"/>
  <c r="S894" i="8" s="1"/>
  <c r="S895" i="8" s="1"/>
  <c r="S896" i="8" s="1"/>
  <c r="S897" i="8" s="1"/>
  <c r="S898" i="8" s="1"/>
  <c r="S899" i="8" s="1"/>
  <c r="S900" i="8" s="1"/>
  <c r="S901" i="8" s="1"/>
  <c r="S902" i="8" s="1"/>
  <c r="S903" i="8" s="1"/>
  <c r="S904" i="8" s="1"/>
  <c r="S905" i="8" s="1"/>
  <c r="S906" i="8" s="1"/>
  <c r="S907" i="8" s="1"/>
  <c r="S908" i="8" s="1"/>
  <c r="S909" i="8" s="1"/>
  <c r="S910" i="8" s="1"/>
  <c r="S911" i="8" s="1"/>
  <c r="S912" i="8" s="1"/>
  <c r="S913" i="8" s="1"/>
  <c r="S914" i="8" s="1"/>
  <c r="S915" i="8" s="1"/>
  <c r="S916" i="8" s="1"/>
  <c r="S917" i="8" s="1"/>
  <c r="S918" i="8" s="1"/>
  <c r="S919" i="8" s="1"/>
  <c r="S920" i="8" s="1"/>
  <c r="S921" i="8" s="1"/>
  <c r="S922" i="8" s="1"/>
  <c r="S923" i="8" s="1"/>
  <c r="S924" i="8" s="1"/>
  <c r="S925" i="8" s="1"/>
  <c r="S926" i="8" s="1"/>
  <c r="S927" i="8" s="1"/>
  <c r="S928" i="8" s="1"/>
  <c r="S929" i="8" s="1"/>
  <c r="S930" i="8" s="1"/>
  <c r="S931" i="8" s="1"/>
  <c r="S932" i="8" s="1"/>
  <c r="S933" i="8" s="1"/>
  <c r="S934" i="8" s="1"/>
  <c r="S935" i="8" s="1"/>
  <c r="S936" i="8" s="1"/>
  <c r="S937" i="8" s="1"/>
  <c r="S938" i="8" s="1"/>
  <c r="S939" i="8" s="1"/>
  <c r="S940" i="8" s="1"/>
  <c r="S941" i="8" s="1"/>
  <c r="S942" i="8" s="1"/>
  <c r="S943" i="8" s="1"/>
  <c r="S944" i="8" s="1"/>
  <c r="S945" i="8" s="1"/>
  <c r="S946" i="8" s="1"/>
  <c r="S947" i="8" s="1"/>
  <c r="S948" i="8" s="1"/>
  <c r="S949" i="8" s="1"/>
  <c r="S950" i="8" s="1"/>
  <c r="S951" i="8" s="1"/>
  <c r="S952" i="8" s="1"/>
  <c r="S953" i="8" s="1"/>
  <c r="S954" i="8" s="1"/>
  <c r="S955" i="8" s="1"/>
  <c r="S956" i="8" s="1"/>
  <c r="S957" i="8" s="1"/>
  <c r="S958" i="8" s="1"/>
  <c r="S959" i="8" s="1"/>
  <c r="S960" i="8" s="1"/>
  <c r="S961" i="8" s="1"/>
  <c r="S962" i="8" s="1"/>
  <c r="S963" i="8" s="1"/>
  <c r="S964" i="8" s="1"/>
  <c r="S965" i="8" s="1"/>
  <c r="S966" i="8" s="1"/>
  <c r="S967" i="8" s="1"/>
  <c r="S968" i="8" s="1"/>
  <c r="S969" i="8" s="1"/>
  <c r="S970" i="8" s="1"/>
  <c r="S971" i="8" s="1"/>
  <c r="S972" i="8" s="1"/>
  <c r="S973" i="8" s="1"/>
  <c r="S974" i="8" s="1"/>
  <c r="S975" i="8" s="1"/>
  <c r="S976" i="8" s="1"/>
  <c r="S977" i="8" s="1"/>
  <c r="S978" i="8" s="1"/>
  <c r="S979" i="8" s="1"/>
  <c r="S980" i="8" s="1"/>
  <c r="S981" i="8" s="1"/>
  <c r="S982" i="8" s="1"/>
  <c r="S983" i="8" s="1"/>
  <c r="S984" i="8" s="1"/>
  <c r="S985" i="8" s="1"/>
  <c r="S986" i="8" s="1"/>
  <c r="S987" i="8" s="1"/>
  <c r="S988" i="8" s="1"/>
  <c r="S989" i="8" s="1"/>
  <c r="S990" i="8" s="1"/>
  <c r="S991" i="8" s="1"/>
  <c r="S992" i="8" s="1"/>
  <c r="S993" i="8" s="1"/>
  <c r="S994" i="8" s="1"/>
  <c r="S995" i="8" s="1"/>
  <c r="S996" i="8" s="1"/>
  <c r="S997" i="8" s="1"/>
  <c r="S998" i="8" s="1"/>
  <c r="S999" i="8" s="1"/>
  <c r="S1000" i="8" s="1"/>
  <c r="S1001" i="8" s="1"/>
  <c r="S1002" i="8" s="1"/>
  <c r="S1003" i="8" s="1"/>
  <c r="S1004" i="8" s="1"/>
  <c r="S1005" i="8" s="1"/>
  <c r="S1006" i="8" s="1"/>
  <c r="S1007" i="8" s="1"/>
  <c r="S1008" i="8" s="1"/>
  <c r="S1009" i="8" s="1"/>
  <c r="S1010" i="8" s="1"/>
  <c r="S1011" i="8" s="1"/>
  <c r="S1012" i="8" s="1"/>
  <c r="S1013" i="8" s="1"/>
  <c r="S1014" i="8" s="1"/>
  <c r="S1015" i="8" s="1"/>
  <c r="S1016" i="8" s="1"/>
  <c r="S1017" i="8" s="1"/>
  <c r="S1018" i="8" s="1"/>
  <c r="S1019" i="8" s="1"/>
  <c r="S1020" i="8" s="1"/>
  <c r="S1021" i="8" s="1"/>
  <c r="S1022" i="8" s="1"/>
  <c r="S1023" i="8" s="1"/>
  <c r="S1024" i="8" s="1"/>
  <c r="S1025" i="8" s="1"/>
  <c r="S1026" i="8" s="1"/>
  <c r="S1027" i="8" s="1"/>
  <c r="S1028" i="8" s="1"/>
  <c r="S1029" i="8" s="1"/>
  <c r="S1030" i="8" s="1"/>
  <c r="S1031" i="8" s="1"/>
  <c r="S1032" i="8" s="1"/>
  <c r="S1033" i="8" s="1"/>
  <c r="S17" i="6"/>
  <c r="S18" i="6" s="1"/>
  <c r="S19" i="6" s="1"/>
  <c r="S20" i="6" s="1"/>
  <c r="S21" i="6" s="1"/>
  <c r="S22" i="6" s="1"/>
  <c r="S23" i="6" s="1"/>
  <c r="S24" i="6" s="1"/>
  <c r="S25" i="6" s="1"/>
  <c r="S26" i="6" s="1"/>
  <c r="S27" i="6" s="1"/>
  <c r="S28" i="6" s="1"/>
  <c r="S29" i="6" s="1"/>
  <c r="S30" i="6" s="1"/>
  <c r="S31" i="6" s="1"/>
  <c r="S32" i="6" s="1"/>
  <c r="S33" i="6" s="1"/>
  <c r="S34" i="6" s="1"/>
  <c r="S35" i="6" s="1"/>
  <c r="S36" i="6" s="1"/>
  <c r="S37" i="6" s="1"/>
  <c r="S38" i="6" s="1"/>
  <c r="S39" i="6" s="1"/>
  <c r="S40" i="6" s="1"/>
  <c r="S41" i="6" s="1"/>
  <c r="S42" i="6" s="1"/>
  <c r="S43" i="6" s="1"/>
  <c r="S44" i="6" s="1"/>
  <c r="S45" i="6" s="1"/>
  <c r="S46" i="6" s="1"/>
  <c r="S47" i="6" s="1"/>
  <c r="S48" i="6" s="1"/>
  <c r="S49" i="6" s="1"/>
  <c r="S50" i="6" s="1"/>
  <c r="S51" i="6" s="1"/>
  <c r="S52" i="6" s="1"/>
  <c r="S53" i="6" s="1"/>
  <c r="S54" i="6" s="1"/>
  <c r="S55" i="6" s="1"/>
  <c r="S56" i="6" s="1"/>
  <c r="S57" i="6" s="1"/>
  <c r="S58" i="6" s="1"/>
  <c r="S59" i="6" s="1"/>
  <c r="S60" i="6" s="1"/>
  <c r="S61" i="6" s="1"/>
  <c r="S62" i="6" s="1"/>
  <c r="S63" i="6" s="1"/>
  <c r="S64" i="6" s="1"/>
  <c r="S65" i="6" s="1"/>
  <c r="S66" i="6" s="1"/>
  <c r="S67" i="6" s="1"/>
  <c r="S68" i="6" s="1"/>
  <c r="S69" i="6" s="1"/>
  <c r="S70" i="6" s="1"/>
  <c r="S71" i="6" s="1"/>
  <c r="S72" i="6" s="1"/>
  <c r="S73" i="6" s="1"/>
  <c r="S74" i="6" s="1"/>
  <c r="S75" i="6" s="1"/>
  <c r="S76" i="6" s="1"/>
  <c r="S77" i="6" s="1"/>
  <c r="S78" i="6" s="1"/>
  <c r="S79" i="6" s="1"/>
  <c r="S80" i="6" s="1"/>
  <c r="S81" i="6" s="1"/>
  <c r="S82" i="6" s="1"/>
  <c r="S83" i="6" s="1"/>
  <c r="S84" i="6" s="1"/>
  <c r="S85" i="6" s="1"/>
  <c r="S86" i="6" s="1"/>
  <c r="S87" i="6" s="1"/>
  <c r="S88" i="6" s="1"/>
  <c r="S89" i="6" s="1"/>
  <c r="S90" i="6" s="1"/>
  <c r="S91" i="6" s="1"/>
  <c r="S92" i="6" s="1"/>
  <c r="S93" i="6" s="1"/>
  <c r="S94" i="6" s="1"/>
  <c r="S95" i="6" s="1"/>
  <c r="S96" i="6" s="1"/>
  <c r="S97" i="6" s="1"/>
  <c r="S98" i="6" s="1"/>
  <c r="S99" i="6" s="1"/>
  <c r="S100" i="6" s="1"/>
  <c r="S101" i="6" s="1"/>
  <c r="S102" i="6" s="1"/>
  <c r="S103" i="6" s="1"/>
  <c r="S104" i="6" s="1"/>
  <c r="S105" i="6" s="1"/>
  <c r="S106" i="6" s="1"/>
  <c r="S107" i="6" s="1"/>
  <c r="S108" i="6" s="1"/>
  <c r="S109" i="6" s="1"/>
  <c r="S110" i="6" s="1"/>
  <c r="S111" i="6" s="1"/>
  <c r="S112" i="6" s="1"/>
  <c r="S113" i="6" s="1"/>
  <c r="S114" i="6" s="1"/>
  <c r="S115" i="6" s="1"/>
  <c r="S116" i="6" s="1"/>
  <c r="S117" i="6" s="1"/>
  <c r="S118" i="6" s="1"/>
  <c r="S119" i="6" s="1"/>
  <c r="S120" i="6" s="1"/>
  <c r="S121" i="6" s="1"/>
  <c r="S122" i="6" s="1"/>
  <c r="S123" i="6" s="1"/>
  <c r="S124" i="6" s="1"/>
  <c r="S125" i="6" s="1"/>
  <c r="S126" i="6" s="1"/>
  <c r="S127" i="6" s="1"/>
  <c r="S128" i="6" s="1"/>
  <c r="S129" i="6" s="1"/>
  <c r="S130" i="6" s="1"/>
  <c r="S131" i="6" s="1"/>
  <c r="S132" i="6" s="1"/>
  <c r="S133" i="6" s="1"/>
  <c r="S134" i="6" s="1"/>
  <c r="S135" i="6" s="1"/>
  <c r="S136" i="6" s="1"/>
  <c r="S137" i="6" s="1"/>
  <c r="S138" i="6" s="1"/>
  <c r="S139" i="6" s="1"/>
  <c r="S140" i="6" s="1"/>
  <c r="S141" i="6" s="1"/>
  <c r="S142" i="6" s="1"/>
  <c r="S143" i="6" s="1"/>
  <c r="S144" i="6" s="1"/>
  <c r="S145" i="6" s="1"/>
  <c r="S146" i="6" s="1"/>
  <c r="S147" i="6" s="1"/>
  <c r="S148" i="6" s="1"/>
  <c r="S149" i="6" s="1"/>
  <c r="S150" i="6" s="1"/>
  <c r="S151" i="6" s="1"/>
  <c r="S152" i="6" s="1"/>
  <c r="S153" i="6" s="1"/>
  <c r="S154" i="6" s="1"/>
  <c r="S155" i="6" s="1"/>
  <c r="S156" i="6" s="1"/>
  <c r="S157" i="6" s="1"/>
  <c r="S158" i="6" s="1"/>
  <c r="S159" i="6" s="1"/>
  <c r="S160" i="6" s="1"/>
  <c r="S161" i="6" s="1"/>
  <c r="S162" i="6" s="1"/>
  <c r="S163" i="6" s="1"/>
  <c r="S164" i="6" s="1"/>
  <c r="S165" i="6" s="1"/>
  <c r="S166" i="6" s="1"/>
  <c r="S167" i="6" s="1"/>
  <c r="S168" i="6" s="1"/>
  <c r="S169" i="6" s="1"/>
  <c r="S170" i="6" s="1"/>
  <c r="S171" i="6" s="1"/>
  <c r="S172" i="6" s="1"/>
  <c r="S173" i="6" s="1"/>
  <c r="S174" i="6" s="1"/>
  <c r="S175" i="6" s="1"/>
  <c r="S176" i="6" s="1"/>
  <c r="S177" i="6" s="1"/>
  <c r="S178" i="6" s="1"/>
  <c r="S179" i="6" s="1"/>
  <c r="S180" i="6" s="1"/>
  <c r="S181" i="6" s="1"/>
  <c r="S182" i="6" s="1"/>
  <c r="S183" i="6" s="1"/>
  <c r="S184" i="6" s="1"/>
  <c r="S185" i="6" s="1"/>
  <c r="S186" i="6" s="1"/>
  <c r="S187" i="6" s="1"/>
  <c r="S188" i="6" s="1"/>
  <c r="S189" i="6" s="1"/>
  <c r="S190" i="6" s="1"/>
  <c r="S191" i="6" s="1"/>
  <c r="S192" i="6" s="1"/>
  <c r="S193" i="6" s="1"/>
  <c r="S194" i="6" s="1"/>
  <c r="S195" i="6" s="1"/>
  <c r="S196" i="6" s="1"/>
  <c r="S197" i="6" s="1"/>
  <c r="S198" i="6" s="1"/>
  <c r="S199" i="6" s="1"/>
  <c r="S200" i="6" s="1"/>
  <c r="S201" i="6" s="1"/>
  <c r="S202" i="6" s="1"/>
  <c r="S203" i="6" s="1"/>
  <c r="S204" i="6" s="1"/>
  <c r="S205" i="6" s="1"/>
  <c r="S206" i="6" s="1"/>
  <c r="S207" i="6" s="1"/>
  <c r="S208" i="6" s="1"/>
  <c r="S209" i="6" s="1"/>
  <c r="S210" i="6" s="1"/>
  <c r="S211" i="6" s="1"/>
  <c r="S212" i="6" s="1"/>
  <c r="S213" i="6" s="1"/>
  <c r="S214" i="6" s="1"/>
  <c r="S215" i="6" s="1"/>
  <c r="S216" i="6" s="1"/>
  <c r="S217" i="6" s="1"/>
  <c r="S218" i="6" s="1"/>
  <c r="S219" i="6" s="1"/>
  <c r="S220" i="6" s="1"/>
  <c r="S221" i="6" s="1"/>
  <c r="S222" i="6" s="1"/>
  <c r="S223" i="6" s="1"/>
  <c r="S224" i="6" s="1"/>
  <c r="S225" i="6" s="1"/>
  <c r="S226" i="6" s="1"/>
  <c r="S227" i="6" s="1"/>
  <c r="S228" i="6" s="1"/>
  <c r="S229" i="6" s="1"/>
  <c r="S230" i="6" s="1"/>
  <c r="S231" i="6" s="1"/>
  <c r="S232" i="6" s="1"/>
  <c r="S233" i="6" s="1"/>
  <c r="S234" i="6" s="1"/>
  <c r="S235" i="6" s="1"/>
  <c r="S236" i="6" s="1"/>
  <c r="S237" i="6" s="1"/>
  <c r="S238" i="6" s="1"/>
  <c r="S239" i="6" s="1"/>
  <c r="S240" i="6" s="1"/>
  <c r="S241" i="6" s="1"/>
  <c r="S242" i="6" s="1"/>
  <c r="S243" i="6" s="1"/>
  <c r="S244" i="6" s="1"/>
  <c r="S245" i="6" s="1"/>
  <c r="S246" i="6" s="1"/>
  <c r="S247" i="6" s="1"/>
  <c r="S248" i="6" s="1"/>
  <c r="S249" i="6" s="1"/>
  <c r="S250" i="6" s="1"/>
  <c r="S251" i="6" s="1"/>
  <c r="S252" i="6" s="1"/>
  <c r="S253" i="6" s="1"/>
  <c r="S254" i="6" s="1"/>
  <c r="S255" i="6" s="1"/>
  <c r="S256" i="6" s="1"/>
  <c r="S257" i="6" s="1"/>
  <c r="S258" i="6" s="1"/>
  <c r="S259" i="6" s="1"/>
  <c r="S260" i="6" s="1"/>
  <c r="S261" i="6" s="1"/>
  <c r="S262" i="6" s="1"/>
  <c r="S263" i="6" s="1"/>
  <c r="S264" i="6" s="1"/>
  <c r="S265" i="6" s="1"/>
  <c r="S266" i="6" s="1"/>
  <c r="S267" i="6" s="1"/>
  <c r="S268" i="6" s="1"/>
  <c r="S269" i="6" s="1"/>
  <c r="S270" i="6" s="1"/>
  <c r="S271" i="6" s="1"/>
  <c r="S272" i="6" s="1"/>
  <c r="S273" i="6" s="1"/>
  <c r="S274" i="6" s="1"/>
  <c r="S275" i="6" s="1"/>
  <c r="S276" i="6" s="1"/>
  <c r="S277" i="6" s="1"/>
  <c r="S278" i="6" s="1"/>
  <c r="S279" i="6" s="1"/>
  <c r="S280" i="6" s="1"/>
  <c r="S281" i="6" s="1"/>
  <c r="S282" i="6" s="1"/>
  <c r="S283" i="6" s="1"/>
  <c r="S284" i="6" s="1"/>
  <c r="S285" i="6" s="1"/>
  <c r="S286" i="6" s="1"/>
  <c r="S287" i="6" s="1"/>
  <c r="S288" i="6" s="1"/>
  <c r="S289" i="6" s="1"/>
  <c r="S290" i="6" s="1"/>
  <c r="S291" i="6" s="1"/>
  <c r="S292" i="6" s="1"/>
  <c r="S293" i="6" s="1"/>
  <c r="S294" i="6" s="1"/>
  <c r="S295" i="6" s="1"/>
  <c r="S296" i="6" s="1"/>
  <c r="S297" i="6" s="1"/>
  <c r="S298" i="6" s="1"/>
  <c r="S299" i="6" s="1"/>
  <c r="S300" i="6" s="1"/>
  <c r="S301" i="6" s="1"/>
  <c r="S302" i="6" s="1"/>
  <c r="S303" i="6" s="1"/>
  <c r="S304" i="6" s="1"/>
  <c r="S305" i="6" s="1"/>
  <c r="S306" i="6" s="1"/>
  <c r="S307" i="6" s="1"/>
  <c r="S308" i="6" s="1"/>
  <c r="S309" i="6" s="1"/>
  <c r="S310" i="6" s="1"/>
  <c r="S311" i="6" s="1"/>
  <c r="S312" i="6" s="1"/>
  <c r="S313" i="6" s="1"/>
  <c r="S314" i="6" s="1"/>
  <c r="S315" i="6" s="1"/>
  <c r="S316" i="6" s="1"/>
  <c r="S317" i="6" s="1"/>
  <c r="S318" i="6" s="1"/>
  <c r="S319" i="6" s="1"/>
  <c r="S320" i="6" s="1"/>
  <c r="S321" i="6" s="1"/>
  <c r="S322" i="6" s="1"/>
  <c r="S323" i="6" s="1"/>
  <c r="S324" i="6" s="1"/>
  <c r="S325" i="6" s="1"/>
  <c r="S326" i="6" s="1"/>
  <c r="S327" i="6" s="1"/>
  <c r="S328" i="6" s="1"/>
  <c r="S329" i="6" s="1"/>
  <c r="S330" i="6" s="1"/>
  <c r="S331" i="6" s="1"/>
  <c r="S332" i="6" s="1"/>
  <c r="S333" i="6" s="1"/>
  <c r="S334" i="6" s="1"/>
  <c r="S335" i="6" s="1"/>
  <c r="S336" i="6" s="1"/>
  <c r="S337" i="6" s="1"/>
  <c r="S338" i="6" s="1"/>
  <c r="S339" i="6" s="1"/>
  <c r="S340" i="6" s="1"/>
  <c r="S341" i="6" s="1"/>
  <c r="S342" i="6" s="1"/>
  <c r="S343" i="6" s="1"/>
  <c r="S344" i="6" s="1"/>
  <c r="S345" i="6" s="1"/>
  <c r="S346" i="6" s="1"/>
  <c r="S347" i="6" s="1"/>
  <c r="S348" i="6" s="1"/>
  <c r="S349" i="6" s="1"/>
  <c r="S350" i="6" s="1"/>
  <c r="S351" i="6" s="1"/>
  <c r="S352" i="6" s="1"/>
  <c r="S353" i="6" s="1"/>
  <c r="S354" i="6" s="1"/>
  <c r="S355" i="6" s="1"/>
  <c r="S356" i="6" s="1"/>
  <c r="S357" i="6" s="1"/>
  <c r="S358" i="6" s="1"/>
  <c r="S359" i="6" s="1"/>
  <c r="S360" i="6" s="1"/>
  <c r="S361" i="6" s="1"/>
  <c r="S362" i="6" s="1"/>
  <c r="S363" i="6" s="1"/>
  <c r="S364" i="6" s="1"/>
  <c r="S365" i="6" s="1"/>
  <c r="S366" i="6" s="1"/>
  <c r="S367" i="6" s="1"/>
  <c r="S368" i="6" s="1"/>
  <c r="S369" i="6" s="1"/>
  <c r="S370" i="6" s="1"/>
  <c r="S371" i="6" s="1"/>
  <c r="S372" i="6" s="1"/>
  <c r="S373" i="6" s="1"/>
  <c r="S374" i="6" s="1"/>
  <c r="S375" i="6" s="1"/>
  <c r="S376" i="6" s="1"/>
  <c r="S377" i="6" s="1"/>
  <c r="S378" i="6" s="1"/>
  <c r="S379" i="6" s="1"/>
  <c r="S380" i="6" s="1"/>
  <c r="S381" i="6" s="1"/>
  <c r="S382" i="6" s="1"/>
  <c r="S383" i="6" s="1"/>
  <c r="S384" i="6" s="1"/>
  <c r="S385" i="6" s="1"/>
  <c r="S386" i="6" s="1"/>
  <c r="S387" i="6" s="1"/>
  <c r="S388" i="6" s="1"/>
  <c r="S389" i="6" s="1"/>
  <c r="S390" i="6" s="1"/>
  <c r="S391" i="6" s="1"/>
  <c r="S392" i="6" s="1"/>
  <c r="S393" i="6" s="1"/>
  <c r="S394" i="6" s="1"/>
  <c r="S395" i="6" s="1"/>
  <c r="S396" i="6" s="1"/>
  <c r="S397" i="6" s="1"/>
  <c r="S398" i="6" s="1"/>
  <c r="S399" i="6" s="1"/>
  <c r="S400" i="6" s="1"/>
  <c r="S401" i="6" s="1"/>
  <c r="S402" i="6" s="1"/>
  <c r="S403" i="6" s="1"/>
  <c r="S404" i="6" s="1"/>
  <c r="S405" i="6" s="1"/>
  <c r="S406" i="6" s="1"/>
  <c r="S407" i="6" s="1"/>
  <c r="S408" i="6" s="1"/>
  <c r="S409" i="6" s="1"/>
  <c r="S410" i="6" s="1"/>
  <c r="S411" i="6" s="1"/>
  <c r="S412" i="6" s="1"/>
  <c r="S413" i="6" s="1"/>
  <c r="S414" i="6" s="1"/>
  <c r="S415" i="6" s="1"/>
  <c r="S416" i="6" s="1"/>
  <c r="S417" i="6" s="1"/>
  <c r="S418" i="6" s="1"/>
  <c r="S419" i="6" s="1"/>
  <c r="S420" i="6" s="1"/>
  <c r="S421" i="6" s="1"/>
  <c r="S422" i="6" s="1"/>
  <c r="S423" i="6" s="1"/>
  <c r="S424" i="6" s="1"/>
  <c r="S425" i="6" s="1"/>
  <c r="S426" i="6" s="1"/>
  <c r="S427" i="6" s="1"/>
  <c r="S428" i="6" s="1"/>
  <c r="S429" i="6" s="1"/>
  <c r="S430" i="6" s="1"/>
  <c r="S431" i="6" s="1"/>
  <c r="S432" i="6" s="1"/>
  <c r="S433" i="6" s="1"/>
  <c r="S434" i="6" s="1"/>
  <c r="S435" i="6" s="1"/>
  <c r="S436" i="6" s="1"/>
  <c r="S437" i="6" s="1"/>
  <c r="S438" i="6" s="1"/>
  <c r="S439" i="6" s="1"/>
  <c r="S440" i="6" s="1"/>
  <c r="S441" i="6" s="1"/>
  <c r="S442" i="6" s="1"/>
  <c r="S443" i="6" s="1"/>
  <c r="S444" i="6" s="1"/>
  <c r="S445" i="6" s="1"/>
  <c r="S446" i="6" s="1"/>
  <c r="S447" i="6" s="1"/>
  <c r="S448" i="6" s="1"/>
  <c r="S449" i="6" s="1"/>
  <c r="S450" i="6" s="1"/>
  <c r="S451" i="6" s="1"/>
  <c r="S452" i="6" s="1"/>
  <c r="S453" i="6" s="1"/>
  <c r="S454" i="6" s="1"/>
  <c r="S455" i="6" s="1"/>
  <c r="S456" i="6" s="1"/>
  <c r="S457" i="6" s="1"/>
  <c r="S458" i="6" s="1"/>
  <c r="S459" i="6" s="1"/>
  <c r="S460" i="6" s="1"/>
  <c r="S461" i="6" s="1"/>
  <c r="S462" i="6" s="1"/>
  <c r="S463" i="6" s="1"/>
  <c r="S464" i="6" s="1"/>
  <c r="S465" i="6" s="1"/>
  <c r="S466" i="6" s="1"/>
  <c r="S467" i="6" s="1"/>
  <c r="S468" i="6" s="1"/>
  <c r="S469" i="6" s="1"/>
  <c r="S470" i="6" s="1"/>
  <c r="S471" i="6" s="1"/>
  <c r="S472" i="6" s="1"/>
  <c r="S473" i="6" s="1"/>
  <c r="S474" i="6" s="1"/>
  <c r="S475" i="6" s="1"/>
  <c r="S476" i="6" s="1"/>
  <c r="S477" i="6" s="1"/>
  <c r="S478" i="6" s="1"/>
  <c r="S479" i="6" s="1"/>
  <c r="S480" i="6" s="1"/>
  <c r="S481" i="6" s="1"/>
  <c r="S482" i="6" s="1"/>
  <c r="S483" i="6" s="1"/>
  <c r="S484" i="6" s="1"/>
  <c r="S485" i="6" s="1"/>
  <c r="S486" i="6" s="1"/>
  <c r="S487" i="6" s="1"/>
  <c r="S488" i="6" s="1"/>
  <c r="S489" i="6" s="1"/>
  <c r="S490" i="6" s="1"/>
  <c r="S491" i="6" s="1"/>
  <c r="S492" i="6" s="1"/>
  <c r="S493" i="6" s="1"/>
  <c r="S494" i="6" s="1"/>
  <c r="S495" i="6" s="1"/>
  <c r="S496" i="6" s="1"/>
  <c r="S497" i="6" s="1"/>
  <c r="S498" i="6" s="1"/>
  <c r="S499" i="6" s="1"/>
  <c r="S500" i="6" s="1"/>
  <c r="S501" i="6" s="1"/>
  <c r="S502" i="6" s="1"/>
  <c r="S503" i="6" s="1"/>
  <c r="S504" i="6" s="1"/>
  <c r="S505" i="6" s="1"/>
  <c r="S506" i="6" s="1"/>
  <c r="S507" i="6" s="1"/>
  <c r="S508" i="6" s="1"/>
  <c r="S509" i="6" s="1"/>
  <c r="S510" i="6" s="1"/>
  <c r="S511" i="6" s="1"/>
  <c r="S512" i="6" s="1"/>
  <c r="S513" i="6" s="1"/>
  <c r="S514" i="6" s="1"/>
  <c r="S515" i="6" s="1"/>
  <c r="S516" i="6" s="1"/>
  <c r="S517" i="6" s="1"/>
  <c r="S518" i="6" s="1"/>
  <c r="S519" i="6" s="1"/>
  <c r="S520" i="6" s="1"/>
  <c r="S521" i="6" s="1"/>
  <c r="S522" i="6" s="1"/>
  <c r="S523" i="6" s="1"/>
  <c r="S524" i="6" s="1"/>
  <c r="S525" i="6" s="1"/>
  <c r="S526" i="6" s="1"/>
  <c r="S527" i="6" s="1"/>
  <c r="S528" i="6" s="1"/>
  <c r="S529" i="6" s="1"/>
  <c r="S530" i="6" s="1"/>
  <c r="S531" i="6" s="1"/>
  <c r="S532" i="6" s="1"/>
  <c r="S533" i="6" s="1"/>
  <c r="S534" i="6" s="1"/>
  <c r="S535" i="6" s="1"/>
  <c r="S536" i="6" s="1"/>
  <c r="S537" i="6" s="1"/>
  <c r="S538" i="6" s="1"/>
  <c r="S539" i="6" s="1"/>
  <c r="S540" i="6" s="1"/>
  <c r="S541" i="6" s="1"/>
  <c r="S542" i="6" s="1"/>
  <c r="S543" i="6" s="1"/>
  <c r="S544" i="6" s="1"/>
  <c r="S545" i="6" s="1"/>
  <c r="S546" i="6" s="1"/>
  <c r="S547" i="6" s="1"/>
  <c r="S548" i="6" s="1"/>
  <c r="S549" i="6" s="1"/>
  <c r="S550" i="6" s="1"/>
  <c r="S551" i="6" s="1"/>
  <c r="S552" i="6" s="1"/>
  <c r="S553" i="6" s="1"/>
  <c r="S554" i="6" s="1"/>
  <c r="S555" i="6" s="1"/>
  <c r="S556" i="6" s="1"/>
  <c r="S557" i="6" s="1"/>
  <c r="S558" i="6" s="1"/>
  <c r="S559" i="6" s="1"/>
  <c r="S560" i="6" s="1"/>
  <c r="S561" i="6" s="1"/>
  <c r="S562" i="6" s="1"/>
  <c r="S563" i="6" s="1"/>
  <c r="S564" i="6" s="1"/>
  <c r="S565" i="6" s="1"/>
  <c r="S566" i="6" s="1"/>
  <c r="S567" i="6" s="1"/>
  <c r="S568" i="6" s="1"/>
  <c r="S569" i="6" s="1"/>
  <c r="S570" i="6" s="1"/>
  <c r="S571" i="6" s="1"/>
  <c r="S572" i="6" s="1"/>
  <c r="S573" i="6" s="1"/>
  <c r="S574" i="6" s="1"/>
  <c r="S575" i="6" s="1"/>
  <c r="S576" i="6" s="1"/>
  <c r="S577" i="6" s="1"/>
  <c r="S578" i="6" s="1"/>
  <c r="S579" i="6" s="1"/>
  <c r="S580" i="6" s="1"/>
  <c r="S581" i="6" s="1"/>
  <c r="S582" i="6" s="1"/>
  <c r="S583" i="6" s="1"/>
  <c r="S584" i="6" s="1"/>
  <c r="S585" i="6" s="1"/>
  <c r="S586" i="6" s="1"/>
  <c r="S587" i="6" s="1"/>
  <c r="S588" i="6" s="1"/>
  <c r="S589" i="6" s="1"/>
  <c r="S590" i="6" s="1"/>
  <c r="S591" i="6" s="1"/>
  <c r="S592" i="6" s="1"/>
  <c r="S593" i="6" s="1"/>
  <c r="S594" i="6" s="1"/>
  <c r="S595" i="6" s="1"/>
  <c r="S596" i="6" s="1"/>
  <c r="S597" i="6" s="1"/>
  <c r="S598" i="6" s="1"/>
  <c r="S599" i="6" s="1"/>
  <c r="S600" i="6" s="1"/>
  <c r="S601" i="6" s="1"/>
  <c r="S602" i="6" s="1"/>
  <c r="S603" i="6" s="1"/>
  <c r="S604" i="6" s="1"/>
  <c r="S605" i="6" s="1"/>
  <c r="S606" i="6" s="1"/>
  <c r="S607" i="6" s="1"/>
  <c r="S608" i="6" s="1"/>
  <c r="S609" i="6" s="1"/>
  <c r="S610" i="6" s="1"/>
  <c r="S611" i="6" s="1"/>
  <c r="S612" i="6" s="1"/>
  <c r="S613" i="6" s="1"/>
  <c r="S614" i="6" s="1"/>
  <c r="S615" i="6" s="1"/>
  <c r="S616" i="6" s="1"/>
  <c r="S617" i="6" s="1"/>
  <c r="S618" i="6" s="1"/>
  <c r="S619" i="6" s="1"/>
  <c r="S620" i="6" s="1"/>
  <c r="S621" i="6" s="1"/>
  <c r="S622" i="6" s="1"/>
  <c r="S623" i="6" s="1"/>
  <c r="S624" i="6" s="1"/>
  <c r="S625" i="6" s="1"/>
  <c r="S626" i="6" s="1"/>
  <c r="S627" i="6" s="1"/>
  <c r="S628" i="6" s="1"/>
  <c r="S629" i="6" s="1"/>
  <c r="S630" i="6" s="1"/>
  <c r="S631" i="6" s="1"/>
  <c r="S632" i="6" s="1"/>
  <c r="S633" i="6" s="1"/>
  <c r="S634" i="6" s="1"/>
  <c r="S635" i="6" s="1"/>
  <c r="S636" i="6" s="1"/>
  <c r="S637" i="6" s="1"/>
  <c r="S638" i="6" s="1"/>
  <c r="S639" i="6" s="1"/>
  <c r="S640" i="6" s="1"/>
  <c r="S641" i="6" s="1"/>
  <c r="S642" i="6" s="1"/>
  <c r="S643" i="6" s="1"/>
  <c r="S644" i="6" s="1"/>
  <c r="S645" i="6" s="1"/>
  <c r="S646" i="6" s="1"/>
  <c r="S647" i="6" s="1"/>
  <c r="S648" i="6" s="1"/>
  <c r="S649" i="6" s="1"/>
  <c r="S650" i="6" s="1"/>
  <c r="S651" i="6" s="1"/>
  <c r="S652" i="6" s="1"/>
  <c r="S653" i="6" s="1"/>
  <c r="S654" i="6" s="1"/>
  <c r="S655" i="6" s="1"/>
  <c r="S656" i="6" s="1"/>
  <c r="S657" i="6" s="1"/>
  <c r="S658" i="6" s="1"/>
  <c r="S659" i="6" s="1"/>
  <c r="S660" i="6" s="1"/>
  <c r="S661" i="6" s="1"/>
  <c r="S662" i="6" s="1"/>
  <c r="S663" i="6" s="1"/>
  <c r="S664" i="6" s="1"/>
  <c r="S665" i="6" s="1"/>
  <c r="S666" i="6" s="1"/>
  <c r="S667" i="6" s="1"/>
  <c r="S668" i="6" s="1"/>
  <c r="S669" i="6" s="1"/>
  <c r="S670" i="6" s="1"/>
  <c r="S671" i="6" s="1"/>
  <c r="S672" i="6" s="1"/>
  <c r="S673" i="6" s="1"/>
  <c r="S674" i="6" s="1"/>
  <c r="S675" i="6" s="1"/>
  <c r="S676" i="6" s="1"/>
  <c r="S677" i="6" s="1"/>
  <c r="S678" i="6" s="1"/>
  <c r="S679" i="6" s="1"/>
  <c r="S680" i="6" s="1"/>
  <c r="S681" i="6" s="1"/>
  <c r="S682" i="6" s="1"/>
  <c r="S683" i="6" s="1"/>
  <c r="S684" i="6" s="1"/>
  <c r="S685" i="6" s="1"/>
  <c r="S686" i="6" s="1"/>
  <c r="S687" i="6" s="1"/>
  <c r="S688" i="6" s="1"/>
  <c r="S689" i="6" s="1"/>
  <c r="S690" i="6" s="1"/>
  <c r="S691" i="6" s="1"/>
  <c r="S692" i="6" s="1"/>
  <c r="S693" i="6" s="1"/>
  <c r="S694" i="6" s="1"/>
  <c r="S695" i="6" s="1"/>
  <c r="S696" i="6" s="1"/>
  <c r="S697" i="6" s="1"/>
  <c r="S698" i="6" s="1"/>
  <c r="S699" i="6" s="1"/>
  <c r="S700" i="6" s="1"/>
  <c r="S701" i="6" s="1"/>
  <c r="S702" i="6" s="1"/>
  <c r="S703" i="6" s="1"/>
  <c r="S704" i="6" s="1"/>
  <c r="S705" i="6" s="1"/>
  <c r="S706" i="6" s="1"/>
  <c r="S707" i="6" s="1"/>
  <c r="S708" i="6" s="1"/>
  <c r="S709" i="6" s="1"/>
  <c r="S710" i="6" s="1"/>
  <c r="S711" i="6" s="1"/>
  <c r="S712" i="6" s="1"/>
  <c r="S713" i="6" s="1"/>
  <c r="S714" i="6" s="1"/>
  <c r="S715" i="6" s="1"/>
  <c r="S716" i="6" s="1"/>
  <c r="S717" i="6" s="1"/>
  <c r="S718" i="6" s="1"/>
  <c r="S719" i="6" s="1"/>
  <c r="S720" i="6" s="1"/>
  <c r="S721" i="6" s="1"/>
  <c r="S722" i="6" s="1"/>
  <c r="S723" i="6" s="1"/>
  <c r="S724" i="6" s="1"/>
  <c r="S725" i="6" s="1"/>
  <c r="S726" i="6" s="1"/>
  <c r="S727" i="6" s="1"/>
  <c r="S728" i="6" s="1"/>
  <c r="S729" i="6" s="1"/>
  <c r="S730" i="6" s="1"/>
  <c r="S731" i="6" s="1"/>
  <c r="S732" i="6" s="1"/>
  <c r="S733" i="6" s="1"/>
  <c r="S734" i="6" s="1"/>
  <c r="S735" i="6" s="1"/>
  <c r="S736" i="6" s="1"/>
  <c r="S737" i="6" s="1"/>
  <c r="S738" i="6" s="1"/>
  <c r="S739" i="6" s="1"/>
  <c r="S740" i="6" s="1"/>
  <c r="S741" i="6" s="1"/>
  <c r="S742" i="6" s="1"/>
  <c r="S743" i="6" s="1"/>
  <c r="S744" i="6" s="1"/>
  <c r="S745" i="6" s="1"/>
  <c r="S746" i="6" s="1"/>
  <c r="S747" i="6" s="1"/>
  <c r="S748" i="6" s="1"/>
  <c r="S749" i="6" s="1"/>
  <c r="S750" i="6" s="1"/>
  <c r="S751" i="6" s="1"/>
  <c r="S752" i="6" s="1"/>
  <c r="S753" i="6" s="1"/>
  <c r="S754" i="6" s="1"/>
  <c r="S755" i="6" s="1"/>
  <c r="S756" i="6" s="1"/>
  <c r="S757" i="6" s="1"/>
  <c r="S758" i="6" s="1"/>
  <c r="S759" i="6" s="1"/>
  <c r="S760" i="6" s="1"/>
  <c r="S761" i="6" s="1"/>
  <c r="S762" i="6" s="1"/>
  <c r="S763" i="6" s="1"/>
  <c r="S764" i="6" s="1"/>
  <c r="S765" i="6" s="1"/>
  <c r="S766" i="6" s="1"/>
  <c r="S767" i="6" s="1"/>
  <c r="S768" i="6" s="1"/>
  <c r="S769" i="6" s="1"/>
  <c r="S770" i="6" s="1"/>
  <c r="S771" i="6" s="1"/>
  <c r="S772" i="6" s="1"/>
  <c r="S773" i="6" s="1"/>
  <c r="S774" i="6" s="1"/>
  <c r="S775" i="6" s="1"/>
  <c r="S776" i="6" s="1"/>
  <c r="S777" i="6" s="1"/>
  <c r="S778" i="6" s="1"/>
  <c r="S779" i="6" s="1"/>
  <c r="S780" i="6" s="1"/>
  <c r="S781" i="6" s="1"/>
  <c r="S782" i="6" s="1"/>
  <c r="S783" i="6" s="1"/>
  <c r="S784" i="6" s="1"/>
  <c r="S785" i="6" s="1"/>
  <c r="S786" i="6" s="1"/>
  <c r="S787" i="6" s="1"/>
  <c r="S788" i="6" s="1"/>
  <c r="S789" i="6" s="1"/>
  <c r="S790" i="6" s="1"/>
  <c r="S791" i="6" s="1"/>
  <c r="S792" i="6" s="1"/>
  <c r="S793" i="6" s="1"/>
  <c r="S794" i="6" s="1"/>
  <c r="S795" i="6" s="1"/>
  <c r="S796" i="6" s="1"/>
  <c r="S797" i="6" s="1"/>
  <c r="S798" i="6" s="1"/>
  <c r="S799" i="6" s="1"/>
  <c r="S800" i="6" s="1"/>
  <c r="S801" i="6" s="1"/>
  <c r="S802" i="6" s="1"/>
  <c r="S803" i="6" s="1"/>
  <c r="S804" i="6" s="1"/>
  <c r="S805" i="6" s="1"/>
  <c r="S806" i="6" s="1"/>
  <c r="S807" i="6" s="1"/>
  <c r="S808" i="6" s="1"/>
  <c r="S809" i="6" s="1"/>
  <c r="S810" i="6" s="1"/>
  <c r="S811" i="6" s="1"/>
  <c r="S812" i="6" s="1"/>
  <c r="S813" i="6" s="1"/>
  <c r="S814" i="6" s="1"/>
  <c r="S815" i="6" s="1"/>
  <c r="S816" i="6" s="1"/>
  <c r="S817" i="6" s="1"/>
  <c r="S818" i="6" s="1"/>
  <c r="S819" i="6" s="1"/>
  <c r="S820" i="6" s="1"/>
  <c r="S821" i="6" s="1"/>
  <c r="S822" i="6" s="1"/>
  <c r="S823" i="6" s="1"/>
  <c r="S824" i="6" s="1"/>
  <c r="S825" i="6" s="1"/>
  <c r="S826" i="6" s="1"/>
  <c r="S827" i="6" s="1"/>
  <c r="S828" i="6" s="1"/>
  <c r="S829" i="6" s="1"/>
  <c r="S830" i="6" s="1"/>
  <c r="S831" i="6" s="1"/>
  <c r="S832" i="6" s="1"/>
  <c r="S833" i="6" s="1"/>
  <c r="S834" i="6" s="1"/>
  <c r="S835" i="6" s="1"/>
  <c r="S836" i="6" s="1"/>
  <c r="S837" i="6" s="1"/>
  <c r="S838" i="6" s="1"/>
  <c r="S839" i="6" s="1"/>
  <c r="S840" i="6" s="1"/>
  <c r="S841" i="6" s="1"/>
  <c r="S842" i="6" s="1"/>
  <c r="S843" i="6" s="1"/>
  <c r="S844" i="6" s="1"/>
  <c r="S845" i="6" s="1"/>
  <c r="S846" i="6" s="1"/>
  <c r="S847" i="6" s="1"/>
  <c r="S848" i="6" s="1"/>
  <c r="S849" i="6" s="1"/>
  <c r="S850" i="6" s="1"/>
  <c r="S851" i="6" s="1"/>
  <c r="S852" i="6" s="1"/>
  <c r="S853" i="6" s="1"/>
  <c r="S854" i="6" s="1"/>
  <c r="S855" i="6" s="1"/>
  <c r="S856" i="6" s="1"/>
  <c r="S857" i="6" s="1"/>
  <c r="S858" i="6" s="1"/>
  <c r="S859" i="6" s="1"/>
  <c r="S860" i="6" s="1"/>
  <c r="S861" i="6" s="1"/>
  <c r="S862" i="6" s="1"/>
  <c r="S863" i="6" s="1"/>
  <c r="S864" i="6" s="1"/>
  <c r="S865" i="6" s="1"/>
  <c r="S866" i="6" s="1"/>
  <c r="S867" i="6" s="1"/>
  <c r="S868" i="6" s="1"/>
  <c r="S869" i="6" s="1"/>
  <c r="S870" i="6" s="1"/>
  <c r="S871" i="6" s="1"/>
  <c r="S872" i="6" s="1"/>
  <c r="S873" i="6" s="1"/>
  <c r="S874" i="6" s="1"/>
  <c r="S875" i="6" s="1"/>
  <c r="S876" i="6" s="1"/>
  <c r="S877" i="6" s="1"/>
  <c r="S878" i="6" s="1"/>
  <c r="S879" i="6" s="1"/>
  <c r="S880" i="6" s="1"/>
  <c r="S881" i="6" s="1"/>
  <c r="S882" i="6" s="1"/>
  <c r="S883" i="6" s="1"/>
  <c r="S884" i="6" s="1"/>
  <c r="S885" i="6" s="1"/>
  <c r="S886" i="6" s="1"/>
  <c r="S887" i="6" s="1"/>
  <c r="S888" i="6" s="1"/>
  <c r="S889" i="6" s="1"/>
  <c r="S890" i="6" s="1"/>
  <c r="S891" i="6" s="1"/>
  <c r="S892" i="6" s="1"/>
  <c r="S893" i="6" s="1"/>
  <c r="S894" i="6" s="1"/>
  <c r="S895" i="6" s="1"/>
  <c r="S896" i="6" s="1"/>
  <c r="S897" i="6" s="1"/>
  <c r="S898" i="6" s="1"/>
  <c r="S899" i="6" s="1"/>
  <c r="S900" i="6" s="1"/>
  <c r="S901" i="6" s="1"/>
  <c r="S902" i="6" s="1"/>
  <c r="S903" i="6" s="1"/>
  <c r="S904" i="6" s="1"/>
  <c r="S905" i="6" s="1"/>
  <c r="S906" i="6" s="1"/>
  <c r="S907" i="6" s="1"/>
  <c r="S908" i="6" s="1"/>
  <c r="S909" i="6" s="1"/>
  <c r="S910" i="6" s="1"/>
  <c r="S911" i="6" s="1"/>
  <c r="S912" i="6" s="1"/>
  <c r="S913" i="6" s="1"/>
  <c r="S914" i="6" s="1"/>
  <c r="S915" i="6" s="1"/>
  <c r="S916" i="6" s="1"/>
  <c r="S917" i="6" s="1"/>
  <c r="S918" i="6" s="1"/>
  <c r="S919" i="6" s="1"/>
  <c r="S920" i="6" s="1"/>
  <c r="S921" i="6" s="1"/>
  <c r="S922" i="6" s="1"/>
  <c r="S923" i="6" s="1"/>
  <c r="S924" i="6" s="1"/>
  <c r="S925" i="6" s="1"/>
  <c r="S926" i="6" s="1"/>
  <c r="S927" i="6" s="1"/>
  <c r="S928" i="6" s="1"/>
  <c r="S929" i="6" s="1"/>
  <c r="S930" i="6" s="1"/>
  <c r="S931" i="6" s="1"/>
  <c r="S932" i="6" s="1"/>
  <c r="S933" i="6" s="1"/>
  <c r="S934" i="6" s="1"/>
  <c r="S935" i="6" s="1"/>
  <c r="S936" i="6" s="1"/>
  <c r="S937" i="6" s="1"/>
  <c r="S938" i="6" s="1"/>
  <c r="S939" i="6" s="1"/>
  <c r="S940" i="6" s="1"/>
  <c r="S941" i="6" s="1"/>
  <c r="S942" i="6" s="1"/>
  <c r="S943" i="6" s="1"/>
  <c r="S944" i="6" s="1"/>
  <c r="S945" i="6" s="1"/>
  <c r="S946" i="6" s="1"/>
  <c r="S947" i="6" s="1"/>
  <c r="S948" i="6" s="1"/>
  <c r="S949" i="6" s="1"/>
  <c r="S950" i="6" s="1"/>
  <c r="S951" i="6" s="1"/>
  <c r="S952" i="6" s="1"/>
  <c r="S953" i="6" s="1"/>
  <c r="S954" i="6" s="1"/>
  <c r="S955" i="6" s="1"/>
  <c r="S956" i="6" s="1"/>
  <c r="S957" i="6" s="1"/>
  <c r="S958" i="6" s="1"/>
  <c r="S959" i="6" s="1"/>
  <c r="S960" i="6" s="1"/>
  <c r="S961" i="6" s="1"/>
  <c r="S962" i="6" s="1"/>
  <c r="S963" i="6" s="1"/>
  <c r="S964" i="6" s="1"/>
  <c r="S965" i="6" s="1"/>
  <c r="S966" i="6" s="1"/>
  <c r="S967" i="6" s="1"/>
  <c r="S968" i="6" s="1"/>
  <c r="S969" i="6" s="1"/>
  <c r="S970" i="6" s="1"/>
  <c r="S971" i="6" s="1"/>
  <c r="S972" i="6" s="1"/>
  <c r="S973" i="6" s="1"/>
  <c r="S974" i="6" s="1"/>
  <c r="S975" i="6" s="1"/>
  <c r="S976" i="6" s="1"/>
  <c r="S977" i="6" s="1"/>
  <c r="S978" i="6" s="1"/>
  <c r="S979" i="6" s="1"/>
  <c r="S980" i="6" s="1"/>
  <c r="S981" i="6" s="1"/>
  <c r="S982" i="6" s="1"/>
  <c r="S983" i="6" s="1"/>
  <c r="S984" i="6" s="1"/>
  <c r="S985" i="6" s="1"/>
  <c r="S986" i="6" s="1"/>
  <c r="S987" i="6" s="1"/>
  <c r="S988" i="6" s="1"/>
  <c r="S989" i="6" s="1"/>
  <c r="S990" i="6" s="1"/>
  <c r="S991" i="6" s="1"/>
  <c r="S992" i="6" s="1"/>
  <c r="S993" i="6" s="1"/>
  <c r="S994" i="6" s="1"/>
  <c r="S995" i="6" s="1"/>
  <c r="S996" i="6" s="1"/>
  <c r="S997" i="6" s="1"/>
  <c r="S998" i="6" s="1"/>
  <c r="S999" i="6" s="1"/>
  <c r="S1000" i="6" s="1"/>
  <c r="S1001" i="6" s="1"/>
  <c r="S1002" i="6" s="1"/>
  <c r="S1003" i="6" s="1"/>
  <c r="S1004" i="6" s="1"/>
  <c r="S1005" i="6" s="1"/>
  <c r="S1006" i="6" s="1"/>
  <c r="S1007" i="6" s="1"/>
  <c r="S1008" i="6" s="1"/>
  <c r="S1009" i="6" s="1"/>
  <c r="S1010" i="6" s="1"/>
  <c r="S1011" i="6" s="1"/>
  <c r="S1012" i="6" s="1"/>
  <c r="S1013" i="6" s="1"/>
  <c r="S1014" i="6" s="1"/>
  <c r="S1015" i="6" s="1"/>
  <c r="S1016" i="6" s="1"/>
  <c r="S1017" i="6" s="1"/>
  <c r="S1018" i="6" s="1"/>
  <c r="S1019" i="6" s="1"/>
  <c r="S1020" i="6" s="1"/>
  <c r="S1021" i="6" s="1"/>
  <c r="S1022" i="6" s="1"/>
  <c r="S1023" i="6" s="1"/>
  <c r="S1024" i="6" s="1"/>
  <c r="S1025" i="6" s="1"/>
  <c r="S1026" i="6" s="1"/>
  <c r="S1027" i="6" s="1"/>
  <c r="S1028" i="6" s="1"/>
  <c r="S1029" i="6" s="1"/>
  <c r="S1030" i="6" s="1"/>
  <c r="S1031" i="6" s="1"/>
  <c r="S1032" i="6" s="1"/>
  <c r="S17" i="7"/>
  <c r="S18" i="7" s="1"/>
  <c r="S19" i="7" s="1"/>
  <c r="S20" i="7" s="1"/>
  <c r="S21" i="7" s="1"/>
  <c r="S22" i="7" s="1"/>
  <c r="S23" i="7" s="1"/>
  <c r="S24" i="7" s="1"/>
  <c r="S25" i="7" s="1"/>
  <c r="S26" i="7" s="1"/>
  <c r="S27" i="7" s="1"/>
  <c r="S28" i="7" s="1"/>
  <c r="S29" i="7" s="1"/>
  <c r="S30" i="7" s="1"/>
  <c r="S31" i="7" s="1"/>
  <c r="S32" i="7" s="1"/>
  <c r="S33" i="7" s="1"/>
  <c r="S34" i="7" s="1"/>
  <c r="S35" i="7" s="1"/>
  <c r="S36" i="7" s="1"/>
  <c r="S37" i="7" s="1"/>
  <c r="S38" i="7" s="1"/>
  <c r="S39" i="7" s="1"/>
  <c r="S40" i="7" s="1"/>
  <c r="S41" i="7" s="1"/>
  <c r="S42" i="7" s="1"/>
  <c r="S43" i="7" s="1"/>
  <c r="S44" i="7" s="1"/>
  <c r="S45" i="7" s="1"/>
  <c r="S46" i="7" s="1"/>
  <c r="S47" i="7" s="1"/>
  <c r="S48" i="7" s="1"/>
  <c r="S49" i="7" s="1"/>
  <c r="S50" i="7" s="1"/>
  <c r="S51" i="7" s="1"/>
  <c r="S52" i="7" s="1"/>
  <c r="S53" i="7" s="1"/>
  <c r="S54" i="7" s="1"/>
  <c r="S55" i="7" s="1"/>
  <c r="S56" i="7" s="1"/>
  <c r="S57" i="7" s="1"/>
  <c r="S58" i="7" s="1"/>
  <c r="S59" i="7" s="1"/>
  <c r="S60" i="7" s="1"/>
  <c r="S61" i="7" s="1"/>
  <c r="S62" i="7" s="1"/>
  <c r="S63" i="7" s="1"/>
  <c r="S64" i="7" s="1"/>
  <c r="S65" i="7" s="1"/>
  <c r="S66" i="7" s="1"/>
  <c r="S67" i="7" s="1"/>
  <c r="S68" i="7" s="1"/>
  <c r="S69" i="7" s="1"/>
  <c r="S70" i="7" s="1"/>
  <c r="S71" i="7" s="1"/>
  <c r="S72" i="7" s="1"/>
  <c r="S73" i="7" s="1"/>
  <c r="S74" i="7" s="1"/>
  <c r="S75" i="7" s="1"/>
  <c r="S76" i="7" s="1"/>
  <c r="S77" i="7" s="1"/>
  <c r="S78" i="7" s="1"/>
  <c r="S79" i="7" s="1"/>
  <c r="S80" i="7" s="1"/>
  <c r="S81" i="7" s="1"/>
  <c r="S82" i="7" s="1"/>
  <c r="S83" i="7" s="1"/>
  <c r="S84" i="7" s="1"/>
  <c r="S85" i="7" s="1"/>
  <c r="S86" i="7" s="1"/>
  <c r="S87" i="7" s="1"/>
  <c r="S88" i="7" s="1"/>
  <c r="S89" i="7" s="1"/>
  <c r="S90" i="7" s="1"/>
  <c r="S91" i="7" s="1"/>
  <c r="S92" i="7" s="1"/>
  <c r="S93" i="7" s="1"/>
  <c r="S94" i="7" s="1"/>
  <c r="S95" i="7" s="1"/>
  <c r="S96" i="7" s="1"/>
  <c r="S97" i="7" s="1"/>
  <c r="S98" i="7" s="1"/>
  <c r="S99" i="7" s="1"/>
  <c r="S100" i="7" s="1"/>
  <c r="S101" i="7" s="1"/>
  <c r="S102" i="7" s="1"/>
  <c r="S103" i="7" s="1"/>
  <c r="S104" i="7" s="1"/>
  <c r="S105" i="7" s="1"/>
  <c r="S106" i="7" s="1"/>
  <c r="S107" i="7" s="1"/>
  <c r="S108" i="7" s="1"/>
  <c r="S109" i="7" s="1"/>
  <c r="S110" i="7" s="1"/>
  <c r="S111" i="7" s="1"/>
  <c r="S112" i="7" s="1"/>
  <c r="S113" i="7" s="1"/>
  <c r="S114" i="7" s="1"/>
  <c r="S115" i="7" s="1"/>
  <c r="S116" i="7" s="1"/>
  <c r="S117" i="7" s="1"/>
  <c r="S118" i="7" s="1"/>
  <c r="S119" i="7" s="1"/>
  <c r="S120" i="7" s="1"/>
  <c r="S121" i="7" s="1"/>
  <c r="S122" i="7" s="1"/>
  <c r="S123" i="7" s="1"/>
  <c r="S124" i="7" s="1"/>
  <c r="S125" i="7" s="1"/>
  <c r="S126" i="7" s="1"/>
  <c r="S127" i="7" s="1"/>
  <c r="S128" i="7" s="1"/>
  <c r="S129" i="7" s="1"/>
  <c r="S130" i="7" s="1"/>
  <c r="S131" i="7" s="1"/>
  <c r="S132" i="7" s="1"/>
  <c r="S133" i="7" s="1"/>
  <c r="S134" i="7" s="1"/>
  <c r="S135" i="7" s="1"/>
  <c r="S136" i="7" s="1"/>
  <c r="S137" i="7" s="1"/>
  <c r="S138" i="7" s="1"/>
  <c r="S139" i="7" s="1"/>
  <c r="S140" i="7" s="1"/>
  <c r="S141" i="7" s="1"/>
  <c r="S142" i="7" s="1"/>
  <c r="S143" i="7" s="1"/>
  <c r="S144" i="7" s="1"/>
  <c r="S145" i="7" s="1"/>
  <c r="S146" i="7" s="1"/>
  <c r="S147" i="7" s="1"/>
  <c r="S148" i="7" s="1"/>
  <c r="S149" i="7" s="1"/>
  <c r="S150" i="7" s="1"/>
  <c r="S151" i="7" s="1"/>
  <c r="S152" i="7" s="1"/>
  <c r="S153" i="7" s="1"/>
  <c r="S154" i="7" s="1"/>
  <c r="S155" i="7" s="1"/>
  <c r="S156" i="7" s="1"/>
  <c r="S157" i="7" s="1"/>
  <c r="S158" i="7" s="1"/>
  <c r="S159" i="7" s="1"/>
  <c r="S160" i="7" s="1"/>
  <c r="S161" i="7" s="1"/>
  <c r="S162" i="7" s="1"/>
  <c r="S163" i="7" s="1"/>
  <c r="S164" i="7" s="1"/>
  <c r="S165" i="7" s="1"/>
  <c r="S166" i="7" s="1"/>
  <c r="S167" i="7" s="1"/>
  <c r="S168" i="7" s="1"/>
  <c r="S169" i="7" s="1"/>
  <c r="S170" i="7" s="1"/>
  <c r="S171" i="7" s="1"/>
  <c r="S172" i="7" s="1"/>
  <c r="S173" i="7" s="1"/>
  <c r="S174" i="7" s="1"/>
  <c r="S175" i="7" s="1"/>
  <c r="S176" i="7" s="1"/>
  <c r="S177" i="7" s="1"/>
  <c r="S178" i="7" s="1"/>
  <c r="S179" i="7" s="1"/>
  <c r="S180" i="7" s="1"/>
  <c r="S181" i="7" s="1"/>
  <c r="S182" i="7" s="1"/>
  <c r="S183" i="7" s="1"/>
  <c r="S184" i="7" s="1"/>
  <c r="S185" i="7" s="1"/>
  <c r="S186" i="7" s="1"/>
  <c r="S187" i="7" s="1"/>
  <c r="S188" i="7" s="1"/>
  <c r="S189" i="7" s="1"/>
  <c r="S190" i="7" s="1"/>
  <c r="S191" i="7" s="1"/>
  <c r="S192" i="7" s="1"/>
  <c r="S193" i="7" s="1"/>
  <c r="S194" i="7" s="1"/>
  <c r="S195" i="7" s="1"/>
  <c r="S196" i="7" s="1"/>
  <c r="S197" i="7" s="1"/>
  <c r="S198" i="7" s="1"/>
  <c r="S199" i="7" s="1"/>
  <c r="S200" i="7" s="1"/>
  <c r="S201" i="7" s="1"/>
  <c r="S202" i="7" s="1"/>
  <c r="S203" i="7" s="1"/>
  <c r="S204" i="7" s="1"/>
  <c r="S205" i="7" s="1"/>
  <c r="S206" i="7" s="1"/>
  <c r="S207" i="7" s="1"/>
  <c r="S208" i="7" s="1"/>
  <c r="S209" i="7" s="1"/>
  <c r="S210" i="7" s="1"/>
  <c r="S211" i="7" s="1"/>
  <c r="S212" i="7" s="1"/>
  <c r="S213" i="7" s="1"/>
  <c r="S214" i="7" s="1"/>
  <c r="S215" i="7" s="1"/>
  <c r="S216" i="7" s="1"/>
  <c r="S217" i="7" s="1"/>
  <c r="S218" i="7" s="1"/>
  <c r="S219" i="7" s="1"/>
  <c r="S220" i="7" s="1"/>
  <c r="S221" i="7" s="1"/>
  <c r="S222" i="7" s="1"/>
  <c r="S223" i="7" s="1"/>
  <c r="S224" i="7" s="1"/>
  <c r="S225" i="7" s="1"/>
  <c r="S226" i="7" s="1"/>
  <c r="S227" i="7" s="1"/>
  <c r="S228" i="7" s="1"/>
  <c r="S229" i="7" s="1"/>
  <c r="S230" i="7" s="1"/>
  <c r="S231" i="7" s="1"/>
  <c r="S232" i="7" s="1"/>
  <c r="S233" i="7" s="1"/>
  <c r="S234" i="7" s="1"/>
  <c r="S235" i="7" s="1"/>
  <c r="S236" i="7" s="1"/>
  <c r="S237" i="7" s="1"/>
  <c r="S238" i="7" s="1"/>
  <c r="S239" i="7" s="1"/>
  <c r="S240" i="7" s="1"/>
  <c r="S241" i="7" s="1"/>
  <c r="S242" i="7" s="1"/>
  <c r="S243" i="7" s="1"/>
  <c r="S244" i="7" s="1"/>
  <c r="S245" i="7" s="1"/>
  <c r="S246" i="7" s="1"/>
  <c r="S247" i="7" s="1"/>
  <c r="S248" i="7" s="1"/>
  <c r="S249" i="7" s="1"/>
  <c r="S250" i="7" s="1"/>
  <c r="S251" i="7" s="1"/>
  <c r="S252" i="7" s="1"/>
  <c r="S253" i="7" s="1"/>
  <c r="S254" i="7" s="1"/>
  <c r="S255" i="7" s="1"/>
  <c r="S256" i="7" s="1"/>
  <c r="S257" i="7" s="1"/>
  <c r="S258" i="7" s="1"/>
  <c r="S259" i="7" s="1"/>
  <c r="S260" i="7" s="1"/>
  <c r="S261" i="7" s="1"/>
  <c r="S262" i="7" s="1"/>
  <c r="S263" i="7" s="1"/>
  <c r="S264" i="7" s="1"/>
  <c r="S265" i="7" s="1"/>
  <c r="S266" i="7" s="1"/>
  <c r="S267" i="7" s="1"/>
  <c r="S268" i="7" s="1"/>
  <c r="S269" i="7" s="1"/>
  <c r="S270" i="7" s="1"/>
  <c r="S271" i="7" s="1"/>
  <c r="S272" i="7" s="1"/>
  <c r="S273" i="7" s="1"/>
  <c r="S274" i="7" s="1"/>
  <c r="S275" i="7" s="1"/>
  <c r="S276" i="7" s="1"/>
  <c r="S277" i="7" s="1"/>
  <c r="S278" i="7" s="1"/>
  <c r="S279" i="7" s="1"/>
  <c r="S280" i="7" s="1"/>
  <c r="S281" i="7" s="1"/>
  <c r="S282" i="7" s="1"/>
  <c r="S283" i="7" s="1"/>
  <c r="S284" i="7" s="1"/>
  <c r="S285" i="7" s="1"/>
  <c r="S286" i="7" s="1"/>
  <c r="S287" i="7" s="1"/>
  <c r="S288" i="7" s="1"/>
  <c r="S289" i="7" s="1"/>
  <c r="S290" i="7" s="1"/>
  <c r="S291" i="7" s="1"/>
  <c r="S292" i="7" s="1"/>
  <c r="S293" i="7" s="1"/>
  <c r="S294" i="7" s="1"/>
  <c r="S295" i="7" s="1"/>
  <c r="S296" i="7" s="1"/>
  <c r="S297" i="7" s="1"/>
  <c r="S298" i="7" s="1"/>
  <c r="S299" i="7" s="1"/>
  <c r="S300" i="7" s="1"/>
  <c r="S301" i="7" s="1"/>
  <c r="S302" i="7" s="1"/>
  <c r="S303" i="7" s="1"/>
  <c r="S304" i="7" s="1"/>
  <c r="S305" i="7" s="1"/>
  <c r="S306" i="7" s="1"/>
  <c r="S307" i="7" s="1"/>
  <c r="S308" i="7" s="1"/>
  <c r="S309" i="7" s="1"/>
  <c r="S310" i="7" s="1"/>
  <c r="S311" i="7" s="1"/>
  <c r="S312" i="7" s="1"/>
  <c r="S313" i="7" s="1"/>
  <c r="S314" i="7" s="1"/>
  <c r="S315" i="7" s="1"/>
  <c r="S316" i="7" s="1"/>
  <c r="S317" i="7" s="1"/>
  <c r="S318" i="7" s="1"/>
  <c r="S319" i="7" s="1"/>
  <c r="S320" i="7" s="1"/>
  <c r="S321" i="7" s="1"/>
  <c r="S322" i="7" s="1"/>
  <c r="S323" i="7" s="1"/>
  <c r="S324" i="7" s="1"/>
  <c r="S325" i="7" s="1"/>
  <c r="S326" i="7" s="1"/>
  <c r="S327" i="7" s="1"/>
  <c r="S328" i="7" s="1"/>
  <c r="S329" i="7" s="1"/>
  <c r="S330" i="7" s="1"/>
  <c r="S331" i="7" s="1"/>
  <c r="S332" i="7" s="1"/>
  <c r="S333" i="7" s="1"/>
  <c r="S334" i="7" s="1"/>
  <c r="S335" i="7" s="1"/>
  <c r="S336" i="7" s="1"/>
  <c r="S337" i="7" s="1"/>
  <c r="S338" i="7" s="1"/>
  <c r="S339" i="7" s="1"/>
  <c r="S340" i="7" s="1"/>
  <c r="S341" i="7" s="1"/>
  <c r="S342" i="7" s="1"/>
  <c r="S343" i="7" s="1"/>
  <c r="S344" i="7" s="1"/>
  <c r="S345" i="7" s="1"/>
  <c r="S346" i="7" s="1"/>
  <c r="S347" i="7" s="1"/>
  <c r="S348" i="7" s="1"/>
  <c r="S349" i="7" s="1"/>
  <c r="S350" i="7" s="1"/>
  <c r="S351" i="7" s="1"/>
  <c r="S352" i="7" s="1"/>
  <c r="S353" i="7" s="1"/>
  <c r="S354" i="7" s="1"/>
  <c r="S355" i="7" s="1"/>
  <c r="S356" i="7" s="1"/>
  <c r="S357" i="7" s="1"/>
  <c r="S358" i="7" s="1"/>
  <c r="S359" i="7" s="1"/>
  <c r="S360" i="7" s="1"/>
  <c r="S361" i="7" s="1"/>
  <c r="S362" i="7" s="1"/>
  <c r="S363" i="7" s="1"/>
  <c r="S364" i="7" s="1"/>
  <c r="S365" i="7" s="1"/>
  <c r="S366" i="7" s="1"/>
  <c r="S367" i="7" s="1"/>
  <c r="S368" i="7" s="1"/>
  <c r="S369" i="7" s="1"/>
  <c r="S370" i="7" s="1"/>
  <c r="S371" i="7" s="1"/>
  <c r="S372" i="7" s="1"/>
  <c r="S373" i="7" s="1"/>
  <c r="S374" i="7" s="1"/>
  <c r="S375" i="7" s="1"/>
  <c r="S376" i="7" s="1"/>
  <c r="S377" i="7" s="1"/>
  <c r="S378" i="7" s="1"/>
  <c r="S379" i="7" s="1"/>
  <c r="S380" i="7" s="1"/>
  <c r="S381" i="7" s="1"/>
  <c r="S382" i="7" s="1"/>
  <c r="S383" i="7" s="1"/>
  <c r="S384" i="7" s="1"/>
  <c r="S385" i="7" s="1"/>
  <c r="S386" i="7" s="1"/>
  <c r="S387" i="7" s="1"/>
  <c r="S388" i="7" s="1"/>
  <c r="S389" i="7" s="1"/>
  <c r="S390" i="7" s="1"/>
  <c r="S391" i="7" s="1"/>
  <c r="S392" i="7" s="1"/>
  <c r="S393" i="7" s="1"/>
  <c r="S394" i="7" s="1"/>
  <c r="S395" i="7" s="1"/>
  <c r="S396" i="7" s="1"/>
  <c r="S397" i="7" s="1"/>
  <c r="S398" i="7" s="1"/>
  <c r="S399" i="7" s="1"/>
  <c r="S400" i="7" s="1"/>
  <c r="S401" i="7" s="1"/>
  <c r="S402" i="7" s="1"/>
  <c r="S403" i="7" s="1"/>
  <c r="S404" i="7" s="1"/>
  <c r="S405" i="7" s="1"/>
  <c r="S406" i="7" s="1"/>
  <c r="S407" i="7" s="1"/>
  <c r="S408" i="7" s="1"/>
  <c r="S409" i="7" s="1"/>
  <c r="S410" i="7" s="1"/>
  <c r="S411" i="7" s="1"/>
  <c r="S412" i="7" s="1"/>
  <c r="S413" i="7" s="1"/>
  <c r="S414" i="7" s="1"/>
  <c r="S415" i="7" s="1"/>
  <c r="S416" i="7" s="1"/>
  <c r="S417" i="7" s="1"/>
  <c r="S418" i="7" s="1"/>
  <c r="S419" i="7" s="1"/>
  <c r="S420" i="7" s="1"/>
  <c r="S421" i="7" s="1"/>
  <c r="S422" i="7" s="1"/>
  <c r="S423" i="7" s="1"/>
  <c r="S424" i="7" s="1"/>
  <c r="S425" i="7" s="1"/>
  <c r="S426" i="7" s="1"/>
  <c r="S427" i="7" s="1"/>
  <c r="S428" i="7" s="1"/>
  <c r="S429" i="7" s="1"/>
  <c r="S430" i="7" s="1"/>
  <c r="S431" i="7" s="1"/>
  <c r="S432" i="7" s="1"/>
  <c r="S433" i="7" s="1"/>
  <c r="S434" i="7" s="1"/>
  <c r="S435" i="7" s="1"/>
  <c r="S436" i="7" s="1"/>
  <c r="S437" i="7" s="1"/>
  <c r="S438" i="7" s="1"/>
  <c r="S439" i="7" s="1"/>
  <c r="S440" i="7" s="1"/>
  <c r="S441" i="7" s="1"/>
  <c r="S442" i="7" s="1"/>
  <c r="S443" i="7" s="1"/>
  <c r="S444" i="7" s="1"/>
  <c r="S445" i="7" s="1"/>
  <c r="S446" i="7" s="1"/>
  <c r="S447" i="7" s="1"/>
  <c r="S448" i="7" s="1"/>
  <c r="S449" i="7" s="1"/>
  <c r="S450" i="7" s="1"/>
  <c r="S451" i="7" s="1"/>
  <c r="S452" i="7" s="1"/>
  <c r="S453" i="7" s="1"/>
  <c r="S454" i="7" s="1"/>
  <c r="S455" i="7" s="1"/>
  <c r="S456" i="7" s="1"/>
  <c r="S457" i="7" s="1"/>
  <c r="S458" i="7" s="1"/>
  <c r="S459" i="7" s="1"/>
  <c r="S460" i="7" s="1"/>
  <c r="S461" i="7" s="1"/>
  <c r="S462" i="7" s="1"/>
  <c r="S463" i="7" s="1"/>
  <c r="S464" i="7" s="1"/>
  <c r="S465" i="7" s="1"/>
  <c r="S466" i="7" s="1"/>
  <c r="S467" i="7" s="1"/>
  <c r="S468" i="7" s="1"/>
  <c r="S469" i="7" s="1"/>
  <c r="S470" i="7" s="1"/>
  <c r="S471" i="7" s="1"/>
  <c r="S472" i="7" s="1"/>
  <c r="S473" i="7" s="1"/>
  <c r="S474" i="7" s="1"/>
  <c r="S475" i="7" s="1"/>
  <c r="S476" i="7" s="1"/>
  <c r="S477" i="7" s="1"/>
  <c r="S478" i="7" s="1"/>
  <c r="S479" i="7" s="1"/>
  <c r="S480" i="7" s="1"/>
  <c r="S481" i="7" s="1"/>
  <c r="S482" i="7" s="1"/>
  <c r="S483" i="7" s="1"/>
  <c r="S484" i="7" s="1"/>
  <c r="S485" i="7" s="1"/>
  <c r="S486" i="7" s="1"/>
  <c r="S487" i="7" s="1"/>
  <c r="S488" i="7" s="1"/>
  <c r="S489" i="7" s="1"/>
  <c r="S490" i="7" s="1"/>
  <c r="S491" i="7" s="1"/>
  <c r="S492" i="7" s="1"/>
  <c r="S493" i="7" s="1"/>
  <c r="S494" i="7" s="1"/>
  <c r="S495" i="7" s="1"/>
  <c r="S496" i="7" s="1"/>
  <c r="S497" i="7" s="1"/>
  <c r="S498" i="7" s="1"/>
  <c r="S499" i="7" s="1"/>
  <c r="S500" i="7" s="1"/>
  <c r="S501" i="7" s="1"/>
  <c r="S502" i="7" s="1"/>
  <c r="S503" i="7" s="1"/>
  <c r="S504" i="7" s="1"/>
  <c r="S505" i="7" s="1"/>
  <c r="S506" i="7" s="1"/>
  <c r="S507" i="7" s="1"/>
  <c r="S508" i="7" s="1"/>
  <c r="S509" i="7" s="1"/>
  <c r="S510" i="7" s="1"/>
  <c r="S511" i="7" s="1"/>
  <c r="S512" i="7" s="1"/>
  <c r="S513" i="7" s="1"/>
  <c r="S514" i="7" s="1"/>
  <c r="S515" i="7" s="1"/>
  <c r="S516" i="7" s="1"/>
  <c r="S517" i="7" s="1"/>
  <c r="S518" i="7" s="1"/>
  <c r="S519" i="7" s="1"/>
  <c r="S520" i="7" s="1"/>
  <c r="S521" i="7" s="1"/>
  <c r="S522" i="7" s="1"/>
  <c r="S523" i="7" s="1"/>
  <c r="S524" i="7" s="1"/>
  <c r="S525" i="7" s="1"/>
  <c r="S526" i="7" s="1"/>
  <c r="S527" i="7" s="1"/>
  <c r="S528" i="7" s="1"/>
  <c r="S529" i="7" s="1"/>
  <c r="S530" i="7" s="1"/>
  <c r="S531" i="7" s="1"/>
  <c r="S532" i="7" s="1"/>
  <c r="S533" i="7" s="1"/>
  <c r="S534" i="7" s="1"/>
  <c r="S535" i="7" s="1"/>
  <c r="S536" i="7" s="1"/>
  <c r="S537" i="7" s="1"/>
  <c r="S538" i="7" s="1"/>
  <c r="S539" i="7" s="1"/>
  <c r="S540" i="7" s="1"/>
  <c r="S541" i="7" s="1"/>
  <c r="S542" i="7" s="1"/>
  <c r="S543" i="7" s="1"/>
  <c r="S544" i="7" s="1"/>
  <c r="S545" i="7" s="1"/>
  <c r="S546" i="7" s="1"/>
  <c r="S547" i="7" s="1"/>
  <c r="S548" i="7" s="1"/>
  <c r="S549" i="7" s="1"/>
  <c r="S550" i="7" s="1"/>
  <c r="S551" i="7" s="1"/>
  <c r="S552" i="7" s="1"/>
  <c r="S553" i="7" s="1"/>
  <c r="S554" i="7" s="1"/>
  <c r="S555" i="7" s="1"/>
  <c r="S556" i="7" s="1"/>
  <c r="S557" i="7" s="1"/>
  <c r="S558" i="7" s="1"/>
  <c r="S559" i="7" s="1"/>
  <c r="S560" i="7" s="1"/>
  <c r="S561" i="7" s="1"/>
  <c r="S562" i="7" s="1"/>
  <c r="S563" i="7" s="1"/>
  <c r="S564" i="7" s="1"/>
  <c r="S565" i="7" s="1"/>
  <c r="S566" i="7" s="1"/>
  <c r="S567" i="7" s="1"/>
  <c r="S568" i="7" s="1"/>
  <c r="S569" i="7" s="1"/>
  <c r="S570" i="7" s="1"/>
  <c r="S571" i="7" s="1"/>
  <c r="S572" i="7" s="1"/>
  <c r="S573" i="7" s="1"/>
  <c r="S574" i="7" s="1"/>
  <c r="S575" i="7" s="1"/>
  <c r="S576" i="7" s="1"/>
  <c r="S577" i="7" s="1"/>
  <c r="S578" i="7" s="1"/>
  <c r="S579" i="7" s="1"/>
  <c r="S580" i="7" s="1"/>
  <c r="S581" i="7" s="1"/>
  <c r="S582" i="7" s="1"/>
  <c r="S583" i="7" s="1"/>
  <c r="S584" i="7" s="1"/>
  <c r="S585" i="7" s="1"/>
  <c r="S586" i="7" s="1"/>
  <c r="S587" i="7" s="1"/>
  <c r="S588" i="7" s="1"/>
  <c r="S589" i="7" s="1"/>
  <c r="S590" i="7" s="1"/>
  <c r="S591" i="7" s="1"/>
  <c r="S592" i="7" s="1"/>
  <c r="S593" i="7" s="1"/>
  <c r="S594" i="7" s="1"/>
  <c r="S595" i="7" s="1"/>
  <c r="S596" i="7" s="1"/>
  <c r="S597" i="7" s="1"/>
  <c r="S598" i="7" s="1"/>
  <c r="S599" i="7" s="1"/>
  <c r="S600" i="7" s="1"/>
  <c r="S601" i="7" s="1"/>
  <c r="S602" i="7" s="1"/>
  <c r="S603" i="7" s="1"/>
  <c r="S604" i="7" s="1"/>
  <c r="S605" i="7" s="1"/>
  <c r="S606" i="7" s="1"/>
  <c r="S607" i="7" s="1"/>
  <c r="S608" i="7" s="1"/>
  <c r="S609" i="7" s="1"/>
  <c r="S610" i="7" s="1"/>
  <c r="S611" i="7" s="1"/>
  <c r="S612" i="7" s="1"/>
  <c r="S613" i="7" s="1"/>
  <c r="S614" i="7" s="1"/>
  <c r="S615" i="7" s="1"/>
  <c r="S616" i="7" s="1"/>
  <c r="S617" i="7" s="1"/>
  <c r="S618" i="7" s="1"/>
  <c r="S619" i="7" s="1"/>
  <c r="S620" i="7" s="1"/>
  <c r="S621" i="7" s="1"/>
  <c r="S622" i="7" s="1"/>
  <c r="S623" i="7" s="1"/>
  <c r="S624" i="7" s="1"/>
  <c r="S625" i="7" s="1"/>
  <c r="S626" i="7" s="1"/>
  <c r="S627" i="7" s="1"/>
  <c r="S628" i="7" s="1"/>
  <c r="S629" i="7" s="1"/>
  <c r="S630" i="7" s="1"/>
  <c r="S631" i="7" s="1"/>
  <c r="S632" i="7" s="1"/>
  <c r="S633" i="7" s="1"/>
  <c r="S634" i="7" s="1"/>
  <c r="S635" i="7" s="1"/>
  <c r="S636" i="7" s="1"/>
  <c r="S637" i="7" s="1"/>
  <c r="S638" i="7" s="1"/>
  <c r="S639" i="7" s="1"/>
  <c r="S640" i="7" s="1"/>
  <c r="S641" i="7" s="1"/>
  <c r="S642" i="7" s="1"/>
  <c r="S643" i="7" s="1"/>
  <c r="S644" i="7" s="1"/>
  <c r="S645" i="7" s="1"/>
  <c r="S646" i="7" s="1"/>
  <c r="S647" i="7" s="1"/>
  <c r="S648" i="7" s="1"/>
  <c r="S649" i="7" s="1"/>
  <c r="S650" i="7" s="1"/>
  <c r="S651" i="7" s="1"/>
  <c r="S652" i="7" s="1"/>
  <c r="S653" i="7" s="1"/>
  <c r="S654" i="7" s="1"/>
  <c r="S655" i="7" s="1"/>
  <c r="S656" i="7" s="1"/>
  <c r="S657" i="7" s="1"/>
  <c r="S658" i="7" s="1"/>
  <c r="S659" i="7" s="1"/>
  <c r="S660" i="7" s="1"/>
  <c r="S661" i="7" s="1"/>
  <c r="S662" i="7" s="1"/>
  <c r="S663" i="7" s="1"/>
  <c r="S664" i="7" s="1"/>
  <c r="S665" i="7" s="1"/>
  <c r="S666" i="7" s="1"/>
  <c r="S667" i="7" s="1"/>
  <c r="S668" i="7" s="1"/>
  <c r="S669" i="7" s="1"/>
  <c r="S670" i="7" s="1"/>
  <c r="S671" i="7" s="1"/>
  <c r="S672" i="7" s="1"/>
  <c r="S673" i="7" s="1"/>
  <c r="S674" i="7" s="1"/>
  <c r="S675" i="7" s="1"/>
  <c r="S676" i="7" s="1"/>
  <c r="S677" i="7" s="1"/>
  <c r="S678" i="7" s="1"/>
  <c r="S679" i="7" s="1"/>
  <c r="S680" i="7" s="1"/>
  <c r="S681" i="7" s="1"/>
  <c r="S682" i="7" s="1"/>
  <c r="S683" i="7" s="1"/>
  <c r="S684" i="7" s="1"/>
  <c r="S685" i="7" s="1"/>
  <c r="S686" i="7" s="1"/>
  <c r="S687" i="7" s="1"/>
  <c r="S688" i="7" s="1"/>
  <c r="S689" i="7" s="1"/>
  <c r="S690" i="7" s="1"/>
  <c r="S691" i="7" s="1"/>
  <c r="S692" i="7" s="1"/>
  <c r="S693" i="7" s="1"/>
  <c r="S694" i="7" s="1"/>
  <c r="S695" i="7" s="1"/>
  <c r="S696" i="7" s="1"/>
  <c r="S697" i="7" s="1"/>
  <c r="S698" i="7" s="1"/>
  <c r="S699" i="7" s="1"/>
  <c r="S700" i="7" s="1"/>
  <c r="S701" i="7" s="1"/>
  <c r="S702" i="7" s="1"/>
  <c r="S703" i="7" s="1"/>
  <c r="S704" i="7" s="1"/>
  <c r="S705" i="7" s="1"/>
  <c r="S706" i="7" s="1"/>
  <c r="S707" i="7" s="1"/>
  <c r="S708" i="7" s="1"/>
  <c r="S709" i="7" s="1"/>
  <c r="S710" i="7" s="1"/>
  <c r="S711" i="7" s="1"/>
  <c r="S712" i="7" s="1"/>
  <c r="S713" i="7" s="1"/>
  <c r="S714" i="7" s="1"/>
  <c r="S715" i="7" s="1"/>
  <c r="S716" i="7" s="1"/>
  <c r="S717" i="7" s="1"/>
  <c r="S718" i="7" s="1"/>
  <c r="S719" i="7" s="1"/>
  <c r="S720" i="7" s="1"/>
  <c r="S721" i="7" s="1"/>
  <c r="S722" i="7" s="1"/>
  <c r="S723" i="7" s="1"/>
  <c r="S724" i="7" s="1"/>
  <c r="S725" i="7" s="1"/>
  <c r="S726" i="7" s="1"/>
  <c r="S727" i="7" s="1"/>
  <c r="S728" i="7" s="1"/>
  <c r="S729" i="7" s="1"/>
  <c r="S730" i="7" s="1"/>
  <c r="S731" i="7" s="1"/>
  <c r="S732" i="7" s="1"/>
  <c r="S733" i="7" s="1"/>
  <c r="S734" i="7" s="1"/>
  <c r="S735" i="7" s="1"/>
  <c r="S736" i="7" s="1"/>
  <c r="S737" i="7" s="1"/>
  <c r="S738" i="7" s="1"/>
  <c r="S739" i="7" s="1"/>
  <c r="S740" i="7" s="1"/>
  <c r="S741" i="7" s="1"/>
  <c r="S742" i="7" s="1"/>
  <c r="S743" i="7" s="1"/>
  <c r="S744" i="7" s="1"/>
  <c r="S745" i="7" s="1"/>
  <c r="S746" i="7" s="1"/>
  <c r="S747" i="7" s="1"/>
  <c r="S748" i="7" s="1"/>
  <c r="S749" i="7" s="1"/>
  <c r="S750" i="7" s="1"/>
  <c r="S751" i="7" s="1"/>
  <c r="S752" i="7" s="1"/>
  <c r="S753" i="7" s="1"/>
  <c r="S754" i="7" s="1"/>
  <c r="S755" i="7" s="1"/>
  <c r="S756" i="7" s="1"/>
  <c r="S757" i="7" s="1"/>
  <c r="S758" i="7" s="1"/>
  <c r="S759" i="7" s="1"/>
  <c r="S760" i="7" s="1"/>
  <c r="S761" i="7" s="1"/>
  <c r="S762" i="7" s="1"/>
  <c r="S763" i="7" s="1"/>
  <c r="S764" i="7" s="1"/>
  <c r="S765" i="7" s="1"/>
  <c r="S766" i="7" s="1"/>
  <c r="S767" i="7" s="1"/>
  <c r="S768" i="7" s="1"/>
  <c r="S769" i="7" s="1"/>
  <c r="S770" i="7" s="1"/>
  <c r="S771" i="7" s="1"/>
  <c r="S772" i="7" s="1"/>
  <c r="S773" i="7" s="1"/>
  <c r="S774" i="7" s="1"/>
  <c r="S775" i="7" s="1"/>
  <c r="S776" i="7" s="1"/>
  <c r="S777" i="7" s="1"/>
  <c r="S778" i="7" s="1"/>
  <c r="S779" i="7" s="1"/>
  <c r="S780" i="7" s="1"/>
  <c r="S781" i="7" s="1"/>
  <c r="S782" i="7" s="1"/>
  <c r="S783" i="7" s="1"/>
  <c r="S784" i="7" s="1"/>
  <c r="S785" i="7" s="1"/>
  <c r="S786" i="7" s="1"/>
  <c r="S787" i="7" s="1"/>
  <c r="S788" i="7" s="1"/>
  <c r="S789" i="7" s="1"/>
  <c r="S790" i="7" s="1"/>
  <c r="S791" i="7" s="1"/>
  <c r="S792" i="7" s="1"/>
  <c r="S793" i="7" s="1"/>
  <c r="S794" i="7" s="1"/>
  <c r="S795" i="7" s="1"/>
  <c r="S796" i="7" s="1"/>
  <c r="S797" i="7" s="1"/>
  <c r="S798" i="7" s="1"/>
  <c r="S799" i="7" s="1"/>
  <c r="S800" i="7" s="1"/>
  <c r="S801" i="7" s="1"/>
  <c r="S802" i="7" s="1"/>
  <c r="S803" i="7" s="1"/>
  <c r="S804" i="7" s="1"/>
  <c r="S805" i="7" s="1"/>
  <c r="S806" i="7" s="1"/>
  <c r="S807" i="7" s="1"/>
  <c r="S808" i="7" s="1"/>
  <c r="S809" i="7" s="1"/>
  <c r="S810" i="7" s="1"/>
  <c r="S811" i="7" s="1"/>
  <c r="S812" i="7" s="1"/>
  <c r="S813" i="7" s="1"/>
  <c r="S814" i="7" s="1"/>
  <c r="S815" i="7" s="1"/>
  <c r="S816" i="7" s="1"/>
  <c r="S817" i="7" s="1"/>
  <c r="S818" i="7" s="1"/>
  <c r="S819" i="7" s="1"/>
  <c r="S820" i="7" s="1"/>
  <c r="S821" i="7" s="1"/>
  <c r="S822" i="7" s="1"/>
  <c r="S823" i="7" s="1"/>
  <c r="S824" i="7" s="1"/>
  <c r="S825" i="7" s="1"/>
  <c r="S826" i="7" s="1"/>
  <c r="S827" i="7" s="1"/>
  <c r="S828" i="7" s="1"/>
  <c r="S829" i="7" s="1"/>
  <c r="S830" i="7" s="1"/>
  <c r="S831" i="7" s="1"/>
  <c r="S832" i="7" s="1"/>
  <c r="S833" i="7" s="1"/>
  <c r="S834" i="7" s="1"/>
  <c r="S835" i="7" s="1"/>
  <c r="S836" i="7" s="1"/>
  <c r="S837" i="7" s="1"/>
  <c r="S838" i="7" s="1"/>
  <c r="S839" i="7" s="1"/>
  <c r="S840" i="7" s="1"/>
  <c r="S841" i="7" s="1"/>
  <c r="S842" i="7" s="1"/>
  <c r="S843" i="7" s="1"/>
  <c r="S844" i="7" s="1"/>
  <c r="S845" i="7" s="1"/>
  <c r="S846" i="7" s="1"/>
  <c r="S847" i="7" s="1"/>
  <c r="S848" i="7" s="1"/>
  <c r="S849" i="7" s="1"/>
  <c r="S850" i="7" s="1"/>
  <c r="S851" i="7" s="1"/>
  <c r="S852" i="7" s="1"/>
  <c r="S853" i="7" s="1"/>
  <c r="S854" i="7" s="1"/>
  <c r="S855" i="7" s="1"/>
  <c r="S856" i="7" s="1"/>
  <c r="S857" i="7" s="1"/>
  <c r="S858" i="7" s="1"/>
  <c r="S859" i="7" s="1"/>
  <c r="S860" i="7" s="1"/>
  <c r="S861" i="7" s="1"/>
  <c r="S862" i="7" s="1"/>
  <c r="S863" i="7" s="1"/>
  <c r="S864" i="7" s="1"/>
  <c r="S865" i="7" s="1"/>
  <c r="S866" i="7" s="1"/>
  <c r="S867" i="7" s="1"/>
  <c r="S868" i="7" s="1"/>
  <c r="S869" i="7" s="1"/>
  <c r="S870" i="7" s="1"/>
  <c r="S871" i="7" s="1"/>
  <c r="S872" i="7" s="1"/>
  <c r="S873" i="7" s="1"/>
  <c r="S874" i="7" s="1"/>
  <c r="S875" i="7" s="1"/>
  <c r="S876" i="7" s="1"/>
  <c r="S877" i="7" s="1"/>
  <c r="S878" i="7" s="1"/>
  <c r="S879" i="7" s="1"/>
  <c r="S880" i="7" s="1"/>
  <c r="S881" i="7" s="1"/>
  <c r="S882" i="7" s="1"/>
  <c r="S883" i="7" s="1"/>
  <c r="S884" i="7" s="1"/>
  <c r="S885" i="7" s="1"/>
  <c r="S886" i="7" s="1"/>
  <c r="S887" i="7" s="1"/>
  <c r="S888" i="7" s="1"/>
  <c r="S889" i="7" s="1"/>
  <c r="S890" i="7" s="1"/>
  <c r="S891" i="7" s="1"/>
  <c r="S892" i="7" s="1"/>
  <c r="S893" i="7" s="1"/>
  <c r="S894" i="7" s="1"/>
  <c r="S895" i="7" s="1"/>
  <c r="S896" i="7" s="1"/>
  <c r="S897" i="7" s="1"/>
  <c r="S898" i="7" s="1"/>
  <c r="S899" i="7" s="1"/>
  <c r="S900" i="7" s="1"/>
  <c r="S901" i="7" s="1"/>
  <c r="S902" i="7" s="1"/>
  <c r="S903" i="7" s="1"/>
  <c r="S904" i="7" s="1"/>
  <c r="S905" i="7" s="1"/>
  <c r="S906" i="7" s="1"/>
  <c r="S907" i="7" s="1"/>
  <c r="S908" i="7" s="1"/>
  <c r="S909" i="7" s="1"/>
  <c r="S910" i="7" s="1"/>
  <c r="S911" i="7" s="1"/>
  <c r="S912" i="7" s="1"/>
  <c r="S913" i="7" s="1"/>
  <c r="S914" i="7" s="1"/>
  <c r="S915" i="7" s="1"/>
  <c r="S916" i="7" s="1"/>
  <c r="S917" i="7" s="1"/>
  <c r="S918" i="7" s="1"/>
  <c r="S919" i="7" s="1"/>
  <c r="S920" i="7" s="1"/>
  <c r="S921" i="7" s="1"/>
  <c r="S922" i="7" s="1"/>
  <c r="S923" i="7" s="1"/>
  <c r="S924" i="7" s="1"/>
  <c r="S925" i="7" s="1"/>
  <c r="S926" i="7" s="1"/>
  <c r="S927" i="7" s="1"/>
  <c r="S928" i="7" s="1"/>
  <c r="S929" i="7" s="1"/>
  <c r="S930" i="7" s="1"/>
  <c r="S931" i="7" s="1"/>
  <c r="S932" i="7" s="1"/>
  <c r="S933" i="7" s="1"/>
  <c r="S934" i="7" s="1"/>
  <c r="S935" i="7" s="1"/>
  <c r="S936" i="7" s="1"/>
  <c r="S937" i="7" s="1"/>
  <c r="S938" i="7" s="1"/>
  <c r="S939" i="7" s="1"/>
  <c r="S940" i="7" s="1"/>
  <c r="S941" i="7" s="1"/>
  <c r="S942" i="7" s="1"/>
  <c r="S943" i="7" s="1"/>
  <c r="S944" i="7" s="1"/>
  <c r="S945" i="7" s="1"/>
  <c r="S946" i="7" s="1"/>
  <c r="S947" i="7" s="1"/>
  <c r="S948" i="7" s="1"/>
  <c r="S949" i="7" s="1"/>
  <c r="S950" i="7" s="1"/>
  <c r="S951" i="7" s="1"/>
  <c r="S952" i="7" s="1"/>
  <c r="S953" i="7" s="1"/>
  <c r="S954" i="7" s="1"/>
  <c r="S955" i="7" s="1"/>
  <c r="S956" i="7" s="1"/>
  <c r="S957" i="7" s="1"/>
  <c r="S958" i="7" s="1"/>
  <c r="S959" i="7" s="1"/>
  <c r="S960" i="7" s="1"/>
  <c r="S961" i="7" s="1"/>
  <c r="S962" i="7" s="1"/>
  <c r="S963" i="7" s="1"/>
  <c r="S964" i="7" s="1"/>
  <c r="S965" i="7" s="1"/>
  <c r="S966" i="7" s="1"/>
  <c r="S967" i="7" s="1"/>
  <c r="S968" i="7" s="1"/>
  <c r="S969" i="7" s="1"/>
  <c r="S970" i="7" s="1"/>
  <c r="S971" i="7" s="1"/>
  <c r="S972" i="7" s="1"/>
  <c r="S973" i="7" s="1"/>
  <c r="S974" i="7" s="1"/>
  <c r="S975" i="7" s="1"/>
  <c r="S976" i="7" s="1"/>
  <c r="S977" i="7" s="1"/>
  <c r="S978" i="7" s="1"/>
  <c r="S979" i="7" s="1"/>
  <c r="S980" i="7" s="1"/>
  <c r="S981" i="7" s="1"/>
  <c r="S982" i="7" s="1"/>
  <c r="S983" i="7" s="1"/>
  <c r="S984" i="7" s="1"/>
  <c r="S985" i="7" s="1"/>
  <c r="S986" i="7" s="1"/>
  <c r="S987" i="7" s="1"/>
  <c r="S988" i="7" s="1"/>
  <c r="S989" i="7" s="1"/>
  <c r="S990" i="7" s="1"/>
  <c r="S991" i="7" s="1"/>
  <c r="S992" i="7" s="1"/>
  <c r="S993" i="7" s="1"/>
  <c r="S994" i="7" s="1"/>
  <c r="S995" i="7" s="1"/>
  <c r="S996" i="7" s="1"/>
  <c r="S997" i="7" s="1"/>
  <c r="S998" i="7" s="1"/>
  <c r="S999" i="7" s="1"/>
  <c r="S1000" i="7" s="1"/>
  <c r="S1001" i="7" s="1"/>
  <c r="S1002" i="7" s="1"/>
  <c r="S1003" i="7" s="1"/>
  <c r="S1004" i="7" s="1"/>
  <c r="S1005" i="7" s="1"/>
  <c r="S1006" i="7" s="1"/>
  <c r="S1007" i="7" s="1"/>
  <c r="S1008" i="7" s="1"/>
  <c r="S1009" i="7" s="1"/>
  <c r="S1010" i="7" s="1"/>
  <c r="S1011" i="7" s="1"/>
  <c r="S1012" i="7" s="1"/>
  <c r="S1013" i="7" s="1"/>
  <c r="S1014" i="7" s="1"/>
  <c r="S1015" i="7" s="1"/>
  <c r="S1016" i="7" s="1"/>
  <c r="S1017" i="7" s="1"/>
  <c r="S1018" i="7" s="1"/>
  <c r="S1019" i="7" s="1"/>
  <c r="S1020" i="7" s="1"/>
  <c r="S1021" i="7" s="1"/>
  <c r="S1022" i="7" s="1"/>
  <c r="S1023" i="7" s="1"/>
  <c r="S1024" i="7" s="1"/>
  <c r="S1025" i="7" s="1"/>
  <c r="S1026" i="7" s="1"/>
  <c r="S1027" i="7" s="1"/>
  <c r="S1028" i="7" s="1"/>
  <c r="S1029" i="7" s="1"/>
  <c r="S1030" i="7" s="1"/>
  <c r="S1031" i="7" s="1"/>
  <c r="S1032" i="7" s="1"/>
  <c r="S17" i="3"/>
  <c r="S18" i="3" s="1"/>
  <c r="S19" i="3" s="1"/>
  <c r="S20" i="3" s="1"/>
  <c r="S21" i="3" s="1"/>
  <c r="S22" i="3" s="1"/>
  <c r="S23" i="3" s="1"/>
  <c r="S24" i="3" s="1"/>
  <c r="S25" i="3" s="1"/>
  <c r="S26" i="3" s="1"/>
  <c r="S27" i="3" s="1"/>
  <c r="S28" i="3" s="1"/>
  <c r="S29" i="3" s="1"/>
  <c r="S30" i="3" s="1"/>
  <c r="S31" i="3" s="1"/>
  <c r="S32" i="3" s="1"/>
  <c r="S33" i="3" s="1"/>
  <c r="S34" i="3" s="1"/>
  <c r="S35" i="3" s="1"/>
  <c r="S36" i="3" s="1"/>
  <c r="S37" i="3" s="1"/>
  <c r="S38" i="3" s="1"/>
  <c r="S39" i="3" s="1"/>
  <c r="S40" i="3" s="1"/>
  <c r="S41" i="3" s="1"/>
  <c r="S42" i="3" s="1"/>
  <c r="S43" i="3" s="1"/>
  <c r="S44" i="3" s="1"/>
  <c r="S45" i="3" s="1"/>
  <c r="S46" i="3" s="1"/>
  <c r="S47" i="3" s="1"/>
  <c r="S48" i="3" s="1"/>
  <c r="S49" i="3" s="1"/>
  <c r="S50" i="3" s="1"/>
  <c r="S51" i="3" s="1"/>
  <c r="S52" i="3" s="1"/>
  <c r="S53" i="3" s="1"/>
  <c r="S54" i="3" s="1"/>
  <c r="S55" i="3" s="1"/>
  <c r="S56" i="3" s="1"/>
  <c r="S57" i="3" s="1"/>
  <c r="S58" i="3" s="1"/>
  <c r="S59" i="3" s="1"/>
  <c r="S60" i="3" s="1"/>
  <c r="S61" i="3" s="1"/>
  <c r="S62" i="3" s="1"/>
  <c r="S63" i="3" s="1"/>
  <c r="S64" i="3" s="1"/>
  <c r="S65" i="3" s="1"/>
  <c r="S66" i="3" s="1"/>
  <c r="S67" i="3" s="1"/>
  <c r="S68" i="3" s="1"/>
  <c r="S69" i="3" s="1"/>
  <c r="S70" i="3" s="1"/>
  <c r="S71" i="3" s="1"/>
  <c r="S72" i="3" s="1"/>
  <c r="S73" i="3" s="1"/>
  <c r="S74" i="3" s="1"/>
  <c r="S75" i="3" s="1"/>
  <c r="S76" i="3" s="1"/>
  <c r="S77" i="3" s="1"/>
  <c r="S78" i="3" s="1"/>
  <c r="S79" i="3" s="1"/>
  <c r="S80" i="3" s="1"/>
  <c r="S81" i="3" s="1"/>
  <c r="S82" i="3" s="1"/>
  <c r="S83" i="3" s="1"/>
  <c r="S84" i="3" s="1"/>
  <c r="S85" i="3" s="1"/>
  <c r="S86" i="3" s="1"/>
  <c r="S87" i="3" s="1"/>
  <c r="S88" i="3" s="1"/>
  <c r="S89" i="3" s="1"/>
  <c r="S90" i="3" s="1"/>
  <c r="S91" i="3" s="1"/>
  <c r="S92" i="3" s="1"/>
  <c r="S93" i="3" s="1"/>
  <c r="S94" i="3" s="1"/>
  <c r="S95" i="3" s="1"/>
  <c r="S96" i="3" s="1"/>
  <c r="S97" i="3" s="1"/>
  <c r="S98" i="3" s="1"/>
  <c r="S99" i="3" s="1"/>
  <c r="S100" i="3" s="1"/>
  <c r="S101" i="3" s="1"/>
  <c r="S102" i="3" s="1"/>
  <c r="S103" i="3" s="1"/>
  <c r="S104" i="3" s="1"/>
  <c r="S105" i="3" s="1"/>
  <c r="S106" i="3" s="1"/>
  <c r="S107" i="3" s="1"/>
  <c r="S108" i="3" s="1"/>
  <c r="S109" i="3" s="1"/>
  <c r="S110" i="3" s="1"/>
  <c r="S111" i="3" s="1"/>
  <c r="S112" i="3" s="1"/>
  <c r="S113" i="3" s="1"/>
  <c r="S114" i="3" s="1"/>
  <c r="S115" i="3" s="1"/>
  <c r="S116" i="3" s="1"/>
  <c r="S117" i="3" s="1"/>
  <c r="S118" i="3" s="1"/>
  <c r="S119" i="3" s="1"/>
  <c r="S120" i="3" s="1"/>
  <c r="S121" i="3" s="1"/>
  <c r="S122" i="3" s="1"/>
  <c r="S123" i="3" s="1"/>
  <c r="S124" i="3" s="1"/>
  <c r="S125" i="3" s="1"/>
  <c r="S126" i="3" s="1"/>
  <c r="S127" i="3" s="1"/>
  <c r="S128" i="3" s="1"/>
  <c r="S129" i="3" s="1"/>
  <c r="S130" i="3" s="1"/>
  <c r="S131" i="3" s="1"/>
  <c r="S132" i="3" s="1"/>
  <c r="S133" i="3" s="1"/>
  <c r="S134" i="3" s="1"/>
  <c r="S135" i="3" s="1"/>
  <c r="S136" i="3" s="1"/>
  <c r="S137" i="3" s="1"/>
  <c r="S138" i="3" s="1"/>
  <c r="S139" i="3" s="1"/>
  <c r="S140" i="3" s="1"/>
  <c r="S141" i="3" s="1"/>
  <c r="S142" i="3" s="1"/>
  <c r="S143" i="3" s="1"/>
  <c r="S144" i="3" s="1"/>
  <c r="S145" i="3" s="1"/>
  <c r="S146" i="3" s="1"/>
  <c r="S147" i="3" s="1"/>
  <c r="S148" i="3" s="1"/>
  <c r="S149" i="3" s="1"/>
  <c r="S150" i="3" s="1"/>
  <c r="S151" i="3" s="1"/>
  <c r="S152" i="3" s="1"/>
  <c r="S153" i="3" s="1"/>
  <c r="S154" i="3" s="1"/>
  <c r="S155" i="3" s="1"/>
  <c r="S156" i="3" s="1"/>
  <c r="S157" i="3" s="1"/>
  <c r="S158" i="3" s="1"/>
  <c r="S159" i="3" s="1"/>
  <c r="S160" i="3" s="1"/>
  <c r="S161" i="3" s="1"/>
  <c r="S162" i="3" s="1"/>
  <c r="S163" i="3" s="1"/>
  <c r="S164" i="3" s="1"/>
  <c r="S165" i="3" s="1"/>
  <c r="S166" i="3" s="1"/>
  <c r="S167" i="3" s="1"/>
  <c r="S168" i="3" s="1"/>
  <c r="S169" i="3" s="1"/>
  <c r="S170" i="3" s="1"/>
  <c r="S171" i="3" s="1"/>
  <c r="S172" i="3" s="1"/>
  <c r="S173" i="3" s="1"/>
  <c r="S174" i="3" s="1"/>
  <c r="S175" i="3" s="1"/>
  <c r="S176" i="3" s="1"/>
  <c r="S177" i="3" s="1"/>
  <c r="S178" i="3" s="1"/>
  <c r="S179" i="3" s="1"/>
  <c r="S180" i="3" s="1"/>
  <c r="S181" i="3" s="1"/>
  <c r="S182" i="3" s="1"/>
  <c r="S183" i="3" s="1"/>
  <c r="S184" i="3" s="1"/>
  <c r="S185" i="3" s="1"/>
  <c r="S186" i="3" s="1"/>
  <c r="S187" i="3" s="1"/>
  <c r="S188" i="3" s="1"/>
  <c r="S189" i="3" s="1"/>
  <c r="S190" i="3" s="1"/>
  <c r="S191" i="3" s="1"/>
  <c r="S192" i="3" s="1"/>
  <c r="S193" i="3" s="1"/>
  <c r="S194" i="3" s="1"/>
  <c r="S195" i="3" s="1"/>
  <c r="S196" i="3" s="1"/>
  <c r="S197" i="3" s="1"/>
  <c r="S198" i="3" s="1"/>
  <c r="S199" i="3" s="1"/>
  <c r="S200" i="3" s="1"/>
  <c r="S201" i="3" s="1"/>
  <c r="S202" i="3" s="1"/>
  <c r="S203" i="3" s="1"/>
  <c r="S204" i="3" s="1"/>
  <c r="S205" i="3" s="1"/>
  <c r="S206" i="3" s="1"/>
  <c r="S207" i="3" s="1"/>
  <c r="S208" i="3" s="1"/>
  <c r="S209" i="3" s="1"/>
  <c r="S210" i="3" s="1"/>
  <c r="S211" i="3" s="1"/>
  <c r="S212" i="3" s="1"/>
  <c r="S213" i="3" s="1"/>
  <c r="S214" i="3" s="1"/>
  <c r="S215" i="3" s="1"/>
  <c r="S216" i="3" s="1"/>
  <c r="S217" i="3" s="1"/>
  <c r="S218" i="3" s="1"/>
  <c r="S219" i="3" s="1"/>
  <c r="S220" i="3" s="1"/>
  <c r="S221" i="3" s="1"/>
  <c r="S222" i="3" s="1"/>
  <c r="S223" i="3" s="1"/>
  <c r="S224" i="3" s="1"/>
  <c r="S225" i="3" s="1"/>
  <c r="S226" i="3" s="1"/>
  <c r="S227" i="3" s="1"/>
  <c r="S228" i="3" s="1"/>
  <c r="S229" i="3" s="1"/>
  <c r="S230" i="3" s="1"/>
  <c r="S231" i="3" s="1"/>
  <c r="S232" i="3" s="1"/>
  <c r="S233" i="3" s="1"/>
  <c r="S234" i="3" s="1"/>
  <c r="S235" i="3" s="1"/>
  <c r="S236" i="3" s="1"/>
  <c r="S237" i="3" s="1"/>
  <c r="S238" i="3" s="1"/>
  <c r="S239" i="3" s="1"/>
  <c r="S240" i="3" s="1"/>
  <c r="S241" i="3" s="1"/>
  <c r="S242" i="3" s="1"/>
  <c r="S243" i="3" s="1"/>
  <c r="S244" i="3" s="1"/>
  <c r="S245" i="3" s="1"/>
  <c r="S246" i="3" s="1"/>
  <c r="S247" i="3" s="1"/>
  <c r="S248" i="3" s="1"/>
  <c r="S249" i="3" s="1"/>
  <c r="S250" i="3" s="1"/>
  <c r="S251" i="3" s="1"/>
  <c r="S252" i="3" s="1"/>
  <c r="S253" i="3" s="1"/>
  <c r="S254" i="3" s="1"/>
  <c r="S255" i="3" s="1"/>
  <c r="S256" i="3" s="1"/>
  <c r="S257" i="3" s="1"/>
  <c r="S258" i="3" s="1"/>
  <c r="S259" i="3" s="1"/>
  <c r="S260" i="3" s="1"/>
  <c r="S261" i="3" s="1"/>
  <c r="S262" i="3" s="1"/>
  <c r="S263" i="3" s="1"/>
  <c r="S264" i="3" s="1"/>
  <c r="S265" i="3" s="1"/>
  <c r="S266" i="3" s="1"/>
  <c r="S267" i="3" s="1"/>
  <c r="S268" i="3" s="1"/>
  <c r="S269" i="3" s="1"/>
  <c r="S270" i="3" s="1"/>
  <c r="S271" i="3" s="1"/>
  <c r="S272" i="3" s="1"/>
  <c r="S273" i="3" s="1"/>
  <c r="S274" i="3" s="1"/>
  <c r="S275" i="3" s="1"/>
  <c r="S276" i="3" s="1"/>
  <c r="S277" i="3" s="1"/>
  <c r="S278" i="3" s="1"/>
  <c r="S279" i="3" s="1"/>
  <c r="S280" i="3" s="1"/>
  <c r="S281" i="3" s="1"/>
  <c r="S282" i="3" s="1"/>
  <c r="S283" i="3" s="1"/>
  <c r="S284" i="3" s="1"/>
  <c r="S285" i="3" s="1"/>
  <c r="S286" i="3" s="1"/>
  <c r="S287" i="3" s="1"/>
  <c r="S288" i="3" s="1"/>
  <c r="S289" i="3" s="1"/>
  <c r="S290" i="3" s="1"/>
  <c r="S291" i="3" s="1"/>
  <c r="S292" i="3" s="1"/>
  <c r="S293" i="3" s="1"/>
  <c r="S294" i="3" s="1"/>
  <c r="S295" i="3" s="1"/>
  <c r="S296" i="3" s="1"/>
  <c r="S297" i="3" s="1"/>
  <c r="S298" i="3" s="1"/>
  <c r="S299" i="3" s="1"/>
  <c r="S300" i="3" s="1"/>
  <c r="S301" i="3" s="1"/>
  <c r="S302" i="3" s="1"/>
  <c r="S303" i="3" s="1"/>
  <c r="S304" i="3" s="1"/>
  <c r="S305" i="3" s="1"/>
  <c r="S306" i="3" s="1"/>
  <c r="S307" i="3" s="1"/>
  <c r="S308" i="3" s="1"/>
  <c r="S309" i="3" s="1"/>
  <c r="S310" i="3" s="1"/>
  <c r="S311" i="3" s="1"/>
  <c r="S312" i="3" s="1"/>
  <c r="S313" i="3" s="1"/>
  <c r="S314" i="3" s="1"/>
  <c r="S315" i="3" s="1"/>
  <c r="S316" i="3" s="1"/>
  <c r="S317" i="3" s="1"/>
  <c r="S318" i="3" s="1"/>
  <c r="S319" i="3" s="1"/>
  <c r="S320" i="3" s="1"/>
  <c r="S321" i="3" s="1"/>
  <c r="S322" i="3" s="1"/>
  <c r="S323" i="3" s="1"/>
  <c r="S324" i="3" s="1"/>
  <c r="S325" i="3" s="1"/>
  <c r="S326" i="3" s="1"/>
  <c r="S327" i="3" s="1"/>
  <c r="S328" i="3" s="1"/>
  <c r="S329" i="3" s="1"/>
  <c r="S330" i="3" s="1"/>
  <c r="S331" i="3" s="1"/>
  <c r="S332" i="3" s="1"/>
  <c r="S333" i="3" s="1"/>
  <c r="S334" i="3" s="1"/>
  <c r="S335" i="3" s="1"/>
  <c r="S336" i="3" s="1"/>
  <c r="S337" i="3" s="1"/>
  <c r="S338" i="3" s="1"/>
  <c r="S339" i="3" s="1"/>
  <c r="S340" i="3" s="1"/>
  <c r="S341" i="3" s="1"/>
  <c r="S342" i="3" s="1"/>
  <c r="S343" i="3" s="1"/>
  <c r="S344" i="3" s="1"/>
  <c r="S345" i="3" s="1"/>
  <c r="S346" i="3" s="1"/>
  <c r="S347" i="3" s="1"/>
  <c r="S348" i="3" s="1"/>
  <c r="S349" i="3" s="1"/>
  <c r="S350" i="3" s="1"/>
  <c r="S351" i="3" s="1"/>
  <c r="S352" i="3" s="1"/>
  <c r="S353" i="3" s="1"/>
  <c r="S354" i="3" s="1"/>
  <c r="S355" i="3" s="1"/>
  <c r="S356" i="3" s="1"/>
  <c r="S357" i="3" s="1"/>
  <c r="S358" i="3" s="1"/>
  <c r="S359" i="3" s="1"/>
  <c r="S360" i="3" s="1"/>
  <c r="S361" i="3" s="1"/>
  <c r="S362" i="3" s="1"/>
  <c r="S363" i="3" s="1"/>
  <c r="S364" i="3" s="1"/>
  <c r="S365" i="3" s="1"/>
  <c r="S366" i="3" s="1"/>
  <c r="S367" i="3" s="1"/>
  <c r="S368" i="3" s="1"/>
  <c r="S369" i="3" s="1"/>
  <c r="S370" i="3" s="1"/>
  <c r="S371" i="3" s="1"/>
  <c r="S372" i="3" s="1"/>
  <c r="S373" i="3" s="1"/>
  <c r="S374" i="3" s="1"/>
  <c r="S375" i="3" s="1"/>
  <c r="S376" i="3" s="1"/>
  <c r="S377" i="3" s="1"/>
  <c r="S378" i="3" s="1"/>
  <c r="S379" i="3" s="1"/>
  <c r="S380" i="3" s="1"/>
  <c r="S381" i="3" s="1"/>
  <c r="S382" i="3" s="1"/>
  <c r="S383" i="3" s="1"/>
  <c r="S384" i="3" s="1"/>
  <c r="S385" i="3" s="1"/>
  <c r="S386" i="3" s="1"/>
  <c r="S387" i="3" s="1"/>
  <c r="S388" i="3" s="1"/>
  <c r="S389" i="3" s="1"/>
  <c r="S390" i="3" s="1"/>
  <c r="S391" i="3" s="1"/>
  <c r="S392" i="3" s="1"/>
  <c r="S393" i="3" s="1"/>
  <c r="S394" i="3" s="1"/>
  <c r="S395" i="3" s="1"/>
  <c r="S396" i="3" s="1"/>
  <c r="S397" i="3" s="1"/>
  <c r="S398" i="3" s="1"/>
  <c r="S399" i="3" s="1"/>
  <c r="S400" i="3" s="1"/>
  <c r="S401" i="3" s="1"/>
  <c r="S402" i="3" s="1"/>
  <c r="S403" i="3" s="1"/>
  <c r="S404" i="3" s="1"/>
  <c r="S405" i="3" s="1"/>
  <c r="S406" i="3" s="1"/>
  <c r="S407" i="3" s="1"/>
  <c r="S408" i="3" s="1"/>
  <c r="S409" i="3" s="1"/>
  <c r="S410" i="3" s="1"/>
  <c r="S411" i="3" s="1"/>
  <c r="S412" i="3" s="1"/>
  <c r="S413" i="3" s="1"/>
  <c r="S414" i="3" s="1"/>
  <c r="S415" i="3" s="1"/>
  <c r="S416" i="3" s="1"/>
  <c r="S417" i="3" s="1"/>
  <c r="S418" i="3" s="1"/>
  <c r="S419" i="3" s="1"/>
  <c r="S420" i="3" s="1"/>
  <c r="S421" i="3" s="1"/>
  <c r="S422" i="3" s="1"/>
  <c r="S423" i="3" s="1"/>
  <c r="S424" i="3" s="1"/>
  <c r="S425" i="3" s="1"/>
  <c r="S426" i="3" s="1"/>
  <c r="S427" i="3" s="1"/>
  <c r="S428" i="3" s="1"/>
  <c r="S429" i="3" s="1"/>
  <c r="S430" i="3" s="1"/>
  <c r="S431" i="3" s="1"/>
  <c r="S432" i="3" s="1"/>
  <c r="S433" i="3" s="1"/>
  <c r="S434" i="3" s="1"/>
  <c r="S435" i="3" s="1"/>
  <c r="S436" i="3" s="1"/>
  <c r="S437" i="3" s="1"/>
  <c r="S438" i="3" s="1"/>
  <c r="S439" i="3" s="1"/>
  <c r="S440" i="3" s="1"/>
  <c r="S441" i="3" s="1"/>
  <c r="S442" i="3" s="1"/>
  <c r="S443" i="3" s="1"/>
  <c r="S444" i="3" s="1"/>
  <c r="S445" i="3" s="1"/>
  <c r="S446" i="3" s="1"/>
  <c r="S447" i="3" s="1"/>
  <c r="S448" i="3" s="1"/>
  <c r="S449" i="3" s="1"/>
  <c r="S450" i="3" s="1"/>
  <c r="S451" i="3" s="1"/>
  <c r="S452" i="3" s="1"/>
  <c r="S453" i="3" s="1"/>
  <c r="S454" i="3" s="1"/>
  <c r="S455" i="3" s="1"/>
  <c r="S456" i="3" s="1"/>
  <c r="S457" i="3" s="1"/>
  <c r="S458" i="3" s="1"/>
  <c r="S459" i="3" s="1"/>
  <c r="S460" i="3" s="1"/>
  <c r="S461" i="3" s="1"/>
  <c r="S462" i="3" s="1"/>
  <c r="S463" i="3" s="1"/>
  <c r="S464" i="3" s="1"/>
  <c r="S465" i="3" s="1"/>
  <c r="S466" i="3" s="1"/>
  <c r="S467" i="3" s="1"/>
  <c r="S468" i="3" s="1"/>
  <c r="S469" i="3" s="1"/>
  <c r="S470" i="3" s="1"/>
  <c r="S471" i="3" s="1"/>
  <c r="S472" i="3" s="1"/>
  <c r="S473" i="3" s="1"/>
  <c r="S474" i="3" s="1"/>
  <c r="S475" i="3" s="1"/>
  <c r="S476" i="3" s="1"/>
  <c r="S477" i="3" s="1"/>
  <c r="S478" i="3" s="1"/>
  <c r="S479" i="3" s="1"/>
  <c r="S480" i="3" s="1"/>
  <c r="S481" i="3" s="1"/>
  <c r="S482" i="3" s="1"/>
  <c r="S483" i="3" s="1"/>
  <c r="S484" i="3" s="1"/>
  <c r="S485" i="3" s="1"/>
  <c r="S486" i="3" s="1"/>
  <c r="S487" i="3" s="1"/>
  <c r="S488" i="3" s="1"/>
  <c r="S489" i="3" s="1"/>
  <c r="S490" i="3" s="1"/>
  <c r="S491" i="3" s="1"/>
  <c r="S492" i="3" s="1"/>
  <c r="S493" i="3" s="1"/>
  <c r="S494" i="3" s="1"/>
  <c r="S495" i="3" s="1"/>
  <c r="S496" i="3" s="1"/>
  <c r="S497" i="3" s="1"/>
  <c r="S498" i="3" s="1"/>
  <c r="S499" i="3" s="1"/>
  <c r="S500" i="3" s="1"/>
  <c r="S501" i="3" s="1"/>
  <c r="S502" i="3" s="1"/>
  <c r="S503" i="3" s="1"/>
  <c r="S504" i="3" s="1"/>
  <c r="S505" i="3" s="1"/>
  <c r="S506" i="3" s="1"/>
  <c r="S507" i="3" s="1"/>
  <c r="S508" i="3" s="1"/>
  <c r="S509" i="3" s="1"/>
  <c r="S510" i="3" s="1"/>
  <c r="S511" i="3" s="1"/>
  <c r="S512" i="3" s="1"/>
  <c r="S513" i="3" s="1"/>
  <c r="S514" i="3" s="1"/>
  <c r="S515" i="3" s="1"/>
  <c r="S516" i="3" s="1"/>
  <c r="S517" i="3" s="1"/>
  <c r="S518" i="3" s="1"/>
  <c r="S519" i="3" s="1"/>
  <c r="S520" i="3" s="1"/>
  <c r="S521" i="3" s="1"/>
  <c r="S522" i="3" s="1"/>
  <c r="S523" i="3" s="1"/>
  <c r="S524" i="3" s="1"/>
  <c r="S525" i="3" s="1"/>
  <c r="S526" i="3" s="1"/>
  <c r="S527" i="3" s="1"/>
  <c r="S528" i="3" s="1"/>
  <c r="S529" i="3" s="1"/>
  <c r="S530" i="3" s="1"/>
  <c r="S531" i="3" s="1"/>
  <c r="S532" i="3" s="1"/>
  <c r="S533" i="3" s="1"/>
  <c r="S534" i="3" s="1"/>
  <c r="S535" i="3" s="1"/>
  <c r="S536" i="3" s="1"/>
  <c r="S537" i="3" s="1"/>
  <c r="S538" i="3" s="1"/>
  <c r="S539" i="3" s="1"/>
  <c r="S540" i="3" s="1"/>
  <c r="S541" i="3" s="1"/>
  <c r="S542" i="3" s="1"/>
  <c r="S543" i="3" s="1"/>
  <c r="S544" i="3" s="1"/>
  <c r="S545" i="3" s="1"/>
  <c r="S546" i="3" s="1"/>
  <c r="S547" i="3" s="1"/>
  <c r="S548" i="3" s="1"/>
  <c r="S549" i="3" s="1"/>
  <c r="S550" i="3" s="1"/>
  <c r="S551" i="3" s="1"/>
  <c r="S552" i="3" s="1"/>
  <c r="S553" i="3" s="1"/>
  <c r="S554" i="3" s="1"/>
  <c r="S555" i="3" s="1"/>
  <c r="S556" i="3" s="1"/>
  <c r="S557" i="3" s="1"/>
  <c r="S558" i="3" s="1"/>
  <c r="S559" i="3" s="1"/>
  <c r="S560" i="3" s="1"/>
  <c r="S561" i="3" s="1"/>
  <c r="S562" i="3" s="1"/>
  <c r="S563" i="3" s="1"/>
  <c r="S564" i="3" s="1"/>
  <c r="S565" i="3" s="1"/>
  <c r="S566" i="3" s="1"/>
  <c r="S567" i="3" s="1"/>
  <c r="S568" i="3" s="1"/>
  <c r="S569" i="3" s="1"/>
  <c r="S570" i="3" s="1"/>
  <c r="S571" i="3" s="1"/>
  <c r="S572" i="3" s="1"/>
  <c r="S573" i="3" s="1"/>
  <c r="S574" i="3" s="1"/>
  <c r="S575" i="3" s="1"/>
  <c r="S576" i="3" s="1"/>
  <c r="S577" i="3" s="1"/>
  <c r="S578" i="3" s="1"/>
  <c r="S579" i="3" s="1"/>
  <c r="S580" i="3" s="1"/>
  <c r="S581" i="3" s="1"/>
  <c r="S582" i="3" s="1"/>
  <c r="S583" i="3" s="1"/>
  <c r="S584" i="3" s="1"/>
  <c r="S585" i="3" s="1"/>
  <c r="S586" i="3" s="1"/>
  <c r="S587" i="3" s="1"/>
  <c r="S588" i="3" s="1"/>
  <c r="S589" i="3" s="1"/>
  <c r="S590" i="3" s="1"/>
  <c r="S591" i="3" s="1"/>
  <c r="S592" i="3" s="1"/>
  <c r="S593" i="3" s="1"/>
  <c r="S594" i="3" s="1"/>
  <c r="S595" i="3" s="1"/>
  <c r="S596" i="3" s="1"/>
  <c r="S597" i="3" s="1"/>
  <c r="S598" i="3" s="1"/>
  <c r="S599" i="3" s="1"/>
  <c r="S600" i="3" s="1"/>
  <c r="S601" i="3" s="1"/>
  <c r="S602" i="3" s="1"/>
  <c r="S603" i="3" s="1"/>
  <c r="S604" i="3" s="1"/>
  <c r="S605" i="3" s="1"/>
  <c r="S606" i="3" s="1"/>
  <c r="S607" i="3" s="1"/>
  <c r="S608" i="3" s="1"/>
  <c r="S609" i="3" s="1"/>
  <c r="S610" i="3" s="1"/>
  <c r="S611" i="3" s="1"/>
  <c r="S612" i="3" s="1"/>
  <c r="S613" i="3" s="1"/>
  <c r="S614" i="3" s="1"/>
  <c r="S615" i="3" s="1"/>
  <c r="S616" i="3" s="1"/>
  <c r="S617" i="3" s="1"/>
  <c r="S618" i="3" s="1"/>
  <c r="S619" i="3" s="1"/>
  <c r="S620" i="3" s="1"/>
  <c r="S621" i="3" s="1"/>
  <c r="S622" i="3" s="1"/>
  <c r="S623" i="3" s="1"/>
  <c r="S624" i="3" s="1"/>
  <c r="S625" i="3" s="1"/>
  <c r="S626" i="3" s="1"/>
  <c r="S627" i="3" s="1"/>
  <c r="S628" i="3" s="1"/>
  <c r="S629" i="3" s="1"/>
  <c r="S630" i="3" s="1"/>
  <c r="S631" i="3" s="1"/>
  <c r="S632" i="3" s="1"/>
  <c r="S633" i="3" s="1"/>
  <c r="S634" i="3" s="1"/>
  <c r="S635" i="3" s="1"/>
  <c r="S636" i="3" s="1"/>
  <c r="S637" i="3" s="1"/>
  <c r="S638" i="3" s="1"/>
  <c r="S639" i="3" s="1"/>
  <c r="S640" i="3" s="1"/>
  <c r="S641" i="3" s="1"/>
  <c r="S642" i="3" s="1"/>
  <c r="S643" i="3" s="1"/>
  <c r="S644" i="3" s="1"/>
  <c r="S645" i="3" s="1"/>
  <c r="S646" i="3" s="1"/>
  <c r="S647" i="3" s="1"/>
  <c r="S648" i="3" s="1"/>
  <c r="S649" i="3" s="1"/>
  <c r="S650" i="3" s="1"/>
  <c r="S651" i="3" s="1"/>
  <c r="S652" i="3" s="1"/>
  <c r="S653" i="3" s="1"/>
  <c r="S654" i="3" s="1"/>
  <c r="S655" i="3" s="1"/>
  <c r="S656" i="3" s="1"/>
  <c r="S657" i="3" s="1"/>
  <c r="S658" i="3" s="1"/>
  <c r="S659" i="3" s="1"/>
  <c r="S660" i="3" s="1"/>
  <c r="S661" i="3" s="1"/>
  <c r="S662" i="3" s="1"/>
  <c r="S663" i="3" s="1"/>
  <c r="S664" i="3" s="1"/>
  <c r="S665" i="3" s="1"/>
  <c r="S666" i="3" s="1"/>
  <c r="S667" i="3" s="1"/>
  <c r="S668" i="3" s="1"/>
  <c r="S669" i="3" s="1"/>
  <c r="S670" i="3" s="1"/>
  <c r="S671" i="3" s="1"/>
  <c r="S672" i="3" s="1"/>
  <c r="S673" i="3" s="1"/>
  <c r="S674" i="3" s="1"/>
  <c r="S675" i="3" s="1"/>
  <c r="S676" i="3" s="1"/>
  <c r="S677" i="3" s="1"/>
  <c r="S678" i="3" s="1"/>
  <c r="S679" i="3" s="1"/>
  <c r="S680" i="3" s="1"/>
  <c r="S681" i="3" s="1"/>
  <c r="S682" i="3" s="1"/>
  <c r="S683" i="3" s="1"/>
  <c r="S684" i="3" s="1"/>
  <c r="S685" i="3" s="1"/>
  <c r="S686" i="3" s="1"/>
  <c r="S687" i="3" s="1"/>
  <c r="S688" i="3" s="1"/>
  <c r="S689" i="3" s="1"/>
  <c r="S690" i="3" s="1"/>
  <c r="S691" i="3" s="1"/>
  <c r="S692" i="3" s="1"/>
  <c r="S693" i="3" s="1"/>
  <c r="S694" i="3" s="1"/>
  <c r="S695" i="3" s="1"/>
  <c r="S696" i="3" s="1"/>
  <c r="S697" i="3" s="1"/>
  <c r="S698" i="3" s="1"/>
  <c r="S699" i="3" s="1"/>
  <c r="S700" i="3" s="1"/>
  <c r="S701" i="3" s="1"/>
  <c r="S702" i="3" s="1"/>
  <c r="S703" i="3" s="1"/>
  <c r="S704" i="3" s="1"/>
  <c r="S705" i="3" s="1"/>
  <c r="S706" i="3" s="1"/>
  <c r="S707" i="3" s="1"/>
  <c r="S708" i="3" s="1"/>
  <c r="S709" i="3" s="1"/>
  <c r="S710" i="3" s="1"/>
  <c r="S711" i="3" s="1"/>
  <c r="S712" i="3" s="1"/>
  <c r="S713" i="3" s="1"/>
  <c r="S714" i="3" s="1"/>
  <c r="S715" i="3" s="1"/>
  <c r="S716" i="3" s="1"/>
  <c r="S717" i="3" s="1"/>
  <c r="S718" i="3" s="1"/>
  <c r="S719" i="3" s="1"/>
  <c r="S720" i="3" s="1"/>
  <c r="S721" i="3" s="1"/>
  <c r="S722" i="3" s="1"/>
  <c r="S723" i="3" s="1"/>
  <c r="S724" i="3" s="1"/>
  <c r="S725" i="3" s="1"/>
  <c r="S726" i="3" s="1"/>
  <c r="S727" i="3" s="1"/>
  <c r="S728" i="3" s="1"/>
  <c r="S729" i="3" s="1"/>
  <c r="S730" i="3" s="1"/>
  <c r="S731" i="3" s="1"/>
  <c r="S732" i="3" s="1"/>
  <c r="S733" i="3" s="1"/>
  <c r="S734" i="3" s="1"/>
  <c r="S735" i="3" s="1"/>
  <c r="S736" i="3" s="1"/>
  <c r="S737" i="3" s="1"/>
  <c r="S738" i="3" s="1"/>
  <c r="S739" i="3" s="1"/>
  <c r="S740" i="3" s="1"/>
  <c r="S741" i="3" s="1"/>
  <c r="S742" i="3" s="1"/>
  <c r="S743" i="3" s="1"/>
  <c r="S744" i="3" s="1"/>
  <c r="S745" i="3" s="1"/>
  <c r="S746" i="3" s="1"/>
  <c r="S747" i="3" s="1"/>
  <c r="S748" i="3" s="1"/>
  <c r="S749" i="3" s="1"/>
  <c r="S750" i="3" s="1"/>
  <c r="S751" i="3" s="1"/>
  <c r="S752" i="3" s="1"/>
  <c r="S753" i="3" s="1"/>
  <c r="S754" i="3" s="1"/>
  <c r="S755" i="3" s="1"/>
  <c r="S756" i="3" s="1"/>
  <c r="S757" i="3" s="1"/>
  <c r="S758" i="3" s="1"/>
  <c r="S759" i="3" s="1"/>
  <c r="S760" i="3" s="1"/>
  <c r="S761" i="3" s="1"/>
  <c r="S762" i="3" s="1"/>
  <c r="S763" i="3" s="1"/>
  <c r="S764" i="3" s="1"/>
  <c r="S765" i="3" s="1"/>
  <c r="S766" i="3" s="1"/>
  <c r="S767" i="3" s="1"/>
  <c r="S768" i="3" s="1"/>
  <c r="S769" i="3" s="1"/>
  <c r="S770" i="3" s="1"/>
  <c r="S771" i="3" s="1"/>
  <c r="S772" i="3" s="1"/>
  <c r="S773" i="3" s="1"/>
  <c r="S774" i="3" s="1"/>
  <c r="S775" i="3" s="1"/>
  <c r="S776" i="3" s="1"/>
  <c r="S777" i="3" s="1"/>
  <c r="S778" i="3" s="1"/>
  <c r="S779" i="3" s="1"/>
  <c r="S780" i="3" s="1"/>
  <c r="S781" i="3" s="1"/>
  <c r="S782" i="3" s="1"/>
  <c r="S783" i="3" s="1"/>
  <c r="S784" i="3" s="1"/>
  <c r="S785" i="3" s="1"/>
  <c r="S786" i="3" s="1"/>
  <c r="S787" i="3" s="1"/>
  <c r="S788" i="3" s="1"/>
  <c r="S789" i="3" s="1"/>
  <c r="S790" i="3" s="1"/>
  <c r="S791" i="3" s="1"/>
  <c r="S792" i="3" s="1"/>
  <c r="S793" i="3" s="1"/>
  <c r="S794" i="3" s="1"/>
  <c r="S795" i="3" s="1"/>
  <c r="S796" i="3" s="1"/>
  <c r="S797" i="3" s="1"/>
  <c r="S798" i="3" s="1"/>
  <c r="S799" i="3" s="1"/>
  <c r="S800" i="3" s="1"/>
  <c r="S801" i="3" s="1"/>
  <c r="S802" i="3" s="1"/>
  <c r="S803" i="3" s="1"/>
  <c r="S804" i="3" s="1"/>
  <c r="S805" i="3" s="1"/>
  <c r="S806" i="3" s="1"/>
  <c r="S807" i="3" s="1"/>
  <c r="S808" i="3" s="1"/>
  <c r="S809" i="3" s="1"/>
  <c r="S810" i="3" s="1"/>
  <c r="S811" i="3" s="1"/>
  <c r="S812" i="3" s="1"/>
  <c r="S813" i="3" s="1"/>
  <c r="S814" i="3" s="1"/>
  <c r="S815" i="3" s="1"/>
  <c r="S816" i="3" s="1"/>
  <c r="S817" i="3" s="1"/>
  <c r="S818" i="3" s="1"/>
  <c r="S819" i="3" s="1"/>
  <c r="S820" i="3" s="1"/>
  <c r="S821" i="3" s="1"/>
  <c r="S822" i="3" s="1"/>
  <c r="S823" i="3" s="1"/>
  <c r="S824" i="3" s="1"/>
  <c r="S825" i="3" s="1"/>
  <c r="S826" i="3" s="1"/>
  <c r="S827" i="3" s="1"/>
  <c r="S828" i="3" s="1"/>
  <c r="S829" i="3" s="1"/>
  <c r="S830" i="3" s="1"/>
  <c r="S831" i="3" s="1"/>
  <c r="S832" i="3" s="1"/>
  <c r="S833" i="3" s="1"/>
  <c r="S834" i="3" s="1"/>
  <c r="S835" i="3" s="1"/>
  <c r="S836" i="3" s="1"/>
  <c r="S837" i="3" s="1"/>
  <c r="S838" i="3" s="1"/>
  <c r="S839" i="3" s="1"/>
  <c r="S840" i="3" s="1"/>
  <c r="S841" i="3" s="1"/>
  <c r="S842" i="3" s="1"/>
  <c r="S843" i="3" s="1"/>
  <c r="S844" i="3" s="1"/>
  <c r="S845" i="3" s="1"/>
  <c r="S846" i="3" s="1"/>
  <c r="S847" i="3" s="1"/>
  <c r="S848" i="3" s="1"/>
  <c r="S849" i="3" s="1"/>
  <c r="S850" i="3" s="1"/>
  <c r="S851" i="3" s="1"/>
  <c r="S852" i="3" s="1"/>
  <c r="S853" i="3" s="1"/>
  <c r="S854" i="3" s="1"/>
  <c r="S855" i="3" s="1"/>
  <c r="S856" i="3" s="1"/>
  <c r="S857" i="3" s="1"/>
  <c r="S858" i="3" s="1"/>
  <c r="S859" i="3" s="1"/>
  <c r="S860" i="3" s="1"/>
  <c r="S861" i="3" s="1"/>
  <c r="S862" i="3" s="1"/>
  <c r="S863" i="3" s="1"/>
  <c r="S864" i="3" s="1"/>
  <c r="S865" i="3" s="1"/>
  <c r="S866" i="3" s="1"/>
  <c r="S867" i="3" s="1"/>
  <c r="S868" i="3" s="1"/>
  <c r="S869" i="3" s="1"/>
  <c r="S870" i="3" s="1"/>
  <c r="S871" i="3" s="1"/>
  <c r="S872" i="3" s="1"/>
  <c r="S873" i="3" s="1"/>
  <c r="S874" i="3" s="1"/>
  <c r="S875" i="3" s="1"/>
  <c r="S876" i="3" s="1"/>
  <c r="S877" i="3" s="1"/>
  <c r="S878" i="3" s="1"/>
  <c r="S879" i="3" s="1"/>
  <c r="S880" i="3" s="1"/>
  <c r="S881" i="3" s="1"/>
  <c r="S882" i="3" s="1"/>
  <c r="S883" i="3" s="1"/>
  <c r="S884" i="3" s="1"/>
  <c r="S885" i="3" s="1"/>
  <c r="S886" i="3" s="1"/>
  <c r="S887" i="3" s="1"/>
  <c r="S888" i="3" s="1"/>
  <c r="S889" i="3" s="1"/>
  <c r="S890" i="3" s="1"/>
  <c r="S891" i="3" s="1"/>
  <c r="S892" i="3" s="1"/>
  <c r="S893" i="3" s="1"/>
  <c r="S894" i="3" s="1"/>
  <c r="S895" i="3" s="1"/>
  <c r="S896" i="3" s="1"/>
  <c r="S897" i="3" s="1"/>
  <c r="S898" i="3" s="1"/>
  <c r="S899" i="3" s="1"/>
  <c r="S900" i="3" s="1"/>
  <c r="S901" i="3" s="1"/>
  <c r="S902" i="3" s="1"/>
  <c r="S903" i="3" s="1"/>
  <c r="S904" i="3" s="1"/>
  <c r="S905" i="3" s="1"/>
  <c r="S906" i="3" s="1"/>
  <c r="S907" i="3" s="1"/>
  <c r="S908" i="3" s="1"/>
  <c r="S909" i="3" s="1"/>
  <c r="S910" i="3" s="1"/>
  <c r="S911" i="3" s="1"/>
  <c r="S912" i="3" s="1"/>
  <c r="S913" i="3" s="1"/>
  <c r="S914" i="3" s="1"/>
  <c r="S915" i="3" s="1"/>
  <c r="S916" i="3" s="1"/>
  <c r="S917" i="3" s="1"/>
  <c r="S918" i="3" s="1"/>
  <c r="S919" i="3" s="1"/>
  <c r="S920" i="3" s="1"/>
  <c r="S921" i="3" s="1"/>
  <c r="S922" i="3" s="1"/>
  <c r="S923" i="3" s="1"/>
  <c r="S924" i="3" s="1"/>
  <c r="S925" i="3" s="1"/>
  <c r="S926" i="3" s="1"/>
  <c r="S927" i="3" s="1"/>
  <c r="S928" i="3" s="1"/>
  <c r="S929" i="3" s="1"/>
  <c r="S930" i="3" s="1"/>
  <c r="S931" i="3" s="1"/>
  <c r="S932" i="3" s="1"/>
  <c r="S933" i="3" s="1"/>
  <c r="S934" i="3" s="1"/>
  <c r="S935" i="3" s="1"/>
  <c r="S936" i="3" s="1"/>
  <c r="S937" i="3" s="1"/>
  <c r="S938" i="3" s="1"/>
  <c r="S939" i="3" s="1"/>
  <c r="S940" i="3" s="1"/>
  <c r="S941" i="3" s="1"/>
  <c r="S942" i="3" s="1"/>
  <c r="S943" i="3" s="1"/>
  <c r="S944" i="3" s="1"/>
  <c r="S945" i="3" s="1"/>
  <c r="S946" i="3" s="1"/>
  <c r="S947" i="3" s="1"/>
  <c r="S948" i="3" s="1"/>
  <c r="S949" i="3" s="1"/>
  <c r="S950" i="3" s="1"/>
  <c r="S951" i="3" s="1"/>
  <c r="S952" i="3" s="1"/>
  <c r="S953" i="3" s="1"/>
  <c r="S954" i="3" s="1"/>
  <c r="S955" i="3" s="1"/>
  <c r="S956" i="3" s="1"/>
  <c r="S957" i="3" s="1"/>
  <c r="S958" i="3" s="1"/>
  <c r="S959" i="3" s="1"/>
  <c r="S960" i="3" s="1"/>
  <c r="S961" i="3" s="1"/>
  <c r="S962" i="3" s="1"/>
  <c r="S963" i="3" s="1"/>
  <c r="S964" i="3" s="1"/>
  <c r="S965" i="3" s="1"/>
  <c r="S966" i="3" s="1"/>
  <c r="S967" i="3" s="1"/>
  <c r="S968" i="3" s="1"/>
  <c r="S969" i="3" s="1"/>
  <c r="S970" i="3" s="1"/>
  <c r="S971" i="3" s="1"/>
  <c r="S972" i="3" s="1"/>
  <c r="S973" i="3" s="1"/>
  <c r="S974" i="3" s="1"/>
  <c r="S975" i="3" s="1"/>
  <c r="S976" i="3" s="1"/>
  <c r="S977" i="3" s="1"/>
  <c r="S978" i="3" s="1"/>
  <c r="S979" i="3" s="1"/>
  <c r="S980" i="3" s="1"/>
  <c r="S981" i="3" s="1"/>
  <c r="S982" i="3" s="1"/>
  <c r="S983" i="3" s="1"/>
  <c r="S984" i="3" s="1"/>
  <c r="S985" i="3" s="1"/>
  <c r="S986" i="3" s="1"/>
  <c r="S987" i="3" s="1"/>
  <c r="S988" i="3" s="1"/>
  <c r="S989" i="3" s="1"/>
  <c r="S990" i="3" s="1"/>
  <c r="S991" i="3" s="1"/>
  <c r="S992" i="3" s="1"/>
  <c r="S993" i="3" s="1"/>
  <c r="S994" i="3" s="1"/>
  <c r="S995" i="3" s="1"/>
  <c r="S996" i="3" s="1"/>
  <c r="S997" i="3" s="1"/>
  <c r="S998" i="3" s="1"/>
  <c r="S999" i="3" s="1"/>
  <c r="S1000" i="3" s="1"/>
  <c r="S1001" i="3" s="1"/>
  <c r="S1002" i="3" s="1"/>
  <c r="S1003" i="3" s="1"/>
  <c r="S1004" i="3" s="1"/>
  <c r="S1005" i="3" s="1"/>
  <c r="S1006" i="3" s="1"/>
  <c r="S1007" i="3" s="1"/>
  <c r="S1008" i="3" s="1"/>
  <c r="S1009" i="3" s="1"/>
  <c r="S1010" i="3" s="1"/>
  <c r="S1011" i="3" s="1"/>
  <c r="S1012" i="3" s="1"/>
  <c r="S1013" i="3" s="1"/>
  <c r="S1014" i="3" s="1"/>
  <c r="S1015" i="3" s="1"/>
  <c r="S1016" i="3" s="1"/>
  <c r="S1017" i="3" s="1"/>
  <c r="S1018" i="3" s="1"/>
  <c r="S1019" i="3" s="1"/>
  <c r="S1020" i="3" s="1"/>
  <c r="S1021" i="3" s="1"/>
  <c r="S1022" i="3" s="1"/>
  <c r="S1023" i="3" s="1"/>
  <c r="S1024" i="3" s="1"/>
  <c r="S1025" i="3" s="1"/>
  <c r="S1026" i="3" s="1"/>
  <c r="S1027" i="3" s="1"/>
  <c r="S1028" i="3" s="1"/>
  <c r="S1029" i="3" s="1"/>
  <c r="S1030" i="3" s="1"/>
  <c r="S1031" i="3" s="1"/>
  <c r="S1032" i="3" s="1"/>
  <c r="E6" i="11" l="1"/>
  <c r="E6" i="12"/>
  <c r="E6" i="13"/>
  <c r="U18" i="13"/>
  <c r="U19" i="13"/>
  <c r="U17" i="13"/>
  <c r="D12" i="13"/>
  <c r="D11" i="13"/>
  <c r="U61" i="12"/>
  <c r="U62" i="12"/>
  <c r="U63" i="12"/>
  <c r="U64" i="12"/>
  <c r="U65" i="12"/>
  <c r="U66" i="12"/>
  <c r="U67" i="12"/>
  <c r="U68" i="12"/>
  <c r="U69" i="12"/>
  <c r="U70" i="12"/>
  <c r="U71" i="12"/>
  <c r="U72" i="12"/>
  <c r="U73" i="12"/>
  <c r="U74" i="12"/>
  <c r="U75" i="12"/>
  <c r="U76" i="12"/>
  <c r="U77" i="12"/>
  <c r="U78" i="12"/>
  <c r="U79" i="12"/>
  <c r="U80" i="12"/>
  <c r="U81" i="12"/>
  <c r="U82" i="12"/>
  <c r="U83" i="12"/>
  <c r="U84" i="12"/>
  <c r="U85" i="12"/>
  <c r="U86" i="12"/>
  <c r="U87" i="12"/>
  <c r="U88" i="12"/>
  <c r="U89" i="12"/>
  <c r="U90" i="12"/>
  <c r="U91" i="12"/>
  <c r="U92" i="12"/>
  <c r="U93" i="12"/>
  <c r="U94" i="12"/>
  <c r="U95" i="12"/>
  <c r="U96" i="12"/>
  <c r="U97" i="12"/>
  <c r="U98" i="12"/>
  <c r="U99" i="12"/>
  <c r="U100" i="12"/>
  <c r="U101" i="12"/>
  <c r="U102" i="12"/>
  <c r="U103" i="12"/>
  <c r="U104" i="12"/>
  <c r="U105" i="12"/>
  <c r="U106" i="12"/>
  <c r="U107" i="12"/>
  <c r="U108" i="12"/>
  <c r="U109" i="12"/>
  <c r="U110" i="12"/>
  <c r="U111" i="12"/>
  <c r="U112" i="12"/>
  <c r="U113" i="12"/>
  <c r="U114" i="12"/>
  <c r="U115" i="12"/>
  <c r="U116" i="12"/>
  <c r="U117" i="12"/>
  <c r="U118" i="12"/>
  <c r="U119" i="12"/>
  <c r="U120" i="12"/>
  <c r="U121" i="12"/>
  <c r="U122" i="12"/>
  <c r="U123" i="12"/>
  <c r="U124" i="12"/>
  <c r="U125" i="12"/>
  <c r="U126" i="12"/>
  <c r="U127" i="12"/>
  <c r="U128" i="12"/>
  <c r="U129" i="12"/>
  <c r="U130" i="12"/>
  <c r="U131" i="12"/>
  <c r="U132" i="12"/>
  <c r="U133" i="12"/>
  <c r="U134" i="12"/>
  <c r="U135" i="12"/>
  <c r="U136" i="12"/>
  <c r="U137" i="12"/>
  <c r="U138" i="12"/>
  <c r="U139" i="12"/>
  <c r="U140" i="12"/>
  <c r="U141" i="12"/>
  <c r="U142" i="12"/>
  <c r="U143" i="12"/>
  <c r="U144" i="12"/>
  <c r="U145" i="12"/>
  <c r="U146" i="12"/>
  <c r="U147" i="12"/>
  <c r="U148" i="12"/>
  <c r="U149" i="12"/>
  <c r="U150" i="12"/>
  <c r="U151" i="12"/>
  <c r="U152" i="12"/>
  <c r="U153" i="12"/>
  <c r="U154" i="12"/>
  <c r="U155" i="12"/>
  <c r="U156" i="12"/>
  <c r="U157" i="12"/>
  <c r="U158" i="12"/>
  <c r="U159" i="12"/>
  <c r="U160" i="12"/>
  <c r="U161" i="12"/>
  <c r="U162" i="12"/>
  <c r="U163" i="12"/>
  <c r="U164" i="12"/>
  <c r="U165" i="12"/>
  <c r="U166" i="12"/>
  <c r="U167" i="12"/>
  <c r="U168" i="12"/>
  <c r="U169" i="12"/>
  <c r="U170" i="12"/>
  <c r="U171" i="12"/>
  <c r="U172" i="12"/>
  <c r="U173" i="12"/>
  <c r="U174" i="12"/>
  <c r="U175" i="12"/>
  <c r="U176" i="12"/>
  <c r="U177" i="12"/>
  <c r="U178" i="12"/>
  <c r="U179" i="12"/>
  <c r="U180" i="12"/>
  <c r="U181" i="12"/>
  <c r="U182" i="12"/>
  <c r="U183" i="12"/>
  <c r="U184" i="12"/>
  <c r="U185" i="12"/>
  <c r="U186" i="12"/>
  <c r="U187" i="12"/>
  <c r="U188" i="12"/>
  <c r="U189" i="12"/>
  <c r="U190" i="12"/>
  <c r="U191" i="12"/>
  <c r="U192" i="12"/>
  <c r="U193" i="12"/>
  <c r="U194" i="12"/>
  <c r="U195" i="12"/>
  <c r="U196" i="12"/>
  <c r="U197" i="12"/>
  <c r="U198" i="12"/>
  <c r="U199" i="12"/>
  <c r="U200" i="12"/>
  <c r="U201" i="12"/>
  <c r="U202" i="12"/>
  <c r="U203" i="12"/>
  <c r="U204" i="12"/>
  <c r="U205" i="12"/>
  <c r="U206" i="12"/>
  <c r="U207" i="12"/>
  <c r="U208" i="12"/>
  <c r="U209" i="12"/>
  <c r="U210" i="12"/>
  <c r="U211" i="12"/>
  <c r="U212" i="12"/>
  <c r="U213" i="12"/>
  <c r="U214" i="12"/>
  <c r="U215" i="12"/>
  <c r="U216" i="12"/>
  <c r="U217" i="12"/>
  <c r="U218" i="12"/>
  <c r="U219" i="12"/>
  <c r="U220" i="12"/>
  <c r="U221" i="12"/>
  <c r="U222" i="12"/>
  <c r="U223" i="12"/>
  <c r="U224" i="12"/>
  <c r="U225" i="12"/>
  <c r="U226" i="12"/>
  <c r="U227" i="12"/>
  <c r="U228" i="12"/>
  <c r="U229" i="12"/>
  <c r="U230" i="12"/>
  <c r="U231" i="12"/>
  <c r="U232" i="12"/>
  <c r="U233" i="12"/>
  <c r="U234" i="12"/>
  <c r="U235" i="12"/>
  <c r="U236" i="12"/>
  <c r="U237" i="12"/>
  <c r="U238" i="12"/>
  <c r="U239" i="12"/>
  <c r="U240" i="12"/>
  <c r="U241" i="12"/>
  <c r="U242" i="12"/>
  <c r="U243" i="12"/>
  <c r="U244" i="12"/>
  <c r="U245" i="12"/>
  <c r="U246" i="12"/>
  <c r="U247" i="12"/>
  <c r="U248" i="12"/>
  <c r="U249" i="12"/>
  <c r="U250" i="12"/>
  <c r="U251" i="12"/>
  <c r="U252" i="12"/>
  <c r="U253" i="12"/>
  <c r="U254" i="12"/>
  <c r="U255" i="12"/>
  <c r="U256" i="12"/>
  <c r="U257" i="12"/>
  <c r="U258" i="12"/>
  <c r="U259" i="12"/>
  <c r="U260" i="12"/>
  <c r="U261" i="12"/>
  <c r="U262" i="12"/>
  <c r="U263" i="12"/>
  <c r="U264" i="12"/>
  <c r="U265" i="12"/>
  <c r="U266" i="12"/>
  <c r="U267" i="12"/>
  <c r="U268" i="12"/>
  <c r="U269" i="12"/>
  <c r="U270" i="12"/>
  <c r="U271" i="12"/>
  <c r="U272" i="12"/>
  <c r="U273" i="12"/>
  <c r="U274" i="12"/>
  <c r="U275" i="12"/>
  <c r="U276" i="12"/>
  <c r="U277" i="12"/>
  <c r="U278" i="12"/>
  <c r="U279" i="12"/>
  <c r="U280" i="12"/>
  <c r="U281" i="12"/>
  <c r="U282" i="12"/>
  <c r="U283" i="12"/>
  <c r="U284" i="12"/>
  <c r="U285" i="12"/>
  <c r="U286" i="12"/>
  <c r="U287" i="12"/>
  <c r="U288" i="12"/>
  <c r="U289" i="12"/>
  <c r="U290" i="12"/>
  <c r="U291" i="12"/>
  <c r="U292" i="12"/>
  <c r="U293" i="12"/>
  <c r="U294" i="12"/>
  <c r="U295" i="12"/>
  <c r="U296" i="12"/>
  <c r="U297" i="12"/>
  <c r="U298" i="12"/>
  <c r="U299" i="12"/>
  <c r="U300" i="12"/>
  <c r="U301" i="12"/>
  <c r="U302" i="12"/>
  <c r="U303" i="12"/>
  <c r="U304" i="12"/>
  <c r="U305" i="12"/>
  <c r="U306" i="12"/>
  <c r="U307" i="12"/>
  <c r="U308" i="12"/>
  <c r="U309" i="12"/>
  <c r="U310" i="12"/>
  <c r="U311" i="12"/>
  <c r="U312" i="12"/>
  <c r="U313" i="12"/>
  <c r="U314" i="12"/>
  <c r="U315" i="12"/>
  <c r="U316" i="12"/>
  <c r="U317" i="12"/>
  <c r="U318" i="12"/>
  <c r="U319" i="12"/>
  <c r="U320" i="12"/>
  <c r="U321" i="12"/>
  <c r="U322" i="12"/>
  <c r="U323" i="12"/>
  <c r="U324" i="12"/>
  <c r="U325" i="12"/>
  <c r="U326" i="12"/>
  <c r="U327" i="12"/>
  <c r="U328" i="12"/>
  <c r="U329" i="12"/>
  <c r="U330" i="12"/>
  <c r="U331" i="12"/>
  <c r="U332" i="12"/>
  <c r="U333" i="12"/>
  <c r="U334" i="12"/>
  <c r="U335" i="12"/>
  <c r="U336" i="12"/>
  <c r="U337" i="12"/>
  <c r="U338" i="12"/>
  <c r="U339" i="12"/>
  <c r="U340" i="12"/>
  <c r="U341" i="12"/>
  <c r="U342" i="12"/>
  <c r="U343" i="12"/>
  <c r="U344" i="12"/>
  <c r="U345" i="12"/>
  <c r="U346" i="12"/>
  <c r="U347" i="12"/>
  <c r="U348" i="12"/>
  <c r="U349" i="12"/>
  <c r="U350" i="12"/>
  <c r="U351" i="12"/>
  <c r="U352" i="12"/>
  <c r="U353" i="12"/>
  <c r="U354" i="12"/>
  <c r="U355" i="12"/>
  <c r="U356" i="12"/>
  <c r="U357" i="12"/>
  <c r="U358" i="12"/>
  <c r="U359" i="12"/>
  <c r="U360" i="12"/>
  <c r="U361" i="12"/>
  <c r="U362" i="12"/>
  <c r="U363" i="12"/>
  <c r="U364" i="12"/>
  <c r="U365" i="12"/>
  <c r="U366" i="12"/>
  <c r="U367" i="12"/>
  <c r="U368" i="12"/>
  <c r="U369" i="12"/>
  <c r="U370" i="12"/>
  <c r="U371" i="12"/>
  <c r="U372" i="12"/>
  <c r="U373" i="12"/>
  <c r="U374" i="12"/>
  <c r="U375" i="12"/>
  <c r="U376" i="12"/>
  <c r="U377" i="12"/>
  <c r="U378" i="12"/>
  <c r="U379" i="12"/>
  <c r="U380" i="12"/>
  <c r="U381" i="12"/>
  <c r="U382" i="12"/>
  <c r="U383" i="12"/>
  <c r="U384" i="12"/>
  <c r="U385" i="12"/>
  <c r="U386" i="12"/>
  <c r="U387" i="12"/>
  <c r="U388" i="12"/>
  <c r="U389" i="12"/>
  <c r="U390" i="12"/>
  <c r="U391" i="12"/>
  <c r="U392" i="12"/>
  <c r="U393" i="12"/>
  <c r="U394" i="12"/>
  <c r="U395" i="12"/>
  <c r="U396" i="12"/>
  <c r="U397" i="12"/>
  <c r="U398" i="12"/>
  <c r="U399" i="12"/>
  <c r="U400" i="12"/>
  <c r="U401" i="12"/>
  <c r="U402" i="12"/>
  <c r="U403" i="12"/>
  <c r="U404" i="12"/>
  <c r="U405" i="12"/>
  <c r="U406" i="12"/>
  <c r="U407" i="12"/>
  <c r="U408" i="12"/>
  <c r="U409" i="12"/>
  <c r="U410" i="12"/>
  <c r="U411" i="12"/>
  <c r="U412" i="12"/>
  <c r="U413" i="12"/>
  <c r="U414" i="12"/>
  <c r="U415" i="12"/>
  <c r="U416" i="12"/>
  <c r="U417" i="12"/>
  <c r="U418" i="12"/>
  <c r="U419" i="12"/>
  <c r="U420" i="12"/>
  <c r="U421" i="12"/>
  <c r="U422" i="12"/>
  <c r="U423" i="12"/>
  <c r="U424" i="12"/>
  <c r="U425" i="12"/>
  <c r="U426" i="12"/>
  <c r="U427" i="12"/>
  <c r="U428" i="12"/>
  <c r="U429" i="12"/>
  <c r="U430" i="12"/>
  <c r="U431" i="12"/>
  <c r="U432" i="12"/>
  <c r="U433" i="12"/>
  <c r="U434" i="12"/>
  <c r="U435" i="12"/>
  <c r="U436" i="12"/>
  <c r="U437" i="12"/>
  <c r="U438" i="12"/>
  <c r="U439" i="12"/>
  <c r="U440" i="12"/>
  <c r="U441" i="12"/>
  <c r="U442" i="12"/>
  <c r="U443" i="12"/>
  <c r="U444" i="12"/>
  <c r="U445" i="12"/>
  <c r="U446" i="12"/>
  <c r="U447" i="12"/>
  <c r="U448" i="12"/>
  <c r="U449" i="12"/>
  <c r="U450" i="12"/>
  <c r="U451" i="12"/>
  <c r="U452" i="12"/>
  <c r="U453" i="12"/>
  <c r="U454" i="12"/>
  <c r="U455" i="12"/>
  <c r="U456" i="12"/>
  <c r="U457" i="12"/>
  <c r="U458" i="12"/>
  <c r="U459" i="12"/>
  <c r="U460" i="12"/>
  <c r="U461" i="12"/>
  <c r="U462" i="12"/>
  <c r="U463" i="12"/>
  <c r="U464" i="12"/>
  <c r="U465" i="12"/>
  <c r="U466" i="12"/>
  <c r="U467" i="12"/>
  <c r="U468" i="12"/>
  <c r="U469" i="12"/>
  <c r="U470" i="12"/>
  <c r="U471" i="12"/>
  <c r="U472" i="12"/>
  <c r="U473" i="12"/>
  <c r="U474" i="12"/>
  <c r="U475" i="12"/>
  <c r="U476" i="12"/>
  <c r="U477" i="12"/>
  <c r="U478" i="12"/>
  <c r="U479" i="12"/>
  <c r="U480" i="12"/>
  <c r="U481" i="12"/>
  <c r="U482" i="12"/>
  <c r="U483" i="12"/>
  <c r="U484" i="12"/>
  <c r="U485" i="12"/>
  <c r="U486" i="12"/>
  <c r="U487" i="12"/>
  <c r="U488" i="12"/>
  <c r="U489" i="12"/>
  <c r="U490" i="12"/>
  <c r="U491" i="12"/>
  <c r="U492" i="12"/>
  <c r="U493" i="12"/>
  <c r="U494" i="12"/>
  <c r="U495" i="12"/>
  <c r="U496" i="12"/>
  <c r="U497" i="12"/>
  <c r="U498" i="12"/>
  <c r="U499" i="12"/>
  <c r="U500" i="12"/>
  <c r="U501" i="12"/>
  <c r="U502" i="12"/>
  <c r="U503" i="12"/>
  <c r="U504" i="12"/>
  <c r="U505" i="12"/>
  <c r="U506" i="12"/>
  <c r="U507" i="12"/>
  <c r="U508" i="12"/>
  <c r="U509" i="12"/>
  <c r="U510" i="12"/>
  <c r="U511" i="12"/>
  <c r="U512" i="12"/>
  <c r="U513" i="12"/>
  <c r="U514" i="12"/>
  <c r="U515" i="12"/>
  <c r="U516" i="12"/>
  <c r="U517" i="12"/>
  <c r="U518" i="12"/>
  <c r="U519" i="12"/>
  <c r="U520" i="12"/>
  <c r="U521" i="12"/>
  <c r="U522" i="12"/>
  <c r="U523" i="12"/>
  <c r="U524" i="12"/>
  <c r="U525" i="12"/>
  <c r="U526" i="12"/>
  <c r="U527" i="12"/>
  <c r="U528" i="12"/>
  <c r="U529" i="12"/>
  <c r="U530" i="12"/>
  <c r="U531" i="12"/>
  <c r="U532" i="12"/>
  <c r="U533" i="12"/>
  <c r="U534" i="12"/>
  <c r="U535" i="12"/>
  <c r="U536" i="12"/>
  <c r="U537" i="12"/>
  <c r="U538" i="12"/>
  <c r="U539" i="12"/>
  <c r="U540" i="12"/>
  <c r="U541" i="12"/>
  <c r="U542" i="12"/>
  <c r="U543" i="12"/>
  <c r="U544" i="12"/>
  <c r="U545" i="12"/>
  <c r="U546" i="12"/>
  <c r="U547" i="12"/>
  <c r="U548" i="12"/>
  <c r="U549" i="12"/>
  <c r="U550" i="12"/>
  <c r="U551" i="12"/>
  <c r="U552" i="12"/>
  <c r="U553" i="12"/>
  <c r="U554" i="12"/>
  <c r="U555" i="12"/>
  <c r="U556" i="12"/>
  <c r="U557" i="12"/>
  <c r="U558" i="12"/>
  <c r="U559" i="12"/>
  <c r="U560" i="12"/>
  <c r="U561" i="12"/>
  <c r="U562" i="12"/>
  <c r="U563" i="12"/>
  <c r="U564" i="12"/>
  <c r="U565" i="12"/>
  <c r="U566" i="12"/>
  <c r="U567" i="12"/>
  <c r="U568" i="12"/>
  <c r="U569" i="12"/>
  <c r="U570" i="12"/>
  <c r="U571" i="12"/>
  <c r="U572" i="12"/>
  <c r="U573" i="12"/>
  <c r="U574" i="12"/>
  <c r="U575" i="12"/>
  <c r="U576" i="12"/>
  <c r="U577" i="12"/>
  <c r="U578" i="12"/>
  <c r="U579" i="12"/>
  <c r="U580" i="12"/>
  <c r="U581" i="12"/>
  <c r="U582" i="12"/>
  <c r="U583" i="12"/>
  <c r="U584" i="12"/>
  <c r="U585" i="12"/>
  <c r="U586" i="12"/>
  <c r="U587" i="12"/>
  <c r="U588" i="12"/>
  <c r="U589" i="12"/>
  <c r="U590" i="12"/>
  <c r="U591" i="12"/>
  <c r="U592" i="12"/>
  <c r="U593" i="12"/>
  <c r="U594" i="12"/>
  <c r="U595" i="12"/>
  <c r="U596" i="12"/>
  <c r="U597" i="12"/>
  <c r="U598" i="12"/>
  <c r="U599" i="12"/>
  <c r="U600" i="12"/>
  <c r="U601" i="12"/>
  <c r="U602" i="12"/>
  <c r="U603" i="12"/>
  <c r="U604" i="12"/>
  <c r="U605" i="12"/>
  <c r="U606" i="12"/>
  <c r="U607" i="12"/>
  <c r="U608" i="12"/>
  <c r="U609" i="12"/>
  <c r="U610" i="12"/>
  <c r="U611" i="12"/>
  <c r="U612" i="12"/>
  <c r="U613" i="12"/>
  <c r="U614" i="12"/>
  <c r="U615" i="12"/>
  <c r="U616" i="12"/>
  <c r="U617" i="12"/>
  <c r="U618" i="12"/>
  <c r="U619" i="12"/>
  <c r="U620" i="12"/>
  <c r="U621" i="12"/>
  <c r="U622" i="12"/>
  <c r="U623" i="12"/>
  <c r="U624" i="12"/>
  <c r="U625" i="12"/>
  <c r="U626" i="12"/>
  <c r="U627" i="12"/>
  <c r="U628" i="12"/>
  <c r="U629" i="12"/>
  <c r="U630" i="12"/>
  <c r="U631" i="12"/>
  <c r="U632" i="12"/>
  <c r="U633" i="12"/>
  <c r="U634" i="12"/>
  <c r="U635" i="12"/>
  <c r="U636" i="12"/>
  <c r="U637" i="12"/>
  <c r="U638" i="12"/>
  <c r="U639" i="12"/>
  <c r="U640" i="12"/>
  <c r="U641" i="12"/>
  <c r="U642" i="12"/>
  <c r="U643" i="12"/>
  <c r="U644" i="12"/>
  <c r="U645" i="12"/>
  <c r="U646" i="12"/>
  <c r="U647" i="12"/>
  <c r="U648" i="12"/>
  <c r="U649" i="12"/>
  <c r="U650" i="12"/>
  <c r="U651" i="12"/>
  <c r="U652" i="12"/>
  <c r="U653" i="12"/>
  <c r="U654" i="12"/>
  <c r="U655" i="12"/>
  <c r="U656" i="12"/>
  <c r="U657" i="12"/>
  <c r="U658" i="12"/>
  <c r="U659" i="12"/>
  <c r="U660" i="12"/>
  <c r="U661" i="12"/>
  <c r="U662" i="12"/>
  <c r="U663" i="12"/>
  <c r="U664" i="12"/>
  <c r="U665" i="12"/>
  <c r="U666" i="12"/>
  <c r="U667" i="12"/>
  <c r="U668" i="12"/>
  <c r="U669" i="12"/>
  <c r="U670" i="12"/>
  <c r="U671" i="12"/>
  <c r="U672" i="12"/>
  <c r="U673" i="12"/>
  <c r="U674" i="12"/>
  <c r="U675" i="12"/>
  <c r="U676" i="12"/>
  <c r="U677" i="12"/>
  <c r="U678" i="12"/>
  <c r="U679" i="12"/>
  <c r="U680" i="12"/>
  <c r="U681" i="12"/>
  <c r="U682" i="12"/>
  <c r="U683" i="12"/>
  <c r="U684" i="12"/>
  <c r="U685" i="12"/>
  <c r="U686" i="12"/>
  <c r="U687" i="12"/>
  <c r="U688" i="12"/>
  <c r="U689" i="12"/>
  <c r="U690" i="12"/>
  <c r="U691" i="12"/>
  <c r="U692" i="12"/>
  <c r="U693" i="12"/>
  <c r="U694" i="12"/>
  <c r="U695" i="12"/>
  <c r="U696" i="12"/>
  <c r="U697" i="12"/>
  <c r="U698" i="12"/>
  <c r="U699" i="12"/>
  <c r="U700" i="12"/>
  <c r="U701" i="12"/>
  <c r="U702" i="12"/>
  <c r="U703" i="12"/>
  <c r="U704" i="12"/>
  <c r="U705" i="12"/>
  <c r="U706" i="12"/>
  <c r="U707" i="12"/>
  <c r="U708" i="12"/>
  <c r="U709" i="12"/>
  <c r="U710" i="12"/>
  <c r="U711" i="12"/>
  <c r="U712" i="12"/>
  <c r="U713" i="12"/>
  <c r="U714" i="12"/>
  <c r="U715" i="12"/>
  <c r="U716" i="12"/>
  <c r="U717" i="12"/>
  <c r="U718" i="12"/>
  <c r="U719" i="12"/>
  <c r="U720" i="12"/>
  <c r="U721" i="12"/>
  <c r="U722" i="12"/>
  <c r="U723" i="12"/>
  <c r="U724" i="12"/>
  <c r="U725" i="12"/>
  <c r="U726" i="12"/>
  <c r="U727" i="12"/>
  <c r="U728" i="12"/>
  <c r="U729" i="12"/>
  <c r="U730" i="12"/>
  <c r="U731" i="12"/>
  <c r="U732" i="12"/>
  <c r="U733" i="12"/>
  <c r="U734" i="12"/>
  <c r="U735" i="12"/>
  <c r="U736" i="12"/>
  <c r="U737" i="12"/>
  <c r="U738" i="12"/>
  <c r="U739" i="12"/>
  <c r="U740" i="12"/>
  <c r="U741" i="12"/>
  <c r="U742" i="12"/>
  <c r="U743" i="12"/>
  <c r="U744" i="12"/>
  <c r="U745" i="12"/>
  <c r="U746" i="12"/>
  <c r="U747" i="12"/>
  <c r="U748" i="12"/>
  <c r="U749" i="12"/>
  <c r="U750" i="12"/>
  <c r="U751" i="12"/>
  <c r="U752" i="12"/>
  <c r="U753" i="12"/>
  <c r="U754" i="12"/>
  <c r="U755" i="12"/>
  <c r="U756" i="12"/>
  <c r="U757" i="12"/>
  <c r="U758" i="12"/>
  <c r="U759" i="12"/>
  <c r="U760" i="12"/>
  <c r="U761" i="12"/>
  <c r="U762" i="12"/>
  <c r="U763" i="12"/>
  <c r="U764" i="12"/>
  <c r="U765" i="12"/>
  <c r="U766" i="12"/>
  <c r="U767" i="12"/>
  <c r="U768" i="12"/>
  <c r="U769" i="12"/>
  <c r="U770" i="12"/>
  <c r="U771" i="12"/>
  <c r="U772" i="12"/>
  <c r="U773" i="12"/>
  <c r="U774" i="12"/>
  <c r="U775" i="12"/>
  <c r="U776" i="12"/>
  <c r="U777" i="12"/>
  <c r="U778" i="12"/>
  <c r="U779" i="12"/>
  <c r="U780" i="12"/>
  <c r="U781" i="12"/>
  <c r="U782" i="12"/>
  <c r="U783" i="12"/>
  <c r="U784" i="12"/>
  <c r="U785" i="12"/>
  <c r="U786" i="12"/>
  <c r="U787" i="12"/>
  <c r="U788" i="12"/>
  <c r="U789" i="12"/>
  <c r="U790" i="12"/>
  <c r="U791" i="12"/>
  <c r="U792" i="12"/>
  <c r="U793" i="12"/>
  <c r="U794" i="12"/>
  <c r="U795" i="12"/>
  <c r="U796" i="12"/>
  <c r="U797" i="12"/>
  <c r="U798" i="12"/>
  <c r="U799" i="12"/>
  <c r="U800" i="12"/>
  <c r="U801" i="12"/>
  <c r="U802" i="12"/>
  <c r="U803" i="12"/>
  <c r="U804" i="12"/>
  <c r="U805" i="12"/>
  <c r="U806" i="12"/>
  <c r="U807" i="12"/>
  <c r="U808" i="12"/>
  <c r="U809" i="12"/>
  <c r="U810" i="12"/>
  <c r="U811" i="12"/>
  <c r="U812" i="12"/>
  <c r="U813" i="12"/>
  <c r="U814" i="12"/>
  <c r="U815" i="12"/>
  <c r="U816" i="12"/>
  <c r="U817" i="12"/>
  <c r="U818" i="12"/>
  <c r="U819" i="12"/>
  <c r="U820" i="12"/>
  <c r="U821" i="12"/>
  <c r="U822" i="12"/>
  <c r="U823" i="12"/>
  <c r="U824" i="12"/>
  <c r="U825" i="12"/>
  <c r="U826" i="12"/>
  <c r="U827" i="12"/>
  <c r="U828" i="12"/>
  <c r="U829" i="12"/>
  <c r="U830" i="12"/>
  <c r="U831" i="12"/>
  <c r="U832" i="12"/>
  <c r="U833" i="12"/>
  <c r="U834" i="12"/>
  <c r="U835" i="12"/>
  <c r="U836" i="12"/>
  <c r="U837" i="12"/>
  <c r="U838" i="12"/>
  <c r="U839" i="12"/>
  <c r="U840" i="12"/>
  <c r="U841" i="12"/>
  <c r="U842" i="12"/>
  <c r="U843" i="12"/>
  <c r="U844" i="12"/>
  <c r="U845" i="12"/>
  <c r="U846" i="12"/>
  <c r="U847" i="12"/>
  <c r="U848" i="12"/>
  <c r="U849" i="12"/>
  <c r="U850" i="12"/>
  <c r="U851" i="12"/>
  <c r="U852" i="12"/>
  <c r="U853" i="12"/>
  <c r="U854" i="12"/>
  <c r="U855" i="12"/>
  <c r="U856" i="12"/>
  <c r="U857" i="12"/>
  <c r="U858" i="12"/>
  <c r="U859" i="12"/>
  <c r="U860" i="12"/>
  <c r="U861" i="12"/>
  <c r="U862" i="12"/>
  <c r="U863" i="12"/>
  <c r="U864" i="12"/>
  <c r="U865" i="12"/>
  <c r="U866" i="12"/>
  <c r="U867" i="12"/>
  <c r="U868" i="12"/>
  <c r="U869" i="12"/>
  <c r="U870" i="12"/>
  <c r="U871" i="12"/>
  <c r="U872" i="12"/>
  <c r="U873" i="12"/>
  <c r="U874" i="12"/>
  <c r="U875" i="12"/>
  <c r="U876" i="12"/>
  <c r="U877" i="12"/>
  <c r="U878" i="12"/>
  <c r="U879" i="12"/>
  <c r="U880" i="12"/>
  <c r="U881" i="12"/>
  <c r="U882" i="12"/>
  <c r="U883" i="12"/>
  <c r="U884" i="12"/>
  <c r="U885" i="12"/>
  <c r="U886" i="12"/>
  <c r="U887" i="12"/>
  <c r="U888" i="12"/>
  <c r="U889" i="12"/>
  <c r="U890" i="12"/>
  <c r="U891" i="12"/>
  <c r="U892" i="12"/>
  <c r="U893" i="12"/>
  <c r="U894" i="12"/>
  <c r="U895" i="12"/>
  <c r="U896" i="12"/>
  <c r="U897" i="12"/>
  <c r="U898" i="12"/>
  <c r="U899" i="12"/>
  <c r="U900" i="12"/>
  <c r="U901" i="12"/>
  <c r="U902" i="12"/>
  <c r="U903" i="12"/>
  <c r="U904" i="12"/>
  <c r="U905" i="12"/>
  <c r="U906" i="12"/>
  <c r="U907" i="12"/>
  <c r="U908" i="12"/>
  <c r="U909" i="12"/>
  <c r="U910" i="12"/>
  <c r="U911" i="12"/>
  <c r="U912" i="12"/>
  <c r="U913" i="12"/>
  <c r="U914" i="12"/>
  <c r="U915" i="12"/>
  <c r="U916" i="12"/>
  <c r="U917" i="12"/>
  <c r="U918" i="12"/>
  <c r="U919" i="12"/>
  <c r="U920" i="12"/>
  <c r="U921" i="12"/>
  <c r="U922" i="12"/>
  <c r="U923" i="12"/>
  <c r="U924" i="12"/>
  <c r="U925" i="12"/>
  <c r="U926" i="12"/>
  <c r="U927" i="12"/>
  <c r="U928" i="12"/>
  <c r="U929" i="12"/>
  <c r="U930" i="12"/>
  <c r="U931" i="12"/>
  <c r="U932" i="12"/>
  <c r="U933" i="12"/>
  <c r="U934" i="12"/>
  <c r="U935" i="12"/>
  <c r="U936" i="12"/>
  <c r="U937" i="12"/>
  <c r="U938" i="12"/>
  <c r="U939" i="12"/>
  <c r="U940" i="12"/>
  <c r="U941" i="12"/>
  <c r="U942" i="12"/>
  <c r="U943" i="12"/>
  <c r="U944" i="12"/>
  <c r="U945" i="12"/>
  <c r="U946" i="12"/>
  <c r="U947" i="12"/>
  <c r="U948" i="12"/>
  <c r="U949" i="12"/>
  <c r="U950" i="12"/>
  <c r="U951" i="12"/>
  <c r="U952" i="12"/>
  <c r="U953" i="12"/>
  <c r="U954" i="12"/>
  <c r="U955" i="12"/>
  <c r="U956" i="12"/>
  <c r="U957" i="12"/>
  <c r="U958" i="12"/>
  <c r="U959" i="12"/>
  <c r="U960" i="12"/>
  <c r="U961" i="12"/>
  <c r="U962" i="12"/>
  <c r="U963" i="12"/>
  <c r="U964" i="12"/>
  <c r="U965" i="12"/>
  <c r="U966" i="12"/>
  <c r="U967" i="12"/>
  <c r="U968" i="12"/>
  <c r="U969" i="12"/>
  <c r="U970" i="12"/>
  <c r="U971" i="12"/>
  <c r="U972" i="12"/>
  <c r="U973" i="12"/>
  <c r="U974" i="12"/>
  <c r="U975" i="12"/>
  <c r="U976" i="12"/>
  <c r="U977" i="12"/>
  <c r="U978" i="12"/>
  <c r="U979" i="12"/>
  <c r="U980" i="12"/>
  <c r="U981" i="12"/>
  <c r="U982" i="12"/>
  <c r="U983" i="12"/>
  <c r="U984" i="12"/>
  <c r="U985" i="12"/>
  <c r="U986" i="12"/>
  <c r="U987" i="12"/>
  <c r="U988" i="12"/>
  <c r="U989" i="12"/>
  <c r="U990" i="12"/>
  <c r="U991" i="12"/>
  <c r="U992" i="12"/>
  <c r="U993" i="12"/>
  <c r="U994" i="12"/>
  <c r="U995" i="12"/>
  <c r="U996" i="12"/>
  <c r="U997" i="12"/>
  <c r="U998" i="12"/>
  <c r="U999" i="12"/>
  <c r="U1000" i="12"/>
  <c r="U1001" i="12"/>
  <c r="U1002" i="12"/>
  <c r="U1003" i="12"/>
  <c r="U1004" i="12"/>
  <c r="U1005" i="12"/>
  <c r="U1006" i="12"/>
  <c r="U1007" i="12"/>
  <c r="U1008" i="12"/>
  <c r="U1009" i="12"/>
  <c r="U1010" i="12"/>
  <c r="U1011" i="12"/>
  <c r="U1012" i="12"/>
  <c r="U1013" i="12"/>
  <c r="U1014" i="12"/>
  <c r="U1015" i="12"/>
  <c r="U1016" i="12"/>
  <c r="U1017" i="12"/>
  <c r="U1018" i="12"/>
  <c r="U1019" i="12"/>
  <c r="U1020" i="12"/>
  <c r="U1021" i="12"/>
  <c r="U1022" i="12"/>
  <c r="U1023" i="12"/>
  <c r="U1024" i="12"/>
  <c r="U1025" i="12"/>
  <c r="U1026" i="12"/>
  <c r="U1027" i="12"/>
  <c r="U1028" i="12"/>
  <c r="U1029" i="12"/>
  <c r="U1030" i="12"/>
  <c r="U1031" i="12"/>
  <c r="U1032" i="12"/>
  <c r="U43" i="12"/>
  <c r="U44" i="12"/>
  <c r="U45" i="12"/>
  <c r="U46" i="12"/>
  <c r="U47" i="12"/>
  <c r="U48" i="12"/>
  <c r="U49" i="12"/>
  <c r="U50" i="12"/>
  <c r="U51" i="12"/>
  <c r="U52" i="12"/>
  <c r="U53" i="12"/>
  <c r="U54" i="12"/>
  <c r="U55" i="12"/>
  <c r="U56" i="12"/>
  <c r="U57" i="12"/>
  <c r="U58" i="12"/>
  <c r="U59" i="12"/>
  <c r="U60" i="12"/>
  <c r="U18" i="12"/>
  <c r="U19" i="12"/>
  <c r="U20" i="12"/>
  <c r="U21" i="12"/>
  <c r="U22" i="12"/>
  <c r="U23" i="12"/>
  <c r="U24" i="12"/>
  <c r="U25" i="12"/>
  <c r="U26" i="12"/>
  <c r="U27" i="12"/>
  <c r="U28" i="12"/>
  <c r="U29" i="12"/>
  <c r="U30" i="12"/>
  <c r="U31" i="12"/>
  <c r="U32" i="12"/>
  <c r="U33" i="12"/>
  <c r="U34" i="12"/>
  <c r="U35" i="12"/>
  <c r="U36" i="12"/>
  <c r="U37" i="12"/>
  <c r="U38" i="12"/>
  <c r="U39" i="12"/>
  <c r="U40" i="12"/>
  <c r="U41" i="12"/>
  <c r="U42" i="12"/>
  <c r="U17" i="12"/>
  <c r="D12" i="12"/>
  <c r="D11" i="12"/>
  <c r="U83" i="11"/>
  <c r="U84" i="11"/>
  <c r="U85" i="11"/>
  <c r="U86" i="11"/>
  <c r="U87" i="11"/>
  <c r="U88" i="11"/>
  <c r="U89" i="11"/>
  <c r="U90" i="11"/>
  <c r="U91" i="11"/>
  <c r="U92" i="11"/>
  <c r="U93" i="11"/>
  <c r="U94" i="11"/>
  <c r="U95" i="11"/>
  <c r="U96" i="11"/>
  <c r="U97" i="11"/>
  <c r="U98" i="11"/>
  <c r="U99" i="11"/>
  <c r="U100" i="11"/>
  <c r="U101" i="11"/>
  <c r="U102" i="11"/>
  <c r="U103" i="11"/>
  <c r="U104" i="11"/>
  <c r="U105" i="11"/>
  <c r="U106" i="11"/>
  <c r="U107" i="11"/>
  <c r="U108" i="11"/>
  <c r="U109" i="11"/>
  <c r="U110" i="11"/>
  <c r="U111" i="11"/>
  <c r="U112" i="11"/>
  <c r="U113" i="11"/>
  <c r="U114" i="11"/>
  <c r="U115" i="11"/>
  <c r="U116" i="11"/>
  <c r="U117" i="11"/>
  <c r="U118" i="11"/>
  <c r="U119" i="11"/>
  <c r="U120" i="11"/>
  <c r="U121" i="11"/>
  <c r="U122" i="11"/>
  <c r="U123" i="11"/>
  <c r="U124" i="11"/>
  <c r="U125" i="11"/>
  <c r="U126" i="11"/>
  <c r="U127" i="11"/>
  <c r="U128" i="11"/>
  <c r="U129" i="11"/>
  <c r="U130" i="11"/>
  <c r="U131" i="11"/>
  <c r="U132" i="11"/>
  <c r="U133" i="11"/>
  <c r="U134" i="11"/>
  <c r="U135" i="11"/>
  <c r="U136" i="11"/>
  <c r="U137" i="11"/>
  <c r="U138" i="11"/>
  <c r="U139" i="11"/>
  <c r="U140" i="11"/>
  <c r="U141" i="11"/>
  <c r="U142" i="11"/>
  <c r="U143" i="11"/>
  <c r="U144" i="11"/>
  <c r="U145" i="11"/>
  <c r="U146" i="11"/>
  <c r="U147" i="11"/>
  <c r="U148" i="11"/>
  <c r="U149" i="11"/>
  <c r="U150" i="11"/>
  <c r="U151" i="11"/>
  <c r="U152" i="11"/>
  <c r="U153" i="11"/>
  <c r="U154" i="11"/>
  <c r="U155" i="11"/>
  <c r="U156" i="11"/>
  <c r="U157" i="11"/>
  <c r="U158" i="11"/>
  <c r="U159" i="11"/>
  <c r="U160" i="11"/>
  <c r="U161" i="11"/>
  <c r="U162" i="11"/>
  <c r="U163" i="11"/>
  <c r="U164" i="11"/>
  <c r="U165" i="11"/>
  <c r="U166" i="11"/>
  <c r="U167" i="11"/>
  <c r="U168" i="11"/>
  <c r="U169" i="11"/>
  <c r="U170" i="11"/>
  <c r="U171" i="11"/>
  <c r="U172" i="11"/>
  <c r="U173" i="11"/>
  <c r="U174" i="11"/>
  <c r="U175" i="11"/>
  <c r="U176" i="11"/>
  <c r="U177" i="11"/>
  <c r="U178" i="11"/>
  <c r="U179" i="11"/>
  <c r="U180" i="11"/>
  <c r="U181" i="11"/>
  <c r="U182" i="11"/>
  <c r="U183" i="11"/>
  <c r="U184" i="11"/>
  <c r="U185" i="11"/>
  <c r="U186" i="11"/>
  <c r="U187" i="11"/>
  <c r="U188" i="11"/>
  <c r="U189" i="11"/>
  <c r="U190" i="11"/>
  <c r="U191" i="11"/>
  <c r="U192" i="11"/>
  <c r="U193" i="11"/>
  <c r="U194" i="11"/>
  <c r="U195" i="11"/>
  <c r="U196" i="11"/>
  <c r="U197" i="11"/>
  <c r="U198" i="11"/>
  <c r="U199" i="11"/>
  <c r="U200" i="11"/>
  <c r="U201" i="11"/>
  <c r="U202" i="11"/>
  <c r="U203" i="11"/>
  <c r="U204" i="11"/>
  <c r="U205" i="11"/>
  <c r="U206" i="11"/>
  <c r="U207" i="11"/>
  <c r="U208" i="11"/>
  <c r="U209" i="11"/>
  <c r="U210" i="11"/>
  <c r="U211" i="11"/>
  <c r="U212" i="11"/>
  <c r="U213" i="11"/>
  <c r="U214" i="11"/>
  <c r="U215" i="11"/>
  <c r="U216" i="11"/>
  <c r="U217" i="11"/>
  <c r="U218" i="11"/>
  <c r="U219" i="11"/>
  <c r="U220" i="11"/>
  <c r="U221" i="11"/>
  <c r="U222" i="11"/>
  <c r="U223" i="11"/>
  <c r="U224" i="11"/>
  <c r="U225" i="11"/>
  <c r="U226" i="11"/>
  <c r="U227" i="11"/>
  <c r="U228" i="11"/>
  <c r="U229" i="11"/>
  <c r="U230" i="11"/>
  <c r="U231" i="11"/>
  <c r="U232" i="11"/>
  <c r="U233" i="11"/>
  <c r="U234" i="11"/>
  <c r="U235" i="11"/>
  <c r="U236" i="11"/>
  <c r="U237" i="11"/>
  <c r="U238" i="11"/>
  <c r="U239" i="11"/>
  <c r="U240" i="11"/>
  <c r="U241" i="11"/>
  <c r="U242" i="11"/>
  <c r="U243" i="11"/>
  <c r="U244" i="11"/>
  <c r="U245" i="11"/>
  <c r="U246" i="11"/>
  <c r="U247" i="11"/>
  <c r="U248" i="11"/>
  <c r="U249" i="11"/>
  <c r="U250" i="11"/>
  <c r="U251" i="11"/>
  <c r="U252" i="11"/>
  <c r="U253" i="11"/>
  <c r="U254" i="11"/>
  <c r="U255" i="11"/>
  <c r="U256" i="11"/>
  <c r="U257" i="11"/>
  <c r="U258" i="11"/>
  <c r="U259" i="11"/>
  <c r="U260" i="11"/>
  <c r="U261" i="11"/>
  <c r="U262" i="11"/>
  <c r="U263" i="11"/>
  <c r="U264" i="11"/>
  <c r="U265" i="11"/>
  <c r="U266" i="11"/>
  <c r="U267" i="11"/>
  <c r="U268" i="11"/>
  <c r="U269" i="11"/>
  <c r="U270" i="11"/>
  <c r="U271" i="11"/>
  <c r="U272" i="11"/>
  <c r="U273" i="11"/>
  <c r="U274" i="11"/>
  <c r="U275" i="11"/>
  <c r="U276" i="11"/>
  <c r="U277" i="11"/>
  <c r="U278" i="11"/>
  <c r="U279" i="11"/>
  <c r="U280" i="11"/>
  <c r="U281" i="11"/>
  <c r="U282" i="11"/>
  <c r="U283" i="11"/>
  <c r="U284" i="11"/>
  <c r="U285" i="11"/>
  <c r="U286" i="11"/>
  <c r="U287" i="11"/>
  <c r="U288" i="11"/>
  <c r="U289" i="11"/>
  <c r="U290" i="11"/>
  <c r="U291" i="11"/>
  <c r="U292" i="11"/>
  <c r="U293" i="11"/>
  <c r="U294" i="11"/>
  <c r="U295" i="11"/>
  <c r="U296" i="11"/>
  <c r="U297" i="11"/>
  <c r="U298" i="11"/>
  <c r="U299" i="11"/>
  <c r="U300" i="11"/>
  <c r="U301" i="11"/>
  <c r="U302" i="11"/>
  <c r="U303" i="11"/>
  <c r="U304" i="11"/>
  <c r="U305" i="11"/>
  <c r="U306" i="11"/>
  <c r="U307" i="11"/>
  <c r="U308" i="11"/>
  <c r="U309" i="11"/>
  <c r="U310" i="11"/>
  <c r="U311" i="11"/>
  <c r="U312" i="11"/>
  <c r="U313" i="11"/>
  <c r="U314" i="11"/>
  <c r="U315" i="11"/>
  <c r="U316" i="11"/>
  <c r="U317" i="11"/>
  <c r="U318" i="11"/>
  <c r="U319" i="11"/>
  <c r="U320" i="11"/>
  <c r="U321" i="11"/>
  <c r="U322" i="11"/>
  <c r="U323" i="11"/>
  <c r="U324" i="11"/>
  <c r="U325" i="11"/>
  <c r="U326" i="11"/>
  <c r="U327" i="11"/>
  <c r="U328" i="11"/>
  <c r="U329" i="11"/>
  <c r="U330" i="11"/>
  <c r="U331" i="11"/>
  <c r="U332" i="11"/>
  <c r="U333" i="11"/>
  <c r="U334" i="11"/>
  <c r="U335" i="11"/>
  <c r="U336" i="11"/>
  <c r="U337" i="11"/>
  <c r="U338" i="11"/>
  <c r="U339" i="11"/>
  <c r="U340" i="11"/>
  <c r="U341" i="11"/>
  <c r="U342" i="11"/>
  <c r="U343" i="11"/>
  <c r="U344" i="11"/>
  <c r="U345" i="11"/>
  <c r="U346" i="11"/>
  <c r="U347" i="11"/>
  <c r="U348" i="11"/>
  <c r="U349" i="11"/>
  <c r="U350" i="11"/>
  <c r="U351" i="11"/>
  <c r="U352" i="11"/>
  <c r="U353" i="11"/>
  <c r="U354" i="11"/>
  <c r="U355" i="11"/>
  <c r="U356" i="11"/>
  <c r="U357" i="11"/>
  <c r="U358" i="11"/>
  <c r="U359" i="11"/>
  <c r="U360" i="11"/>
  <c r="U361" i="11"/>
  <c r="U362" i="11"/>
  <c r="U363" i="11"/>
  <c r="U364" i="11"/>
  <c r="U365" i="11"/>
  <c r="U366" i="11"/>
  <c r="U367" i="11"/>
  <c r="U368" i="11"/>
  <c r="U369" i="11"/>
  <c r="U370" i="11"/>
  <c r="U371" i="11"/>
  <c r="U372" i="11"/>
  <c r="U373" i="11"/>
  <c r="U374" i="11"/>
  <c r="U375" i="11"/>
  <c r="U376" i="11"/>
  <c r="U377" i="11"/>
  <c r="U378" i="11"/>
  <c r="U379" i="11"/>
  <c r="U380" i="11"/>
  <c r="U381" i="11"/>
  <c r="U382" i="11"/>
  <c r="U383" i="11"/>
  <c r="U384" i="11"/>
  <c r="U385" i="11"/>
  <c r="U386" i="11"/>
  <c r="U387" i="11"/>
  <c r="U388" i="11"/>
  <c r="U389" i="11"/>
  <c r="U390" i="11"/>
  <c r="U391" i="11"/>
  <c r="U392" i="11"/>
  <c r="U393" i="11"/>
  <c r="U394" i="11"/>
  <c r="U395" i="11"/>
  <c r="U396" i="11"/>
  <c r="U397" i="11"/>
  <c r="U398" i="11"/>
  <c r="U399" i="11"/>
  <c r="U400" i="11"/>
  <c r="U401" i="11"/>
  <c r="U402" i="11"/>
  <c r="U403" i="11"/>
  <c r="U404" i="11"/>
  <c r="U405" i="11"/>
  <c r="U406" i="11"/>
  <c r="U407" i="11"/>
  <c r="U408" i="11"/>
  <c r="U409" i="11"/>
  <c r="U410" i="11"/>
  <c r="U411" i="11"/>
  <c r="U412" i="11"/>
  <c r="U413" i="11"/>
  <c r="U414" i="11"/>
  <c r="U415" i="11"/>
  <c r="U416" i="11"/>
  <c r="U417" i="11"/>
  <c r="U418" i="11"/>
  <c r="U419" i="11"/>
  <c r="U420" i="11"/>
  <c r="U421" i="11"/>
  <c r="U422" i="11"/>
  <c r="U423" i="11"/>
  <c r="U424" i="11"/>
  <c r="U425" i="11"/>
  <c r="U426" i="11"/>
  <c r="U427" i="11"/>
  <c r="U428" i="11"/>
  <c r="U429" i="11"/>
  <c r="U430" i="11"/>
  <c r="U431" i="11"/>
  <c r="U432" i="11"/>
  <c r="U433" i="11"/>
  <c r="U434" i="11"/>
  <c r="U435" i="11"/>
  <c r="U436" i="11"/>
  <c r="U437" i="11"/>
  <c r="U438" i="11"/>
  <c r="U439" i="11"/>
  <c r="U440" i="11"/>
  <c r="U441" i="11"/>
  <c r="U442" i="11"/>
  <c r="U443" i="11"/>
  <c r="U444" i="11"/>
  <c r="U445" i="11"/>
  <c r="U446" i="11"/>
  <c r="U447" i="11"/>
  <c r="U448" i="11"/>
  <c r="U449" i="11"/>
  <c r="U450" i="11"/>
  <c r="U451" i="11"/>
  <c r="U452" i="11"/>
  <c r="U453" i="11"/>
  <c r="U454" i="11"/>
  <c r="U455" i="11"/>
  <c r="U456" i="11"/>
  <c r="U457" i="11"/>
  <c r="U458" i="11"/>
  <c r="U459" i="11"/>
  <c r="U460" i="11"/>
  <c r="U461" i="11"/>
  <c r="U462" i="11"/>
  <c r="U463" i="11"/>
  <c r="U464" i="11"/>
  <c r="U465" i="11"/>
  <c r="U466" i="11"/>
  <c r="U467" i="11"/>
  <c r="U468" i="11"/>
  <c r="U469" i="11"/>
  <c r="U470" i="11"/>
  <c r="U471" i="11"/>
  <c r="U472" i="11"/>
  <c r="U473" i="11"/>
  <c r="U474" i="11"/>
  <c r="U475" i="11"/>
  <c r="U476" i="11"/>
  <c r="U477" i="11"/>
  <c r="U478" i="11"/>
  <c r="U479" i="11"/>
  <c r="U480" i="11"/>
  <c r="U481" i="11"/>
  <c r="U482" i="11"/>
  <c r="U483" i="11"/>
  <c r="U484" i="11"/>
  <c r="U485" i="11"/>
  <c r="U486" i="11"/>
  <c r="U487" i="11"/>
  <c r="U488" i="11"/>
  <c r="U489" i="11"/>
  <c r="U490" i="11"/>
  <c r="U491" i="11"/>
  <c r="U492" i="11"/>
  <c r="U493" i="11"/>
  <c r="U494" i="11"/>
  <c r="U495" i="11"/>
  <c r="U496" i="11"/>
  <c r="U497" i="11"/>
  <c r="U498" i="11"/>
  <c r="U499" i="11"/>
  <c r="U500" i="11"/>
  <c r="U501" i="11"/>
  <c r="U502" i="11"/>
  <c r="U503" i="11"/>
  <c r="U504" i="11"/>
  <c r="U505" i="11"/>
  <c r="U506" i="11"/>
  <c r="U507" i="11"/>
  <c r="U508" i="11"/>
  <c r="U509" i="11"/>
  <c r="U510" i="11"/>
  <c r="U511" i="11"/>
  <c r="U512" i="11"/>
  <c r="U513" i="11"/>
  <c r="U514" i="11"/>
  <c r="U515" i="11"/>
  <c r="U516" i="11"/>
  <c r="U517" i="11"/>
  <c r="U518" i="11"/>
  <c r="U519" i="11"/>
  <c r="U520" i="11"/>
  <c r="U521" i="11"/>
  <c r="U522" i="11"/>
  <c r="U523" i="11"/>
  <c r="U524" i="11"/>
  <c r="U525" i="11"/>
  <c r="U526" i="11"/>
  <c r="U527" i="11"/>
  <c r="U528" i="11"/>
  <c r="U529" i="11"/>
  <c r="U530" i="11"/>
  <c r="U531" i="11"/>
  <c r="U532" i="11"/>
  <c r="U533" i="11"/>
  <c r="U534" i="11"/>
  <c r="U535" i="11"/>
  <c r="U536" i="11"/>
  <c r="U537" i="11"/>
  <c r="U538" i="11"/>
  <c r="U539" i="11"/>
  <c r="U540" i="11"/>
  <c r="U541" i="11"/>
  <c r="U542" i="11"/>
  <c r="U543" i="11"/>
  <c r="U544" i="11"/>
  <c r="U545" i="11"/>
  <c r="U546" i="11"/>
  <c r="U547" i="11"/>
  <c r="U548" i="11"/>
  <c r="U549" i="11"/>
  <c r="U550" i="11"/>
  <c r="U551" i="11"/>
  <c r="U552" i="11"/>
  <c r="U553" i="11"/>
  <c r="U554" i="11"/>
  <c r="U555" i="11"/>
  <c r="U556" i="11"/>
  <c r="U557" i="11"/>
  <c r="U558" i="11"/>
  <c r="U559" i="11"/>
  <c r="U560" i="11"/>
  <c r="U561" i="11"/>
  <c r="U562" i="11"/>
  <c r="U563" i="11"/>
  <c r="U564" i="11"/>
  <c r="U565" i="11"/>
  <c r="U566" i="11"/>
  <c r="U567" i="11"/>
  <c r="U568" i="11"/>
  <c r="U569" i="11"/>
  <c r="U570" i="11"/>
  <c r="U571" i="11"/>
  <c r="U572" i="11"/>
  <c r="U573" i="11"/>
  <c r="U574" i="11"/>
  <c r="U575" i="11"/>
  <c r="U576" i="11"/>
  <c r="U577" i="11"/>
  <c r="U578" i="11"/>
  <c r="U579" i="11"/>
  <c r="U580" i="11"/>
  <c r="U581" i="11"/>
  <c r="U582" i="11"/>
  <c r="U583" i="11"/>
  <c r="U584" i="11"/>
  <c r="U585" i="11"/>
  <c r="U586" i="11"/>
  <c r="U587" i="11"/>
  <c r="U588" i="11"/>
  <c r="U589" i="11"/>
  <c r="U590" i="11"/>
  <c r="U591" i="11"/>
  <c r="U592" i="11"/>
  <c r="U593" i="11"/>
  <c r="U594" i="11"/>
  <c r="U595" i="11"/>
  <c r="U596" i="11"/>
  <c r="U597" i="11"/>
  <c r="U598" i="11"/>
  <c r="U599" i="11"/>
  <c r="U600" i="11"/>
  <c r="U601" i="11"/>
  <c r="U602" i="11"/>
  <c r="U603" i="11"/>
  <c r="U604" i="11"/>
  <c r="U605" i="11"/>
  <c r="U606" i="11"/>
  <c r="U607" i="11"/>
  <c r="U608" i="11"/>
  <c r="U609" i="11"/>
  <c r="U610" i="11"/>
  <c r="U611" i="11"/>
  <c r="U612" i="11"/>
  <c r="U613" i="11"/>
  <c r="U614" i="11"/>
  <c r="U615" i="11"/>
  <c r="U616" i="11"/>
  <c r="U617" i="11"/>
  <c r="U618" i="11"/>
  <c r="U619" i="11"/>
  <c r="U620" i="11"/>
  <c r="U621" i="11"/>
  <c r="U622" i="11"/>
  <c r="U623" i="11"/>
  <c r="U624" i="11"/>
  <c r="U625" i="11"/>
  <c r="U626" i="11"/>
  <c r="U627" i="11"/>
  <c r="U628" i="11"/>
  <c r="U629" i="11"/>
  <c r="U630" i="11"/>
  <c r="U631" i="11"/>
  <c r="U632" i="11"/>
  <c r="U633" i="11"/>
  <c r="U634" i="11"/>
  <c r="U635" i="11"/>
  <c r="U636" i="11"/>
  <c r="U637" i="11"/>
  <c r="U638" i="11"/>
  <c r="U639" i="11"/>
  <c r="U640" i="11"/>
  <c r="U641" i="11"/>
  <c r="U642" i="11"/>
  <c r="U643" i="11"/>
  <c r="U644" i="11"/>
  <c r="U645" i="11"/>
  <c r="U646" i="11"/>
  <c r="U647" i="11"/>
  <c r="U648" i="11"/>
  <c r="U649" i="11"/>
  <c r="U650" i="11"/>
  <c r="U651" i="11"/>
  <c r="U652" i="11"/>
  <c r="U653" i="11"/>
  <c r="U654" i="11"/>
  <c r="U655" i="11"/>
  <c r="U656" i="11"/>
  <c r="U657" i="11"/>
  <c r="U658" i="11"/>
  <c r="U659" i="11"/>
  <c r="U660" i="11"/>
  <c r="U661" i="11"/>
  <c r="U662" i="11"/>
  <c r="U663" i="11"/>
  <c r="U664" i="11"/>
  <c r="U665" i="11"/>
  <c r="U666" i="11"/>
  <c r="U667" i="11"/>
  <c r="U668" i="11"/>
  <c r="U669" i="11"/>
  <c r="U670" i="11"/>
  <c r="U671" i="11"/>
  <c r="U672" i="11"/>
  <c r="U673" i="11"/>
  <c r="U674" i="11"/>
  <c r="U675" i="11"/>
  <c r="U676" i="11"/>
  <c r="U677" i="11"/>
  <c r="U678" i="11"/>
  <c r="U679" i="11"/>
  <c r="U680" i="11"/>
  <c r="U681" i="11"/>
  <c r="U682" i="11"/>
  <c r="U683" i="11"/>
  <c r="U684" i="11"/>
  <c r="U685" i="11"/>
  <c r="U686" i="11"/>
  <c r="U687" i="11"/>
  <c r="U688" i="11"/>
  <c r="U689" i="11"/>
  <c r="U690" i="11"/>
  <c r="U691" i="11"/>
  <c r="U692" i="11"/>
  <c r="U693" i="11"/>
  <c r="U694" i="11"/>
  <c r="U695" i="11"/>
  <c r="U696" i="11"/>
  <c r="U697" i="11"/>
  <c r="U698" i="11"/>
  <c r="U699" i="11"/>
  <c r="U700" i="11"/>
  <c r="U701" i="11"/>
  <c r="U702" i="11"/>
  <c r="U703" i="11"/>
  <c r="U704" i="11"/>
  <c r="U705" i="11"/>
  <c r="U706" i="11"/>
  <c r="U707" i="11"/>
  <c r="U708" i="11"/>
  <c r="U709" i="11"/>
  <c r="U710" i="11"/>
  <c r="U711" i="11"/>
  <c r="U712" i="11"/>
  <c r="U713" i="11"/>
  <c r="U714" i="11"/>
  <c r="U715" i="11"/>
  <c r="U716" i="11"/>
  <c r="U717" i="11"/>
  <c r="U718" i="11"/>
  <c r="U719" i="11"/>
  <c r="U720" i="11"/>
  <c r="U721" i="11"/>
  <c r="U722" i="11"/>
  <c r="U723" i="11"/>
  <c r="U724" i="11"/>
  <c r="U725" i="11"/>
  <c r="U726" i="11"/>
  <c r="U727" i="11"/>
  <c r="U728" i="11"/>
  <c r="U729" i="11"/>
  <c r="U730" i="11"/>
  <c r="U731" i="11"/>
  <c r="U732" i="11"/>
  <c r="U733" i="11"/>
  <c r="U734" i="11"/>
  <c r="U735" i="11"/>
  <c r="U736" i="11"/>
  <c r="U737" i="11"/>
  <c r="U738" i="11"/>
  <c r="U739" i="11"/>
  <c r="U740" i="11"/>
  <c r="U741" i="11"/>
  <c r="U742" i="11"/>
  <c r="U743" i="11"/>
  <c r="U744" i="11"/>
  <c r="U745" i="11"/>
  <c r="U746" i="11"/>
  <c r="U747" i="11"/>
  <c r="U748" i="11"/>
  <c r="U749" i="11"/>
  <c r="U750" i="11"/>
  <c r="U751" i="11"/>
  <c r="U752" i="11"/>
  <c r="U753" i="11"/>
  <c r="U754" i="11"/>
  <c r="U755" i="11"/>
  <c r="U756" i="11"/>
  <c r="U757" i="11"/>
  <c r="U758" i="11"/>
  <c r="U759" i="11"/>
  <c r="U760" i="11"/>
  <c r="U761" i="11"/>
  <c r="U762" i="11"/>
  <c r="U763" i="11"/>
  <c r="U764" i="11"/>
  <c r="U765" i="11"/>
  <c r="U766" i="11"/>
  <c r="U767" i="11"/>
  <c r="U768" i="11"/>
  <c r="U769" i="11"/>
  <c r="U770" i="11"/>
  <c r="U771" i="11"/>
  <c r="U772" i="11"/>
  <c r="U773" i="11"/>
  <c r="U774" i="11"/>
  <c r="U775" i="11"/>
  <c r="U776" i="11"/>
  <c r="U777" i="11"/>
  <c r="U778" i="11"/>
  <c r="U779" i="11"/>
  <c r="U780" i="11"/>
  <c r="U781" i="11"/>
  <c r="U782" i="11"/>
  <c r="U783" i="11"/>
  <c r="U784" i="11"/>
  <c r="U785" i="11"/>
  <c r="U786" i="11"/>
  <c r="U787" i="11"/>
  <c r="U788" i="11"/>
  <c r="U789" i="11"/>
  <c r="U790" i="11"/>
  <c r="U791" i="11"/>
  <c r="U792" i="11"/>
  <c r="U793" i="11"/>
  <c r="U794" i="11"/>
  <c r="U795" i="11"/>
  <c r="U796" i="11"/>
  <c r="U797" i="11"/>
  <c r="U798" i="11"/>
  <c r="U799" i="11"/>
  <c r="U800" i="11"/>
  <c r="U801" i="11"/>
  <c r="U802" i="11"/>
  <c r="U803" i="11"/>
  <c r="U804" i="11"/>
  <c r="U805" i="11"/>
  <c r="U806" i="11"/>
  <c r="U807" i="11"/>
  <c r="U808" i="11"/>
  <c r="U809" i="11"/>
  <c r="U810" i="11"/>
  <c r="U811" i="11"/>
  <c r="U812" i="11"/>
  <c r="U813" i="11"/>
  <c r="U814" i="11"/>
  <c r="U815" i="11"/>
  <c r="U816" i="11"/>
  <c r="U817" i="11"/>
  <c r="U818" i="11"/>
  <c r="U819" i="11"/>
  <c r="U820" i="11"/>
  <c r="U821" i="11"/>
  <c r="U822" i="11"/>
  <c r="U823" i="11"/>
  <c r="U824" i="11"/>
  <c r="U825" i="11"/>
  <c r="U826" i="11"/>
  <c r="U827" i="11"/>
  <c r="U828" i="11"/>
  <c r="U829" i="11"/>
  <c r="U830" i="11"/>
  <c r="U831" i="11"/>
  <c r="U832" i="11"/>
  <c r="U833" i="11"/>
  <c r="U834" i="11"/>
  <c r="U835" i="11"/>
  <c r="U836" i="11"/>
  <c r="U837" i="11"/>
  <c r="U838" i="11"/>
  <c r="U839" i="11"/>
  <c r="U840" i="11"/>
  <c r="U841" i="11"/>
  <c r="U842" i="11"/>
  <c r="U843" i="11"/>
  <c r="U844" i="11"/>
  <c r="U845" i="11"/>
  <c r="U846" i="11"/>
  <c r="U847" i="11"/>
  <c r="U848" i="11"/>
  <c r="U849" i="11"/>
  <c r="U850" i="11"/>
  <c r="U851" i="11"/>
  <c r="U852" i="11"/>
  <c r="U853" i="11"/>
  <c r="U854" i="11"/>
  <c r="U855" i="11"/>
  <c r="U856" i="11"/>
  <c r="U857" i="11"/>
  <c r="U858" i="11"/>
  <c r="U859" i="11"/>
  <c r="U860" i="11"/>
  <c r="U861" i="11"/>
  <c r="U862" i="11"/>
  <c r="U863" i="11"/>
  <c r="U864" i="11"/>
  <c r="U865" i="11"/>
  <c r="U866" i="11"/>
  <c r="U867" i="11"/>
  <c r="U868" i="11"/>
  <c r="U869" i="11"/>
  <c r="U870" i="11"/>
  <c r="U871" i="11"/>
  <c r="U872" i="11"/>
  <c r="U873" i="11"/>
  <c r="U874" i="11"/>
  <c r="U875" i="11"/>
  <c r="U876" i="11"/>
  <c r="U877" i="11"/>
  <c r="U878" i="11"/>
  <c r="U879" i="11"/>
  <c r="U880" i="11"/>
  <c r="U881" i="11"/>
  <c r="U882" i="11"/>
  <c r="U883" i="11"/>
  <c r="U884" i="11"/>
  <c r="U885" i="11"/>
  <c r="U886" i="11"/>
  <c r="U887" i="11"/>
  <c r="U888" i="11"/>
  <c r="U889" i="11"/>
  <c r="U890" i="11"/>
  <c r="U891" i="11"/>
  <c r="U892" i="11"/>
  <c r="U893" i="11"/>
  <c r="U894" i="11"/>
  <c r="U895" i="11"/>
  <c r="U896" i="11"/>
  <c r="U897" i="11"/>
  <c r="U898" i="11"/>
  <c r="U899" i="11"/>
  <c r="U900" i="11"/>
  <c r="U901" i="11"/>
  <c r="U902" i="11"/>
  <c r="U903" i="11"/>
  <c r="U904" i="11"/>
  <c r="U905" i="11"/>
  <c r="U906" i="11"/>
  <c r="U907" i="11"/>
  <c r="U908" i="11"/>
  <c r="U909" i="11"/>
  <c r="U910" i="11"/>
  <c r="U911" i="11"/>
  <c r="U912" i="11"/>
  <c r="U913" i="11"/>
  <c r="U914" i="11"/>
  <c r="U915" i="11"/>
  <c r="U916" i="11"/>
  <c r="U917" i="11"/>
  <c r="U918" i="11"/>
  <c r="U919" i="11"/>
  <c r="U920" i="11"/>
  <c r="U921" i="11"/>
  <c r="U922" i="11"/>
  <c r="U923" i="11"/>
  <c r="U924" i="11"/>
  <c r="U925" i="11"/>
  <c r="U926" i="11"/>
  <c r="U927" i="11"/>
  <c r="U928" i="11"/>
  <c r="U929" i="11"/>
  <c r="U930" i="11"/>
  <c r="U931" i="11"/>
  <c r="U932" i="11"/>
  <c r="U933" i="11"/>
  <c r="U934" i="11"/>
  <c r="U935" i="11"/>
  <c r="U936" i="11"/>
  <c r="U937" i="11"/>
  <c r="U938" i="11"/>
  <c r="U939" i="11"/>
  <c r="U940" i="11"/>
  <c r="U941" i="11"/>
  <c r="U942" i="11"/>
  <c r="U943" i="11"/>
  <c r="U944" i="11"/>
  <c r="U945" i="11"/>
  <c r="U946" i="11"/>
  <c r="U947" i="11"/>
  <c r="U948" i="11"/>
  <c r="U949" i="11"/>
  <c r="U950" i="11"/>
  <c r="U951" i="11"/>
  <c r="U952" i="11"/>
  <c r="U953" i="11"/>
  <c r="U954" i="11"/>
  <c r="U955" i="11"/>
  <c r="U956" i="11"/>
  <c r="U957" i="11"/>
  <c r="U958" i="11"/>
  <c r="U959" i="11"/>
  <c r="U960" i="11"/>
  <c r="U961" i="11"/>
  <c r="U962" i="11"/>
  <c r="U963" i="11"/>
  <c r="U964" i="11"/>
  <c r="U965" i="11"/>
  <c r="U966" i="11"/>
  <c r="U967" i="11"/>
  <c r="U968" i="11"/>
  <c r="U969" i="11"/>
  <c r="U970" i="11"/>
  <c r="U971" i="11"/>
  <c r="U972" i="11"/>
  <c r="U973" i="11"/>
  <c r="U974" i="11"/>
  <c r="U975" i="11"/>
  <c r="U976" i="11"/>
  <c r="U977" i="11"/>
  <c r="U978" i="11"/>
  <c r="U979" i="11"/>
  <c r="U980" i="11"/>
  <c r="U981" i="11"/>
  <c r="U982" i="11"/>
  <c r="U983" i="11"/>
  <c r="U984" i="11"/>
  <c r="U985" i="11"/>
  <c r="U986" i="11"/>
  <c r="U987" i="11"/>
  <c r="U988" i="11"/>
  <c r="U989" i="11"/>
  <c r="U990" i="11"/>
  <c r="U991" i="11"/>
  <c r="U992" i="11"/>
  <c r="U993" i="11"/>
  <c r="U994" i="11"/>
  <c r="U995" i="11"/>
  <c r="U996" i="11"/>
  <c r="U997" i="11"/>
  <c r="U998" i="11"/>
  <c r="U999" i="11"/>
  <c r="U1000" i="11"/>
  <c r="U1001" i="11"/>
  <c r="U1002" i="11"/>
  <c r="U1003" i="11"/>
  <c r="U1004" i="11"/>
  <c r="U1005" i="11"/>
  <c r="U1006" i="11"/>
  <c r="U1007" i="11"/>
  <c r="U1008" i="11"/>
  <c r="U1009" i="11"/>
  <c r="U1010" i="11"/>
  <c r="U1011" i="11"/>
  <c r="U1012" i="11"/>
  <c r="U1013" i="11"/>
  <c r="U1014" i="11"/>
  <c r="U1015" i="11"/>
  <c r="U1016" i="11"/>
  <c r="U1017" i="11"/>
  <c r="U1018" i="11"/>
  <c r="U1019" i="11"/>
  <c r="U1020" i="11"/>
  <c r="U1021" i="11"/>
  <c r="U1022" i="11"/>
  <c r="U1023" i="11"/>
  <c r="U1024" i="11"/>
  <c r="U1025" i="11"/>
  <c r="U1026" i="11"/>
  <c r="U1027" i="11"/>
  <c r="U1028" i="11"/>
  <c r="U1029" i="11"/>
  <c r="U1030" i="11"/>
  <c r="U1031" i="11"/>
  <c r="U1032" i="11"/>
  <c r="U1033" i="11"/>
  <c r="U1034" i="11"/>
  <c r="U73" i="11"/>
  <c r="U74" i="11"/>
  <c r="U75" i="11"/>
  <c r="U76" i="11"/>
  <c r="U77" i="11"/>
  <c r="U78" i="11"/>
  <c r="U79" i="11"/>
  <c r="U80" i="11"/>
  <c r="U81" i="11"/>
  <c r="U82" i="11"/>
  <c r="U68" i="11"/>
  <c r="U69" i="11"/>
  <c r="U70" i="11"/>
  <c r="U71" i="11"/>
  <c r="U72" i="11"/>
  <c r="U58" i="11"/>
  <c r="U59" i="11"/>
  <c r="U60" i="11"/>
  <c r="U61" i="11"/>
  <c r="U62" i="11"/>
  <c r="U63" i="11"/>
  <c r="U64" i="11"/>
  <c r="U65" i="11"/>
  <c r="U66" i="11"/>
  <c r="U67" i="11"/>
  <c r="U20" i="11"/>
  <c r="U21" i="11"/>
  <c r="U22" i="11"/>
  <c r="U23" i="11"/>
  <c r="U24" i="11"/>
  <c r="U25" i="11"/>
  <c r="U26" i="11"/>
  <c r="U27" i="11"/>
  <c r="U28" i="11"/>
  <c r="U29" i="11"/>
  <c r="U30" i="11"/>
  <c r="U31" i="11"/>
  <c r="U32" i="11"/>
  <c r="U33" i="11"/>
  <c r="U34" i="11"/>
  <c r="U35" i="11"/>
  <c r="U36" i="11"/>
  <c r="U37" i="11"/>
  <c r="U38" i="11"/>
  <c r="U39" i="11"/>
  <c r="U40" i="11"/>
  <c r="U41" i="11"/>
  <c r="U42" i="11"/>
  <c r="U43" i="11"/>
  <c r="U44" i="11"/>
  <c r="U45" i="11"/>
  <c r="U46" i="11"/>
  <c r="U47" i="11"/>
  <c r="U48" i="11"/>
  <c r="U49" i="11"/>
  <c r="U50" i="11"/>
  <c r="U51" i="11"/>
  <c r="U52" i="11"/>
  <c r="U53" i="11"/>
  <c r="U54" i="11"/>
  <c r="U55" i="11"/>
  <c r="U56" i="11"/>
  <c r="U57" i="11"/>
  <c r="U19" i="11"/>
  <c r="D14" i="11"/>
  <c r="D12" i="10"/>
  <c r="D12" i="11"/>
  <c r="D13" i="11"/>
  <c r="D14" i="10"/>
  <c r="D13" i="10"/>
  <c r="U19" i="10"/>
  <c r="U20" i="13" l="1"/>
  <c r="U20" i="10"/>
  <c r="D12" i="9"/>
  <c r="D13" i="9"/>
  <c r="U18" i="9"/>
  <c r="U80" i="8"/>
  <c r="U81" i="8"/>
  <c r="U82" i="8"/>
  <c r="U83" i="8"/>
  <c r="U84" i="8"/>
  <c r="U85" i="8"/>
  <c r="U86" i="8"/>
  <c r="U87" i="8"/>
  <c r="U88" i="8"/>
  <c r="U89" i="8"/>
  <c r="U90" i="8"/>
  <c r="U91" i="8"/>
  <c r="U92" i="8"/>
  <c r="U93" i="8"/>
  <c r="U94" i="8"/>
  <c r="U95" i="8"/>
  <c r="U96" i="8"/>
  <c r="U97" i="8"/>
  <c r="U98" i="8"/>
  <c r="U99" i="8"/>
  <c r="U100" i="8"/>
  <c r="U101" i="8"/>
  <c r="U102" i="8"/>
  <c r="U103" i="8"/>
  <c r="U104" i="8"/>
  <c r="U105" i="8"/>
  <c r="U106" i="8"/>
  <c r="U107" i="8"/>
  <c r="U108" i="8"/>
  <c r="U109" i="8"/>
  <c r="U110" i="8"/>
  <c r="U111" i="8"/>
  <c r="U112" i="8"/>
  <c r="U113" i="8"/>
  <c r="U114" i="8"/>
  <c r="U115" i="8"/>
  <c r="U116" i="8"/>
  <c r="U117" i="8"/>
  <c r="U118" i="8"/>
  <c r="U119" i="8"/>
  <c r="U120" i="8"/>
  <c r="U121" i="8"/>
  <c r="U122" i="8"/>
  <c r="U123" i="8"/>
  <c r="U124" i="8"/>
  <c r="U125" i="8"/>
  <c r="U126" i="8"/>
  <c r="U127" i="8"/>
  <c r="U128" i="8"/>
  <c r="U129" i="8"/>
  <c r="U130" i="8"/>
  <c r="U131" i="8"/>
  <c r="U132" i="8"/>
  <c r="U133" i="8"/>
  <c r="U134" i="8"/>
  <c r="U135" i="8"/>
  <c r="U136" i="8"/>
  <c r="U137" i="8"/>
  <c r="U138" i="8"/>
  <c r="U139" i="8"/>
  <c r="U140" i="8"/>
  <c r="U141" i="8"/>
  <c r="U142" i="8"/>
  <c r="U143" i="8"/>
  <c r="U144" i="8"/>
  <c r="U145" i="8"/>
  <c r="U146" i="8"/>
  <c r="U147" i="8"/>
  <c r="U148" i="8"/>
  <c r="U149" i="8"/>
  <c r="U150" i="8"/>
  <c r="U151" i="8"/>
  <c r="U152" i="8"/>
  <c r="U153" i="8"/>
  <c r="U154" i="8"/>
  <c r="U155" i="8"/>
  <c r="U156" i="8"/>
  <c r="U157" i="8"/>
  <c r="U158" i="8"/>
  <c r="U159" i="8"/>
  <c r="U160" i="8"/>
  <c r="U161" i="8"/>
  <c r="U162" i="8"/>
  <c r="U163" i="8"/>
  <c r="U164" i="8"/>
  <c r="U165" i="8"/>
  <c r="U166" i="8"/>
  <c r="U167" i="8"/>
  <c r="U168" i="8"/>
  <c r="U169" i="8"/>
  <c r="U170" i="8"/>
  <c r="U171" i="8"/>
  <c r="U172" i="8"/>
  <c r="U173" i="8"/>
  <c r="U174" i="8"/>
  <c r="U175" i="8"/>
  <c r="U176" i="8"/>
  <c r="U177" i="8"/>
  <c r="U178" i="8"/>
  <c r="U179" i="8"/>
  <c r="U180" i="8"/>
  <c r="U181" i="8"/>
  <c r="U182" i="8"/>
  <c r="U183" i="8"/>
  <c r="U184" i="8"/>
  <c r="U185" i="8"/>
  <c r="U186" i="8"/>
  <c r="U187" i="8"/>
  <c r="U188" i="8"/>
  <c r="U189" i="8"/>
  <c r="U190" i="8"/>
  <c r="U191" i="8"/>
  <c r="U192" i="8"/>
  <c r="U193" i="8"/>
  <c r="U194" i="8"/>
  <c r="U195" i="8"/>
  <c r="U196" i="8"/>
  <c r="U197" i="8"/>
  <c r="U198" i="8"/>
  <c r="U199" i="8"/>
  <c r="U200" i="8"/>
  <c r="U201" i="8"/>
  <c r="U202" i="8"/>
  <c r="U203" i="8"/>
  <c r="U204" i="8"/>
  <c r="U205" i="8"/>
  <c r="U206" i="8"/>
  <c r="U207" i="8"/>
  <c r="U208" i="8"/>
  <c r="U209" i="8"/>
  <c r="U210" i="8"/>
  <c r="U211" i="8"/>
  <c r="U212" i="8"/>
  <c r="U213" i="8"/>
  <c r="U214" i="8"/>
  <c r="U215" i="8"/>
  <c r="U216" i="8"/>
  <c r="U217" i="8"/>
  <c r="U218" i="8"/>
  <c r="U219" i="8"/>
  <c r="U220" i="8"/>
  <c r="U221" i="8"/>
  <c r="U222" i="8"/>
  <c r="U223" i="8"/>
  <c r="U224" i="8"/>
  <c r="U225" i="8"/>
  <c r="U226" i="8"/>
  <c r="U227" i="8"/>
  <c r="U228" i="8"/>
  <c r="U229" i="8"/>
  <c r="U230" i="8"/>
  <c r="U231" i="8"/>
  <c r="U232" i="8"/>
  <c r="U233" i="8"/>
  <c r="U234" i="8"/>
  <c r="U235" i="8"/>
  <c r="U236" i="8"/>
  <c r="U237" i="8"/>
  <c r="U238" i="8"/>
  <c r="U239" i="8"/>
  <c r="U240" i="8"/>
  <c r="U241" i="8"/>
  <c r="U242" i="8"/>
  <c r="U243" i="8"/>
  <c r="U244" i="8"/>
  <c r="U245" i="8"/>
  <c r="U246" i="8"/>
  <c r="U247" i="8"/>
  <c r="U248" i="8"/>
  <c r="U249" i="8"/>
  <c r="U250" i="8"/>
  <c r="U251" i="8"/>
  <c r="U252" i="8"/>
  <c r="U253" i="8"/>
  <c r="U254" i="8"/>
  <c r="U255" i="8"/>
  <c r="U256" i="8"/>
  <c r="U257" i="8"/>
  <c r="U258" i="8"/>
  <c r="U259" i="8"/>
  <c r="U260" i="8"/>
  <c r="U261" i="8"/>
  <c r="U262" i="8"/>
  <c r="U263" i="8"/>
  <c r="U264" i="8"/>
  <c r="U265" i="8"/>
  <c r="U266" i="8"/>
  <c r="U267" i="8"/>
  <c r="U268" i="8"/>
  <c r="U269" i="8"/>
  <c r="U270" i="8"/>
  <c r="U271" i="8"/>
  <c r="U272" i="8"/>
  <c r="U273" i="8"/>
  <c r="U274" i="8"/>
  <c r="U275" i="8"/>
  <c r="U276" i="8"/>
  <c r="U277" i="8"/>
  <c r="U278" i="8"/>
  <c r="U279" i="8"/>
  <c r="U280" i="8"/>
  <c r="U281" i="8"/>
  <c r="U282" i="8"/>
  <c r="U283" i="8"/>
  <c r="U284" i="8"/>
  <c r="U285" i="8"/>
  <c r="U286" i="8"/>
  <c r="U287" i="8"/>
  <c r="U288" i="8"/>
  <c r="U289" i="8"/>
  <c r="U290" i="8"/>
  <c r="U291" i="8"/>
  <c r="U292" i="8"/>
  <c r="U293" i="8"/>
  <c r="U294" i="8"/>
  <c r="U295" i="8"/>
  <c r="U296" i="8"/>
  <c r="U297" i="8"/>
  <c r="U298" i="8"/>
  <c r="U299" i="8"/>
  <c r="U300" i="8"/>
  <c r="U301" i="8"/>
  <c r="U302" i="8"/>
  <c r="U303" i="8"/>
  <c r="U304" i="8"/>
  <c r="U305" i="8"/>
  <c r="U306" i="8"/>
  <c r="U307" i="8"/>
  <c r="U308" i="8"/>
  <c r="U309" i="8"/>
  <c r="U310" i="8"/>
  <c r="U311" i="8"/>
  <c r="U312" i="8"/>
  <c r="U313" i="8"/>
  <c r="U314" i="8"/>
  <c r="U315" i="8"/>
  <c r="U316" i="8"/>
  <c r="U317" i="8"/>
  <c r="U318" i="8"/>
  <c r="U319" i="8"/>
  <c r="U320" i="8"/>
  <c r="U321" i="8"/>
  <c r="U322" i="8"/>
  <c r="U323" i="8"/>
  <c r="U324" i="8"/>
  <c r="U325" i="8"/>
  <c r="U326" i="8"/>
  <c r="U327" i="8"/>
  <c r="U328" i="8"/>
  <c r="U329" i="8"/>
  <c r="U330" i="8"/>
  <c r="U331" i="8"/>
  <c r="U332" i="8"/>
  <c r="U333" i="8"/>
  <c r="U334" i="8"/>
  <c r="U335" i="8"/>
  <c r="U336" i="8"/>
  <c r="U337" i="8"/>
  <c r="U338" i="8"/>
  <c r="U339" i="8"/>
  <c r="U340" i="8"/>
  <c r="U341" i="8"/>
  <c r="U342" i="8"/>
  <c r="U343" i="8"/>
  <c r="U344" i="8"/>
  <c r="U345" i="8"/>
  <c r="U346" i="8"/>
  <c r="U347" i="8"/>
  <c r="U348" i="8"/>
  <c r="U349" i="8"/>
  <c r="U350" i="8"/>
  <c r="U351" i="8"/>
  <c r="U352" i="8"/>
  <c r="U353" i="8"/>
  <c r="U354" i="8"/>
  <c r="U355" i="8"/>
  <c r="U356" i="8"/>
  <c r="U357" i="8"/>
  <c r="U358" i="8"/>
  <c r="U359" i="8"/>
  <c r="U360" i="8"/>
  <c r="U361" i="8"/>
  <c r="U362" i="8"/>
  <c r="U363" i="8"/>
  <c r="U364" i="8"/>
  <c r="U365" i="8"/>
  <c r="U366" i="8"/>
  <c r="U367" i="8"/>
  <c r="U368" i="8"/>
  <c r="U369" i="8"/>
  <c r="U370" i="8"/>
  <c r="U371" i="8"/>
  <c r="U372" i="8"/>
  <c r="U373" i="8"/>
  <c r="U374" i="8"/>
  <c r="U375" i="8"/>
  <c r="U376" i="8"/>
  <c r="U377" i="8"/>
  <c r="U378" i="8"/>
  <c r="U379" i="8"/>
  <c r="U380" i="8"/>
  <c r="U381" i="8"/>
  <c r="U382" i="8"/>
  <c r="U383" i="8"/>
  <c r="U384" i="8"/>
  <c r="U385" i="8"/>
  <c r="U386" i="8"/>
  <c r="U387" i="8"/>
  <c r="U388" i="8"/>
  <c r="U389" i="8"/>
  <c r="U390" i="8"/>
  <c r="U391" i="8"/>
  <c r="U392" i="8"/>
  <c r="U393" i="8"/>
  <c r="U394" i="8"/>
  <c r="U395" i="8"/>
  <c r="U396" i="8"/>
  <c r="U397" i="8"/>
  <c r="U398" i="8"/>
  <c r="U399" i="8"/>
  <c r="U400" i="8"/>
  <c r="U401" i="8"/>
  <c r="U402" i="8"/>
  <c r="U403" i="8"/>
  <c r="U404" i="8"/>
  <c r="U405" i="8"/>
  <c r="U406" i="8"/>
  <c r="U407" i="8"/>
  <c r="U408" i="8"/>
  <c r="U409" i="8"/>
  <c r="U410" i="8"/>
  <c r="U411" i="8"/>
  <c r="U412" i="8"/>
  <c r="U413" i="8"/>
  <c r="U414" i="8"/>
  <c r="U415" i="8"/>
  <c r="U416" i="8"/>
  <c r="U417" i="8"/>
  <c r="U418" i="8"/>
  <c r="U419" i="8"/>
  <c r="U420" i="8"/>
  <c r="U421" i="8"/>
  <c r="U422" i="8"/>
  <c r="U423" i="8"/>
  <c r="U424" i="8"/>
  <c r="U425" i="8"/>
  <c r="U426" i="8"/>
  <c r="U427" i="8"/>
  <c r="U428" i="8"/>
  <c r="U429" i="8"/>
  <c r="U430" i="8"/>
  <c r="U431" i="8"/>
  <c r="U432" i="8"/>
  <c r="U433" i="8"/>
  <c r="U434" i="8"/>
  <c r="U435" i="8"/>
  <c r="U436" i="8"/>
  <c r="U437" i="8"/>
  <c r="U438" i="8"/>
  <c r="U439" i="8"/>
  <c r="U440" i="8"/>
  <c r="U441" i="8"/>
  <c r="U442" i="8"/>
  <c r="U443" i="8"/>
  <c r="U444" i="8"/>
  <c r="U445" i="8"/>
  <c r="U446" i="8"/>
  <c r="U447" i="8"/>
  <c r="U448" i="8"/>
  <c r="U449" i="8"/>
  <c r="U450" i="8"/>
  <c r="U451" i="8"/>
  <c r="U452" i="8"/>
  <c r="U453" i="8"/>
  <c r="U454" i="8"/>
  <c r="U455" i="8"/>
  <c r="U456" i="8"/>
  <c r="U457" i="8"/>
  <c r="U458" i="8"/>
  <c r="U459" i="8"/>
  <c r="U460" i="8"/>
  <c r="U461" i="8"/>
  <c r="U462" i="8"/>
  <c r="U463" i="8"/>
  <c r="U464" i="8"/>
  <c r="U465" i="8"/>
  <c r="U466" i="8"/>
  <c r="U467" i="8"/>
  <c r="U468" i="8"/>
  <c r="U469" i="8"/>
  <c r="U470" i="8"/>
  <c r="U471" i="8"/>
  <c r="U472" i="8"/>
  <c r="U473" i="8"/>
  <c r="U474" i="8"/>
  <c r="U475" i="8"/>
  <c r="U476" i="8"/>
  <c r="U477" i="8"/>
  <c r="U478" i="8"/>
  <c r="U479" i="8"/>
  <c r="U480" i="8"/>
  <c r="U481" i="8"/>
  <c r="U482" i="8"/>
  <c r="U483" i="8"/>
  <c r="U484" i="8"/>
  <c r="U485" i="8"/>
  <c r="U486" i="8"/>
  <c r="U487" i="8"/>
  <c r="U488" i="8"/>
  <c r="U489" i="8"/>
  <c r="U490" i="8"/>
  <c r="U491" i="8"/>
  <c r="U492" i="8"/>
  <c r="U493" i="8"/>
  <c r="U494" i="8"/>
  <c r="U495" i="8"/>
  <c r="U496" i="8"/>
  <c r="U497" i="8"/>
  <c r="U498" i="8"/>
  <c r="U499" i="8"/>
  <c r="U500" i="8"/>
  <c r="U501" i="8"/>
  <c r="U502" i="8"/>
  <c r="U503" i="8"/>
  <c r="U504" i="8"/>
  <c r="U505" i="8"/>
  <c r="U506" i="8"/>
  <c r="U507" i="8"/>
  <c r="U508" i="8"/>
  <c r="U509" i="8"/>
  <c r="U510" i="8"/>
  <c r="U511" i="8"/>
  <c r="U512" i="8"/>
  <c r="U513" i="8"/>
  <c r="U514" i="8"/>
  <c r="U515" i="8"/>
  <c r="U516" i="8"/>
  <c r="U517" i="8"/>
  <c r="U518" i="8"/>
  <c r="U519" i="8"/>
  <c r="U520" i="8"/>
  <c r="U521" i="8"/>
  <c r="U522" i="8"/>
  <c r="U523" i="8"/>
  <c r="U524" i="8"/>
  <c r="U525" i="8"/>
  <c r="U526" i="8"/>
  <c r="U527" i="8"/>
  <c r="U528" i="8"/>
  <c r="U529" i="8"/>
  <c r="U530" i="8"/>
  <c r="U531" i="8"/>
  <c r="U532" i="8"/>
  <c r="U533" i="8"/>
  <c r="U534" i="8"/>
  <c r="U535" i="8"/>
  <c r="U536" i="8"/>
  <c r="U537" i="8"/>
  <c r="U538" i="8"/>
  <c r="U539" i="8"/>
  <c r="U540" i="8"/>
  <c r="U541" i="8"/>
  <c r="U542" i="8"/>
  <c r="U543" i="8"/>
  <c r="U544" i="8"/>
  <c r="U545" i="8"/>
  <c r="U546" i="8"/>
  <c r="U547" i="8"/>
  <c r="U548" i="8"/>
  <c r="U549" i="8"/>
  <c r="U550" i="8"/>
  <c r="U551" i="8"/>
  <c r="U552" i="8"/>
  <c r="U553" i="8"/>
  <c r="U554" i="8"/>
  <c r="U555" i="8"/>
  <c r="U556" i="8"/>
  <c r="U557" i="8"/>
  <c r="U558" i="8"/>
  <c r="U559" i="8"/>
  <c r="U560" i="8"/>
  <c r="U561" i="8"/>
  <c r="U562" i="8"/>
  <c r="U563" i="8"/>
  <c r="U564" i="8"/>
  <c r="U565" i="8"/>
  <c r="U566" i="8"/>
  <c r="U567" i="8"/>
  <c r="U568" i="8"/>
  <c r="U569" i="8"/>
  <c r="U570" i="8"/>
  <c r="U571" i="8"/>
  <c r="U572" i="8"/>
  <c r="U573" i="8"/>
  <c r="U574" i="8"/>
  <c r="U575" i="8"/>
  <c r="U576" i="8"/>
  <c r="U577" i="8"/>
  <c r="U578" i="8"/>
  <c r="U579" i="8"/>
  <c r="U580" i="8"/>
  <c r="U581" i="8"/>
  <c r="U582" i="8"/>
  <c r="U583" i="8"/>
  <c r="U584" i="8"/>
  <c r="U585" i="8"/>
  <c r="U586" i="8"/>
  <c r="U587" i="8"/>
  <c r="U588" i="8"/>
  <c r="U589" i="8"/>
  <c r="U590" i="8"/>
  <c r="U591" i="8"/>
  <c r="U592" i="8"/>
  <c r="U593" i="8"/>
  <c r="U594" i="8"/>
  <c r="U595" i="8"/>
  <c r="U596" i="8"/>
  <c r="U597" i="8"/>
  <c r="U598" i="8"/>
  <c r="U599" i="8"/>
  <c r="U600" i="8"/>
  <c r="U601" i="8"/>
  <c r="U602" i="8"/>
  <c r="U603" i="8"/>
  <c r="U604" i="8"/>
  <c r="U605" i="8"/>
  <c r="U606" i="8"/>
  <c r="U607" i="8"/>
  <c r="U608" i="8"/>
  <c r="U609" i="8"/>
  <c r="U610" i="8"/>
  <c r="U611" i="8"/>
  <c r="U612" i="8"/>
  <c r="U613" i="8"/>
  <c r="U614" i="8"/>
  <c r="U615" i="8"/>
  <c r="U616" i="8"/>
  <c r="U617" i="8"/>
  <c r="U618" i="8"/>
  <c r="U619" i="8"/>
  <c r="U620" i="8"/>
  <c r="U621" i="8"/>
  <c r="U622" i="8"/>
  <c r="U623" i="8"/>
  <c r="U624" i="8"/>
  <c r="U625" i="8"/>
  <c r="U626" i="8"/>
  <c r="U627" i="8"/>
  <c r="U628" i="8"/>
  <c r="U629" i="8"/>
  <c r="U630" i="8"/>
  <c r="U631" i="8"/>
  <c r="U632" i="8"/>
  <c r="U633" i="8"/>
  <c r="U634" i="8"/>
  <c r="U635" i="8"/>
  <c r="U636" i="8"/>
  <c r="U637" i="8"/>
  <c r="U638" i="8"/>
  <c r="U639" i="8"/>
  <c r="U640" i="8"/>
  <c r="U641" i="8"/>
  <c r="U642" i="8"/>
  <c r="U643" i="8"/>
  <c r="U644" i="8"/>
  <c r="U645" i="8"/>
  <c r="U646" i="8"/>
  <c r="U647" i="8"/>
  <c r="U648" i="8"/>
  <c r="U649" i="8"/>
  <c r="U650" i="8"/>
  <c r="U651" i="8"/>
  <c r="U652" i="8"/>
  <c r="U653" i="8"/>
  <c r="U654" i="8"/>
  <c r="U655" i="8"/>
  <c r="U656" i="8"/>
  <c r="U657" i="8"/>
  <c r="U658" i="8"/>
  <c r="U659" i="8"/>
  <c r="U660" i="8"/>
  <c r="U661" i="8"/>
  <c r="U662" i="8"/>
  <c r="U663" i="8"/>
  <c r="U664" i="8"/>
  <c r="U665" i="8"/>
  <c r="U666" i="8"/>
  <c r="U667" i="8"/>
  <c r="U668" i="8"/>
  <c r="U669" i="8"/>
  <c r="U670" i="8"/>
  <c r="U671" i="8"/>
  <c r="U672" i="8"/>
  <c r="U673" i="8"/>
  <c r="U674" i="8"/>
  <c r="U675" i="8"/>
  <c r="U676" i="8"/>
  <c r="U677" i="8"/>
  <c r="U678" i="8"/>
  <c r="U679" i="8"/>
  <c r="U680" i="8"/>
  <c r="U681" i="8"/>
  <c r="U682" i="8"/>
  <c r="U683" i="8"/>
  <c r="U684" i="8"/>
  <c r="U685" i="8"/>
  <c r="U686" i="8"/>
  <c r="U687" i="8"/>
  <c r="U688" i="8"/>
  <c r="U689" i="8"/>
  <c r="U690" i="8"/>
  <c r="U691" i="8"/>
  <c r="U692" i="8"/>
  <c r="U693" i="8"/>
  <c r="U694" i="8"/>
  <c r="U695" i="8"/>
  <c r="U696" i="8"/>
  <c r="U697" i="8"/>
  <c r="U698" i="8"/>
  <c r="U699" i="8"/>
  <c r="U700" i="8"/>
  <c r="U701" i="8"/>
  <c r="U702" i="8"/>
  <c r="U703" i="8"/>
  <c r="U704" i="8"/>
  <c r="U705" i="8"/>
  <c r="U706" i="8"/>
  <c r="U707" i="8"/>
  <c r="U708" i="8"/>
  <c r="U709" i="8"/>
  <c r="U710" i="8"/>
  <c r="U711" i="8"/>
  <c r="U712" i="8"/>
  <c r="U713" i="8"/>
  <c r="U714" i="8"/>
  <c r="U715" i="8"/>
  <c r="U716" i="8"/>
  <c r="U717" i="8"/>
  <c r="U718" i="8"/>
  <c r="U719" i="8"/>
  <c r="U720" i="8"/>
  <c r="U721" i="8"/>
  <c r="U722" i="8"/>
  <c r="U723" i="8"/>
  <c r="U724" i="8"/>
  <c r="U725" i="8"/>
  <c r="U726" i="8"/>
  <c r="U727" i="8"/>
  <c r="U728" i="8"/>
  <c r="U729" i="8"/>
  <c r="U730" i="8"/>
  <c r="U731" i="8"/>
  <c r="U732" i="8"/>
  <c r="U733" i="8"/>
  <c r="U734" i="8"/>
  <c r="U735" i="8"/>
  <c r="U736" i="8"/>
  <c r="U737" i="8"/>
  <c r="U738" i="8"/>
  <c r="U739" i="8"/>
  <c r="U740" i="8"/>
  <c r="U741" i="8"/>
  <c r="U742" i="8"/>
  <c r="U743" i="8"/>
  <c r="U744" i="8"/>
  <c r="U745" i="8"/>
  <c r="U746" i="8"/>
  <c r="U747" i="8"/>
  <c r="U748" i="8"/>
  <c r="U749" i="8"/>
  <c r="U750" i="8"/>
  <c r="U751" i="8"/>
  <c r="U752" i="8"/>
  <c r="U753" i="8"/>
  <c r="U754" i="8"/>
  <c r="U755" i="8"/>
  <c r="U756" i="8"/>
  <c r="U757" i="8"/>
  <c r="U758" i="8"/>
  <c r="U759" i="8"/>
  <c r="U760" i="8"/>
  <c r="U761" i="8"/>
  <c r="U762" i="8"/>
  <c r="U763" i="8"/>
  <c r="U764" i="8"/>
  <c r="U765" i="8"/>
  <c r="U766" i="8"/>
  <c r="U767" i="8"/>
  <c r="U768" i="8"/>
  <c r="U769" i="8"/>
  <c r="U770" i="8"/>
  <c r="U771" i="8"/>
  <c r="U772" i="8"/>
  <c r="U773" i="8"/>
  <c r="U774" i="8"/>
  <c r="U775" i="8"/>
  <c r="U776" i="8"/>
  <c r="U777" i="8"/>
  <c r="U778" i="8"/>
  <c r="U779" i="8"/>
  <c r="U780" i="8"/>
  <c r="U781" i="8"/>
  <c r="U782" i="8"/>
  <c r="U783" i="8"/>
  <c r="U784" i="8"/>
  <c r="U785" i="8"/>
  <c r="U786" i="8"/>
  <c r="U787" i="8"/>
  <c r="U788" i="8"/>
  <c r="U789" i="8"/>
  <c r="U790" i="8"/>
  <c r="U791" i="8"/>
  <c r="U792" i="8"/>
  <c r="U793" i="8"/>
  <c r="U794" i="8"/>
  <c r="U795" i="8"/>
  <c r="U796" i="8"/>
  <c r="U797" i="8"/>
  <c r="U798" i="8"/>
  <c r="U799" i="8"/>
  <c r="U800" i="8"/>
  <c r="U801" i="8"/>
  <c r="U802" i="8"/>
  <c r="U803" i="8"/>
  <c r="U804" i="8"/>
  <c r="U805" i="8"/>
  <c r="U806" i="8"/>
  <c r="U807" i="8"/>
  <c r="U808" i="8"/>
  <c r="U809" i="8"/>
  <c r="U810" i="8"/>
  <c r="U811" i="8"/>
  <c r="U812" i="8"/>
  <c r="U813" i="8"/>
  <c r="U814" i="8"/>
  <c r="U815" i="8"/>
  <c r="U816" i="8"/>
  <c r="U817" i="8"/>
  <c r="U818" i="8"/>
  <c r="U819" i="8"/>
  <c r="U820" i="8"/>
  <c r="U821" i="8"/>
  <c r="U822" i="8"/>
  <c r="U823" i="8"/>
  <c r="U824" i="8"/>
  <c r="U825" i="8"/>
  <c r="U826" i="8"/>
  <c r="U827" i="8"/>
  <c r="U828" i="8"/>
  <c r="U829" i="8"/>
  <c r="U830" i="8"/>
  <c r="U831" i="8"/>
  <c r="U832" i="8"/>
  <c r="U833" i="8"/>
  <c r="U834" i="8"/>
  <c r="U835" i="8"/>
  <c r="U836" i="8"/>
  <c r="U837" i="8"/>
  <c r="U838" i="8"/>
  <c r="U839" i="8"/>
  <c r="U840" i="8"/>
  <c r="U841" i="8"/>
  <c r="U842" i="8"/>
  <c r="U843" i="8"/>
  <c r="U844" i="8"/>
  <c r="U845" i="8"/>
  <c r="U846" i="8"/>
  <c r="U847" i="8"/>
  <c r="U848" i="8"/>
  <c r="U849" i="8"/>
  <c r="U850" i="8"/>
  <c r="U851" i="8"/>
  <c r="U852" i="8"/>
  <c r="U853" i="8"/>
  <c r="U854" i="8"/>
  <c r="U855" i="8"/>
  <c r="U856" i="8"/>
  <c r="U857" i="8"/>
  <c r="U858" i="8"/>
  <c r="U859" i="8"/>
  <c r="U860" i="8"/>
  <c r="U861" i="8"/>
  <c r="U862" i="8"/>
  <c r="U863" i="8"/>
  <c r="U864" i="8"/>
  <c r="U865" i="8"/>
  <c r="U866" i="8"/>
  <c r="U867" i="8"/>
  <c r="U868" i="8"/>
  <c r="U869" i="8"/>
  <c r="U870" i="8"/>
  <c r="U871" i="8"/>
  <c r="U872" i="8"/>
  <c r="U873" i="8"/>
  <c r="U874" i="8"/>
  <c r="U875" i="8"/>
  <c r="U876" i="8"/>
  <c r="U877" i="8"/>
  <c r="U878" i="8"/>
  <c r="U879" i="8"/>
  <c r="U880" i="8"/>
  <c r="U881" i="8"/>
  <c r="U882" i="8"/>
  <c r="U883" i="8"/>
  <c r="U884" i="8"/>
  <c r="U885" i="8"/>
  <c r="U886" i="8"/>
  <c r="U887" i="8"/>
  <c r="U888" i="8"/>
  <c r="U889" i="8"/>
  <c r="U890" i="8"/>
  <c r="U891" i="8"/>
  <c r="U892" i="8"/>
  <c r="U893" i="8"/>
  <c r="U894" i="8"/>
  <c r="U895" i="8"/>
  <c r="U896" i="8"/>
  <c r="U897" i="8"/>
  <c r="U898" i="8"/>
  <c r="U899" i="8"/>
  <c r="U900" i="8"/>
  <c r="U901" i="8"/>
  <c r="U902" i="8"/>
  <c r="U903" i="8"/>
  <c r="U904" i="8"/>
  <c r="U905" i="8"/>
  <c r="U906" i="8"/>
  <c r="U907" i="8"/>
  <c r="U908" i="8"/>
  <c r="U909" i="8"/>
  <c r="U910" i="8"/>
  <c r="U911" i="8"/>
  <c r="U912" i="8"/>
  <c r="U913" i="8"/>
  <c r="U914" i="8"/>
  <c r="U915" i="8"/>
  <c r="U916" i="8"/>
  <c r="U917" i="8"/>
  <c r="U918" i="8"/>
  <c r="U919" i="8"/>
  <c r="U920" i="8"/>
  <c r="U921" i="8"/>
  <c r="U922" i="8"/>
  <c r="U923" i="8"/>
  <c r="U924" i="8"/>
  <c r="U925" i="8"/>
  <c r="U926" i="8"/>
  <c r="U927" i="8"/>
  <c r="U928" i="8"/>
  <c r="U929" i="8"/>
  <c r="U930" i="8"/>
  <c r="U931" i="8"/>
  <c r="U932" i="8"/>
  <c r="U933" i="8"/>
  <c r="U934" i="8"/>
  <c r="U935" i="8"/>
  <c r="U936" i="8"/>
  <c r="U937" i="8"/>
  <c r="U938" i="8"/>
  <c r="U939" i="8"/>
  <c r="U940" i="8"/>
  <c r="U941" i="8"/>
  <c r="U942" i="8"/>
  <c r="U943" i="8"/>
  <c r="U944" i="8"/>
  <c r="U945" i="8"/>
  <c r="U946" i="8"/>
  <c r="U947" i="8"/>
  <c r="U948" i="8"/>
  <c r="U949" i="8"/>
  <c r="U950" i="8"/>
  <c r="U951" i="8"/>
  <c r="U952" i="8"/>
  <c r="U953" i="8"/>
  <c r="U954" i="8"/>
  <c r="U955" i="8"/>
  <c r="U956" i="8"/>
  <c r="U957" i="8"/>
  <c r="U958" i="8"/>
  <c r="U959" i="8"/>
  <c r="U960" i="8"/>
  <c r="U961" i="8"/>
  <c r="U962" i="8"/>
  <c r="U963" i="8"/>
  <c r="U964" i="8"/>
  <c r="U965" i="8"/>
  <c r="U966" i="8"/>
  <c r="U967" i="8"/>
  <c r="U968" i="8"/>
  <c r="U969" i="8"/>
  <c r="U970" i="8"/>
  <c r="U971" i="8"/>
  <c r="U972" i="8"/>
  <c r="U973" i="8"/>
  <c r="U974" i="8"/>
  <c r="U975" i="8"/>
  <c r="U976" i="8"/>
  <c r="U977" i="8"/>
  <c r="U978" i="8"/>
  <c r="U979" i="8"/>
  <c r="U980" i="8"/>
  <c r="U981" i="8"/>
  <c r="U982" i="8"/>
  <c r="U983" i="8"/>
  <c r="U984" i="8"/>
  <c r="U985" i="8"/>
  <c r="U986" i="8"/>
  <c r="U987" i="8"/>
  <c r="U988" i="8"/>
  <c r="U989" i="8"/>
  <c r="U990" i="8"/>
  <c r="U991" i="8"/>
  <c r="U992" i="8"/>
  <c r="U993" i="8"/>
  <c r="U994" i="8"/>
  <c r="U995" i="8"/>
  <c r="U996" i="8"/>
  <c r="U997" i="8"/>
  <c r="U998" i="8"/>
  <c r="U999" i="8"/>
  <c r="U1000" i="8"/>
  <c r="U1001" i="8"/>
  <c r="U1002" i="8"/>
  <c r="U1003" i="8"/>
  <c r="U1004" i="8"/>
  <c r="U1005" i="8"/>
  <c r="U1006" i="8"/>
  <c r="U1007" i="8"/>
  <c r="U1008" i="8"/>
  <c r="U1009" i="8"/>
  <c r="U1010" i="8"/>
  <c r="U1011" i="8"/>
  <c r="U1012" i="8"/>
  <c r="U1013" i="8"/>
  <c r="U1014" i="8"/>
  <c r="U1015" i="8"/>
  <c r="U1016" i="8"/>
  <c r="U1017" i="8"/>
  <c r="U1018" i="8"/>
  <c r="U1019" i="8"/>
  <c r="U1020" i="8"/>
  <c r="U1021" i="8"/>
  <c r="U1022" i="8"/>
  <c r="U1023" i="8"/>
  <c r="U1024" i="8"/>
  <c r="U1025" i="8"/>
  <c r="U1026" i="8"/>
  <c r="U1027" i="8"/>
  <c r="U1028" i="8"/>
  <c r="U1029" i="8"/>
  <c r="U1030" i="8"/>
  <c r="U1031" i="8"/>
  <c r="U1032" i="8"/>
  <c r="U1033" i="8"/>
  <c r="U68" i="8"/>
  <c r="U69" i="8"/>
  <c r="U70" i="8"/>
  <c r="U71" i="8"/>
  <c r="U72" i="8"/>
  <c r="U73" i="8"/>
  <c r="U74" i="8"/>
  <c r="U75" i="8"/>
  <c r="U76" i="8"/>
  <c r="U77" i="8"/>
  <c r="U78" i="8"/>
  <c r="U79" i="8"/>
  <c r="U55" i="8"/>
  <c r="U56" i="8"/>
  <c r="U57" i="8"/>
  <c r="U58" i="8"/>
  <c r="U59" i="8"/>
  <c r="U60" i="8"/>
  <c r="U61" i="8"/>
  <c r="U62" i="8"/>
  <c r="U63" i="8"/>
  <c r="U64" i="8"/>
  <c r="U65" i="8"/>
  <c r="U66" i="8"/>
  <c r="U67" i="8"/>
  <c r="U19" i="8"/>
  <c r="U20" i="8"/>
  <c r="U21" i="8"/>
  <c r="U22" i="8"/>
  <c r="U23" i="8"/>
  <c r="U24" i="8"/>
  <c r="U25" i="8"/>
  <c r="U26" i="8"/>
  <c r="U27" i="8"/>
  <c r="U28" i="8"/>
  <c r="U29" i="8"/>
  <c r="U30" i="8"/>
  <c r="U31" i="8"/>
  <c r="U32" i="8"/>
  <c r="U33" i="8"/>
  <c r="U34" i="8"/>
  <c r="U35" i="8"/>
  <c r="U36" i="8"/>
  <c r="U37" i="8"/>
  <c r="U38" i="8"/>
  <c r="U39" i="8"/>
  <c r="U40" i="8"/>
  <c r="U41" i="8"/>
  <c r="U42" i="8"/>
  <c r="U43" i="8"/>
  <c r="U44" i="8"/>
  <c r="U45" i="8"/>
  <c r="U46" i="8"/>
  <c r="U47" i="8"/>
  <c r="U48" i="8"/>
  <c r="U49" i="8"/>
  <c r="U50" i="8"/>
  <c r="U51" i="8"/>
  <c r="U52" i="8"/>
  <c r="U53" i="8"/>
  <c r="U54" i="8"/>
  <c r="U18" i="8"/>
  <c r="D13" i="8"/>
  <c r="D12" i="8"/>
  <c r="U17" i="7"/>
  <c r="D12" i="7"/>
  <c r="D11" i="7"/>
  <c r="U21" i="13" l="1"/>
  <c r="U21" i="10"/>
  <c r="U19" i="9"/>
  <c r="U17" i="6"/>
  <c r="D11" i="6"/>
  <c r="D10" i="6"/>
  <c r="U19" i="3"/>
  <c r="D11" i="3"/>
  <c r="D10" i="3"/>
  <c r="U22" i="13" l="1"/>
  <c r="U22" i="10"/>
  <c r="U18" i="7"/>
  <c r="U19" i="6"/>
  <c r="U18" i="6"/>
  <c r="U20" i="6"/>
  <c r="U18" i="3"/>
  <c r="U17" i="3"/>
  <c r="U23" i="13" l="1"/>
  <c r="U23" i="10"/>
  <c r="U20" i="9"/>
  <c r="U19" i="7"/>
  <c r="U21" i="6"/>
  <c r="U20" i="3"/>
  <c r="U24" i="13" l="1"/>
  <c r="U24" i="10"/>
  <c r="U21" i="9"/>
  <c r="U20" i="7"/>
  <c r="U22" i="6"/>
  <c r="U21" i="3"/>
  <c r="U25" i="13" l="1"/>
  <c r="U25" i="10"/>
  <c r="U22" i="9"/>
  <c r="U21" i="7"/>
  <c r="U23" i="6"/>
  <c r="U22" i="3"/>
  <c r="U26" i="13" l="1"/>
  <c r="U26" i="10"/>
  <c r="U23" i="9"/>
  <c r="U22" i="7"/>
  <c r="U24" i="6"/>
  <c r="U23" i="3"/>
  <c r="U27" i="13" l="1"/>
  <c r="U27" i="10"/>
  <c r="U24" i="9"/>
  <c r="U23" i="7"/>
  <c r="U25" i="6"/>
  <c r="U24" i="3"/>
  <c r="U28" i="13" l="1"/>
  <c r="U28" i="10"/>
  <c r="U25" i="9"/>
  <c r="U24" i="7"/>
  <c r="U26" i="6"/>
  <c r="U25" i="3"/>
  <c r="U29" i="13" l="1"/>
  <c r="U29" i="10"/>
  <c r="U26" i="9"/>
  <c r="U25" i="7"/>
  <c r="U27" i="6"/>
  <c r="U26" i="3"/>
  <c r="U30" i="13" l="1"/>
  <c r="U30" i="10"/>
  <c r="U27" i="9"/>
  <c r="U26" i="7"/>
  <c r="U28" i="6"/>
  <c r="U27" i="3"/>
  <c r="U31" i="13" l="1"/>
  <c r="U31" i="10"/>
  <c r="U28" i="9"/>
  <c r="U27" i="7"/>
  <c r="U29" i="6"/>
  <c r="U28" i="3"/>
  <c r="U32" i="13" l="1"/>
  <c r="U32" i="10"/>
  <c r="U29" i="9"/>
  <c r="U28" i="7"/>
  <c r="U30" i="6"/>
  <c r="U29" i="3"/>
  <c r="U33" i="13" l="1"/>
  <c r="U33" i="10"/>
  <c r="U30" i="9"/>
  <c r="U29" i="7"/>
  <c r="U31" i="6"/>
  <c r="U30" i="3"/>
  <c r="U34" i="13" l="1"/>
  <c r="U34" i="10"/>
  <c r="U31" i="9"/>
  <c r="U30" i="7"/>
  <c r="U32" i="6"/>
  <c r="U31" i="3"/>
  <c r="U35" i="13" l="1"/>
  <c r="U35" i="10"/>
  <c r="U32" i="9"/>
  <c r="U31" i="7"/>
  <c r="U33" i="6"/>
  <c r="U32" i="3"/>
  <c r="U36" i="13" l="1"/>
  <c r="U36" i="10"/>
  <c r="U33" i="9"/>
  <c r="U32" i="7"/>
  <c r="U34" i="6"/>
  <c r="U33" i="3"/>
  <c r="U37" i="13" l="1"/>
  <c r="U37" i="10"/>
  <c r="U34" i="9"/>
  <c r="U33" i="7"/>
  <c r="U35" i="6"/>
  <c r="U34" i="3"/>
  <c r="U38" i="13" l="1"/>
  <c r="U38" i="10"/>
  <c r="U35" i="9"/>
  <c r="U34" i="7"/>
  <c r="U36" i="6"/>
  <c r="U35" i="3"/>
  <c r="U39" i="13" l="1"/>
  <c r="U39" i="10"/>
  <c r="U36" i="9"/>
  <c r="U35" i="7"/>
  <c r="U37" i="6"/>
  <c r="U36" i="3"/>
  <c r="U40" i="13" l="1"/>
  <c r="U40" i="10"/>
  <c r="U37" i="9"/>
  <c r="U36" i="7"/>
  <c r="U38" i="6"/>
  <c r="U37" i="3"/>
  <c r="U41" i="13" l="1"/>
  <c r="U41" i="10"/>
  <c r="U38" i="9"/>
  <c r="U37" i="7"/>
  <c r="U39" i="6"/>
  <c r="U38" i="3"/>
  <c r="U42" i="13" l="1"/>
  <c r="U42" i="10"/>
  <c r="U39" i="9"/>
  <c r="U38" i="7"/>
  <c r="U40" i="6"/>
  <c r="U39" i="3"/>
  <c r="U43" i="13" l="1"/>
  <c r="U43" i="10"/>
  <c r="U40" i="9"/>
  <c r="U39" i="7"/>
  <c r="U41" i="6"/>
  <c r="U40" i="3"/>
  <c r="U44" i="13" l="1"/>
  <c r="U44" i="10"/>
  <c r="U41" i="9"/>
  <c r="U40" i="7"/>
  <c r="U42" i="6"/>
  <c r="U41" i="3"/>
  <c r="U45" i="13" l="1"/>
  <c r="U45" i="10"/>
  <c r="U42" i="9"/>
  <c r="U41" i="7"/>
  <c r="U43" i="6"/>
  <c r="U42" i="3"/>
  <c r="U46" i="13" l="1"/>
  <c r="U46" i="10"/>
  <c r="U43" i="9"/>
  <c r="U42" i="7"/>
  <c r="U44" i="6"/>
  <c r="U43" i="3"/>
  <c r="U47" i="13" l="1"/>
  <c r="U47" i="10"/>
  <c r="U44" i="9"/>
  <c r="U43" i="7"/>
  <c r="U45" i="6"/>
  <c r="U44" i="3"/>
  <c r="U48" i="13" l="1"/>
  <c r="U48" i="10"/>
  <c r="U45" i="9"/>
  <c r="U44" i="7"/>
  <c r="U46" i="6"/>
  <c r="U45" i="3"/>
  <c r="U49" i="13" l="1"/>
  <c r="U49" i="10"/>
  <c r="U46" i="9"/>
  <c r="U45" i="7"/>
  <c r="U47" i="6"/>
  <c r="U46" i="3"/>
  <c r="U50" i="13" l="1"/>
  <c r="U50" i="10"/>
  <c r="U47" i="9"/>
  <c r="U46" i="7"/>
  <c r="U48" i="6"/>
  <c r="U47" i="3"/>
  <c r="U51" i="13" l="1"/>
  <c r="U51" i="10"/>
  <c r="U48" i="9"/>
  <c r="U47" i="7"/>
  <c r="U49" i="6"/>
  <c r="U48" i="3"/>
  <c r="U52" i="13" l="1"/>
  <c r="U52" i="10"/>
  <c r="U49" i="9"/>
  <c r="U48" i="7"/>
  <c r="U50" i="6"/>
  <c r="U49" i="3"/>
  <c r="U53" i="13" l="1"/>
  <c r="U53" i="10"/>
  <c r="U50" i="9"/>
  <c r="U49" i="7"/>
  <c r="U51" i="6"/>
  <c r="U50" i="3"/>
  <c r="U54" i="13" l="1"/>
  <c r="U54" i="10"/>
  <c r="U51" i="9"/>
  <c r="U50" i="7"/>
  <c r="U52" i="6"/>
  <c r="U51" i="3"/>
  <c r="U55" i="13" l="1"/>
  <c r="U55" i="10"/>
  <c r="U52" i="9"/>
  <c r="U51" i="7"/>
  <c r="U53" i="6"/>
  <c r="U52" i="3"/>
  <c r="U56" i="13" l="1"/>
  <c r="U56" i="10"/>
  <c r="U53" i="9"/>
  <c r="U52" i="7"/>
  <c r="U54" i="6"/>
  <c r="U53" i="3"/>
  <c r="U57" i="13" l="1"/>
  <c r="U57" i="10"/>
  <c r="U54" i="9"/>
  <c r="U53" i="7"/>
  <c r="U55" i="6"/>
  <c r="U54" i="3"/>
  <c r="U58" i="13" l="1"/>
  <c r="U58" i="10"/>
  <c r="U55" i="9"/>
  <c r="U54" i="7"/>
  <c r="U56" i="6"/>
  <c r="U55" i="3"/>
  <c r="U59" i="13" l="1"/>
  <c r="U59" i="10"/>
  <c r="U56" i="9"/>
  <c r="U55" i="7"/>
  <c r="U57" i="6"/>
  <c r="U56" i="3"/>
  <c r="U60" i="13" l="1"/>
  <c r="U60" i="10"/>
  <c r="U57" i="9"/>
  <c r="U56" i="7"/>
  <c r="U58" i="6"/>
  <c r="U57" i="3"/>
  <c r="U61" i="13" l="1"/>
  <c r="U61" i="10"/>
  <c r="U58" i="9"/>
  <c r="U57" i="7"/>
  <c r="U59" i="6"/>
  <c r="U58" i="3"/>
  <c r="U62" i="13" l="1"/>
  <c r="U62" i="10"/>
  <c r="U59" i="9"/>
  <c r="U58" i="7"/>
  <c r="U60" i="6"/>
  <c r="U59" i="3"/>
  <c r="U63" i="13" l="1"/>
  <c r="U63" i="10"/>
  <c r="U60" i="9"/>
  <c r="U59" i="7"/>
  <c r="U61" i="6"/>
  <c r="U60" i="3"/>
  <c r="U64" i="13" l="1"/>
  <c r="U64" i="10"/>
  <c r="U61" i="9"/>
  <c r="U60" i="7"/>
  <c r="U62" i="6"/>
  <c r="U61" i="3"/>
  <c r="U65" i="13" l="1"/>
  <c r="U65" i="10"/>
  <c r="U62" i="9"/>
  <c r="U61" i="7"/>
  <c r="U63" i="6"/>
  <c r="U62" i="3"/>
  <c r="U66" i="13" l="1"/>
  <c r="U66" i="10"/>
  <c r="U63" i="9"/>
  <c r="U62" i="7"/>
  <c r="U64" i="6"/>
  <c r="U63" i="3"/>
  <c r="U67" i="13" l="1"/>
  <c r="U67" i="10"/>
  <c r="U64" i="9"/>
  <c r="U63" i="7"/>
  <c r="U65" i="6"/>
  <c r="U64" i="3"/>
  <c r="U68" i="13" l="1"/>
  <c r="U68" i="10"/>
  <c r="U65" i="9"/>
  <c r="U64" i="7"/>
  <c r="U66" i="6"/>
  <c r="U65" i="3"/>
  <c r="U69" i="13" l="1"/>
  <c r="U69" i="10"/>
  <c r="U66" i="9"/>
  <c r="U65" i="7"/>
  <c r="U67" i="6"/>
  <c r="U66" i="3"/>
  <c r="U70" i="13" l="1"/>
  <c r="U70" i="10"/>
  <c r="U67" i="9"/>
  <c r="U66" i="7"/>
  <c r="U68" i="6"/>
  <c r="U67" i="3"/>
  <c r="U71" i="13" l="1"/>
  <c r="U71" i="10"/>
  <c r="U68" i="9"/>
  <c r="U67" i="7"/>
  <c r="U69" i="6"/>
  <c r="U68" i="3"/>
  <c r="U72" i="13" l="1"/>
  <c r="U72" i="10"/>
  <c r="U69" i="9"/>
  <c r="U68" i="7"/>
  <c r="U70" i="6"/>
  <c r="U69" i="3"/>
  <c r="U73" i="13" l="1"/>
  <c r="U73" i="10"/>
  <c r="U70" i="9"/>
  <c r="U69" i="7"/>
  <c r="U71" i="6"/>
  <c r="U70" i="3"/>
  <c r="U74" i="13" l="1"/>
  <c r="U74" i="10"/>
  <c r="U71" i="9"/>
  <c r="U70" i="7"/>
  <c r="U72" i="6"/>
  <c r="U71" i="3"/>
  <c r="U75" i="13" l="1"/>
  <c r="U75" i="10"/>
  <c r="U72" i="9"/>
  <c r="U71" i="7"/>
  <c r="U73" i="6"/>
  <c r="U72" i="3"/>
  <c r="U76" i="13" l="1"/>
  <c r="U76" i="10"/>
  <c r="U73" i="9"/>
  <c r="U72" i="7"/>
  <c r="U74" i="6"/>
  <c r="U73" i="3"/>
  <c r="U77" i="13" l="1"/>
  <c r="U77" i="10"/>
  <c r="U74" i="9"/>
  <c r="U73" i="7"/>
  <c r="U75" i="6"/>
  <c r="U74" i="3"/>
  <c r="U78" i="13" l="1"/>
  <c r="U78" i="10"/>
  <c r="U75" i="9"/>
  <c r="U74" i="7"/>
  <c r="U76" i="6"/>
  <c r="U75" i="3"/>
  <c r="U79" i="13" l="1"/>
  <c r="U79" i="10"/>
  <c r="U76" i="9"/>
  <c r="U75" i="7"/>
  <c r="U77" i="6"/>
  <c r="U76" i="3"/>
  <c r="U80" i="13" l="1"/>
  <c r="U80" i="10"/>
  <c r="U77" i="9"/>
  <c r="U76" i="7"/>
  <c r="U78" i="6"/>
  <c r="U77" i="3"/>
  <c r="U81" i="13" l="1"/>
  <c r="U81" i="10"/>
  <c r="U78" i="9"/>
  <c r="U77" i="7"/>
  <c r="U79" i="6"/>
  <c r="U78" i="3"/>
  <c r="U82" i="13" l="1"/>
  <c r="U82" i="10"/>
  <c r="U79" i="9"/>
  <c r="U78" i="7"/>
  <c r="U80" i="6"/>
  <c r="U79" i="3"/>
  <c r="U83" i="13" l="1"/>
  <c r="U83" i="10"/>
  <c r="U80" i="9"/>
  <c r="U79" i="7"/>
  <c r="U81" i="6"/>
  <c r="U80" i="3"/>
  <c r="U84" i="13" l="1"/>
  <c r="U84" i="10"/>
  <c r="U81" i="9"/>
  <c r="U80" i="7"/>
  <c r="U82" i="6"/>
  <c r="U81" i="3"/>
  <c r="U85" i="13" l="1"/>
  <c r="U85" i="10"/>
  <c r="U82" i="9"/>
  <c r="U81" i="7"/>
  <c r="U83" i="6"/>
  <c r="U82" i="3"/>
  <c r="U86" i="13" l="1"/>
  <c r="U86" i="10"/>
  <c r="U83" i="9"/>
  <c r="U82" i="7"/>
  <c r="U84" i="6"/>
  <c r="U83" i="3"/>
  <c r="U87" i="13" l="1"/>
  <c r="U87" i="10"/>
  <c r="U84" i="9"/>
  <c r="U83" i="7"/>
  <c r="U85" i="6"/>
  <c r="U84" i="3"/>
  <c r="U88" i="13" l="1"/>
  <c r="U88" i="10"/>
  <c r="U85" i="9"/>
  <c r="U84" i="7"/>
  <c r="U86" i="6"/>
  <c r="U85" i="3"/>
  <c r="U89" i="13" l="1"/>
  <c r="U89" i="10"/>
  <c r="U86" i="9"/>
  <c r="U85" i="7"/>
  <c r="U87" i="6"/>
  <c r="U86" i="3"/>
  <c r="U90" i="13" l="1"/>
  <c r="U90" i="10"/>
  <c r="U87" i="9"/>
  <c r="U86" i="7"/>
  <c r="U88" i="6"/>
  <c r="U87" i="3"/>
  <c r="U91" i="13" l="1"/>
  <c r="U91" i="10"/>
  <c r="U88" i="9"/>
  <c r="U87" i="7"/>
  <c r="U89" i="6"/>
  <c r="U88" i="3"/>
  <c r="U92" i="13" l="1"/>
  <c r="U92" i="10"/>
  <c r="U89" i="9"/>
  <c r="U88" i="7"/>
  <c r="U90" i="6"/>
  <c r="U89" i="3"/>
  <c r="U93" i="13" l="1"/>
  <c r="U93" i="10"/>
  <c r="U90" i="9"/>
  <c r="U89" i="7"/>
  <c r="U91" i="6"/>
  <c r="U90" i="3"/>
  <c r="U94" i="13" l="1"/>
  <c r="U94" i="10"/>
  <c r="U91" i="9"/>
  <c r="U90" i="7"/>
  <c r="U92" i="6"/>
  <c r="U91" i="3"/>
  <c r="U95" i="13" l="1"/>
  <c r="U95" i="10"/>
  <c r="U92" i="9"/>
  <c r="U91" i="7"/>
  <c r="U93" i="6"/>
  <c r="U92" i="3"/>
  <c r="U96" i="13" l="1"/>
  <c r="U96" i="10"/>
  <c r="U93" i="9"/>
  <c r="U92" i="7"/>
  <c r="U94" i="6"/>
  <c r="U93" i="3"/>
  <c r="U97" i="13" l="1"/>
  <c r="U97" i="10"/>
  <c r="U94" i="9"/>
  <c r="U93" i="7"/>
  <c r="U95" i="6"/>
  <c r="U94" i="3"/>
  <c r="U98" i="13" l="1"/>
  <c r="U98" i="10"/>
  <c r="U95" i="9"/>
  <c r="U94" i="7"/>
  <c r="U96" i="6"/>
  <c r="U95" i="3"/>
  <c r="U99" i="13" l="1"/>
  <c r="U99" i="10"/>
  <c r="U96" i="9"/>
  <c r="U95" i="7"/>
  <c r="U97" i="6"/>
  <c r="U96" i="3"/>
  <c r="U100" i="13" l="1"/>
  <c r="U100" i="10"/>
  <c r="U97" i="9"/>
  <c r="U96" i="7"/>
  <c r="U98" i="6"/>
  <c r="U97" i="3"/>
  <c r="U101" i="13" l="1"/>
  <c r="U101" i="10"/>
  <c r="U98" i="9"/>
  <c r="U97" i="7"/>
  <c r="U99" i="6"/>
  <c r="U98" i="3"/>
  <c r="U102" i="13" l="1"/>
  <c r="U102" i="10"/>
  <c r="U99" i="9"/>
  <c r="U98" i="7"/>
  <c r="U100" i="6"/>
  <c r="U99" i="3"/>
  <c r="U103" i="13" l="1"/>
  <c r="U103" i="10"/>
  <c r="U100" i="9"/>
  <c r="U99" i="7"/>
  <c r="U101" i="6"/>
  <c r="U100" i="3"/>
  <c r="U104" i="13" l="1"/>
  <c r="U104" i="10"/>
  <c r="U101" i="9"/>
  <c r="U100" i="7"/>
  <c r="U102" i="6"/>
  <c r="U101" i="3"/>
  <c r="U105" i="13" l="1"/>
  <c r="U105" i="10"/>
  <c r="U102" i="9"/>
  <c r="U101" i="7"/>
  <c r="U103" i="6"/>
  <c r="U102" i="3"/>
  <c r="U106" i="13" l="1"/>
  <c r="U106" i="10"/>
  <c r="U103" i="9"/>
  <c r="U102" i="7"/>
  <c r="U104" i="6"/>
  <c r="U103" i="3"/>
  <c r="U107" i="13" l="1"/>
  <c r="U107" i="10"/>
  <c r="U104" i="9"/>
  <c r="U103" i="7"/>
  <c r="U105" i="6"/>
  <c r="U104" i="3"/>
  <c r="U108" i="13" l="1"/>
  <c r="U108" i="10"/>
  <c r="U105" i="9"/>
  <c r="U104" i="7"/>
  <c r="U106" i="6"/>
  <c r="U105" i="3"/>
  <c r="U109" i="13" l="1"/>
  <c r="U109" i="10"/>
  <c r="U106" i="9"/>
  <c r="U105" i="7"/>
  <c r="U107" i="6"/>
  <c r="U106" i="3"/>
  <c r="U110" i="13" l="1"/>
  <c r="U110" i="10"/>
  <c r="U107" i="9"/>
  <c r="U106" i="7"/>
  <c r="U108" i="6"/>
  <c r="U107" i="3"/>
  <c r="U111" i="13" l="1"/>
  <c r="U111" i="10"/>
  <c r="U108" i="9"/>
  <c r="U107" i="7"/>
  <c r="U109" i="6"/>
  <c r="U108" i="3"/>
  <c r="U112" i="13" l="1"/>
  <c r="U112" i="10"/>
  <c r="U109" i="9"/>
  <c r="U108" i="7"/>
  <c r="U110" i="6"/>
  <c r="U109" i="3"/>
  <c r="U113" i="13" l="1"/>
  <c r="U113" i="10"/>
  <c r="U110" i="9"/>
  <c r="U109" i="7"/>
  <c r="U111" i="6"/>
  <c r="U110" i="3"/>
  <c r="U114" i="13" l="1"/>
  <c r="U114" i="10"/>
  <c r="U111" i="9"/>
  <c r="U110" i="7"/>
  <c r="U112" i="6"/>
  <c r="U111" i="3"/>
  <c r="U115" i="13" l="1"/>
  <c r="U115" i="10"/>
  <c r="U112" i="9"/>
  <c r="U111" i="7"/>
  <c r="U113" i="6"/>
  <c r="U112" i="3"/>
  <c r="U116" i="13" l="1"/>
  <c r="U116" i="10"/>
  <c r="U113" i="9"/>
  <c r="U112" i="7"/>
  <c r="U114" i="6"/>
  <c r="U113" i="3"/>
  <c r="U117" i="13" l="1"/>
  <c r="U117" i="10"/>
  <c r="U114" i="9"/>
  <c r="U113" i="7"/>
  <c r="U115" i="6"/>
  <c r="U114" i="3"/>
  <c r="U118" i="13" l="1"/>
  <c r="U118" i="10"/>
  <c r="U115" i="9"/>
  <c r="U114" i="7"/>
  <c r="U116" i="6"/>
  <c r="U115" i="3"/>
  <c r="U119" i="13" l="1"/>
  <c r="U119" i="10"/>
  <c r="U116" i="9"/>
  <c r="U115" i="7"/>
  <c r="U117" i="6"/>
  <c r="U116" i="3"/>
  <c r="U120" i="13" l="1"/>
  <c r="U120" i="10"/>
  <c r="U117" i="9"/>
  <c r="U116" i="7"/>
  <c r="U118" i="6"/>
  <c r="U117" i="3"/>
  <c r="U121" i="13" l="1"/>
  <c r="U121" i="10"/>
  <c r="U118" i="9"/>
  <c r="U117" i="7"/>
  <c r="U119" i="6"/>
  <c r="U118" i="3"/>
  <c r="U122" i="13" l="1"/>
  <c r="U122" i="10"/>
  <c r="U119" i="9"/>
  <c r="U118" i="7"/>
  <c r="U120" i="6"/>
  <c r="U119" i="3"/>
  <c r="U123" i="13" l="1"/>
  <c r="U123" i="10"/>
  <c r="U120" i="9"/>
  <c r="U119" i="7"/>
  <c r="U121" i="6"/>
  <c r="U120" i="3"/>
  <c r="U124" i="13" l="1"/>
  <c r="U124" i="10"/>
  <c r="U121" i="9"/>
  <c r="U120" i="7"/>
  <c r="U122" i="6"/>
  <c r="U121" i="3"/>
  <c r="U125" i="13" l="1"/>
  <c r="U125" i="10"/>
  <c r="U122" i="9"/>
  <c r="U121" i="7"/>
  <c r="U123" i="6"/>
  <c r="U122" i="3"/>
  <c r="U126" i="13" l="1"/>
  <c r="U126" i="10"/>
  <c r="U123" i="9"/>
  <c r="U122" i="7"/>
  <c r="U124" i="6"/>
  <c r="U123" i="3"/>
  <c r="U127" i="13" l="1"/>
  <c r="U127" i="10"/>
  <c r="U124" i="9"/>
  <c r="U123" i="7"/>
  <c r="U125" i="6"/>
  <c r="U124" i="3"/>
  <c r="U128" i="13" l="1"/>
  <c r="U128" i="10"/>
  <c r="U125" i="9"/>
  <c r="U124" i="7"/>
  <c r="U126" i="6"/>
  <c r="U125" i="3"/>
  <c r="U129" i="13" l="1"/>
  <c r="U129" i="10"/>
  <c r="U126" i="9"/>
  <c r="U125" i="7"/>
  <c r="U127" i="6"/>
  <c r="U126" i="3"/>
  <c r="U130" i="13" l="1"/>
  <c r="U130" i="10"/>
  <c r="U127" i="9"/>
  <c r="U126" i="7"/>
  <c r="U128" i="6"/>
  <c r="U127" i="3"/>
  <c r="U131" i="13" l="1"/>
  <c r="U131" i="10"/>
  <c r="U128" i="9"/>
  <c r="U127" i="7"/>
  <c r="U129" i="6"/>
  <c r="U128" i="3"/>
  <c r="U132" i="13" l="1"/>
  <c r="U132" i="10"/>
  <c r="U129" i="9"/>
  <c r="U128" i="7"/>
  <c r="U130" i="6"/>
  <c r="U129" i="3"/>
  <c r="U133" i="13" l="1"/>
  <c r="U133" i="10"/>
  <c r="U130" i="9"/>
  <c r="U129" i="7"/>
  <c r="U131" i="6"/>
  <c r="U130" i="3"/>
  <c r="U134" i="13" l="1"/>
  <c r="U134" i="10"/>
  <c r="U131" i="9"/>
  <c r="U130" i="7"/>
  <c r="U132" i="6"/>
  <c r="U131" i="3"/>
  <c r="U135" i="13" l="1"/>
  <c r="U135" i="10"/>
  <c r="U132" i="9"/>
  <c r="U131" i="7"/>
  <c r="U133" i="6"/>
  <c r="U132" i="3"/>
  <c r="U136" i="13" l="1"/>
  <c r="U136" i="10"/>
  <c r="U133" i="9"/>
  <c r="U132" i="7"/>
  <c r="U134" i="6"/>
  <c r="U133" i="3"/>
  <c r="U137" i="13" l="1"/>
  <c r="U137" i="10"/>
  <c r="U134" i="9"/>
  <c r="U133" i="7"/>
  <c r="U135" i="6"/>
  <c r="U134" i="3"/>
  <c r="U138" i="13" l="1"/>
  <c r="U138" i="10"/>
  <c r="U135" i="9"/>
  <c r="U134" i="7"/>
  <c r="U136" i="6"/>
  <c r="U135" i="3"/>
  <c r="U139" i="13" l="1"/>
  <c r="U139" i="10"/>
  <c r="U136" i="9"/>
  <c r="U135" i="7"/>
  <c r="U137" i="6"/>
  <c r="U136" i="3"/>
  <c r="U140" i="13" l="1"/>
  <c r="U140" i="10"/>
  <c r="U137" i="9"/>
  <c r="U136" i="7"/>
  <c r="U138" i="6"/>
  <c r="U137" i="3"/>
  <c r="U141" i="13" l="1"/>
  <c r="U141" i="10"/>
  <c r="U138" i="9"/>
  <c r="U137" i="7"/>
  <c r="U139" i="6"/>
  <c r="U138" i="3"/>
  <c r="U142" i="13" l="1"/>
  <c r="U142" i="10"/>
  <c r="U139" i="9"/>
  <c r="U138" i="7"/>
  <c r="U140" i="6"/>
  <c r="U139" i="3"/>
  <c r="U143" i="13" l="1"/>
  <c r="U143" i="10"/>
  <c r="U140" i="9"/>
  <c r="U139" i="7"/>
  <c r="U141" i="6"/>
  <c r="U140" i="3"/>
  <c r="U144" i="13" l="1"/>
  <c r="U144" i="10"/>
  <c r="U141" i="9"/>
  <c r="U140" i="7"/>
  <c r="U142" i="6"/>
  <c r="U141" i="3"/>
  <c r="U145" i="13" l="1"/>
  <c r="U145" i="10"/>
  <c r="U142" i="9"/>
  <c r="U141" i="7"/>
  <c r="U143" i="6"/>
  <c r="U142" i="3"/>
  <c r="U146" i="13" l="1"/>
  <c r="U146" i="10"/>
  <c r="U143" i="9"/>
  <c r="U142" i="7"/>
  <c r="U144" i="6"/>
  <c r="U143" i="3"/>
  <c r="U147" i="13" l="1"/>
  <c r="U147" i="10"/>
  <c r="U144" i="9"/>
  <c r="U143" i="7"/>
  <c r="U145" i="6"/>
  <c r="U144" i="3"/>
  <c r="U148" i="13" l="1"/>
  <c r="U148" i="10"/>
  <c r="U145" i="9"/>
  <c r="U144" i="7"/>
  <c r="U146" i="6"/>
  <c r="U145" i="3"/>
  <c r="U149" i="13" l="1"/>
  <c r="U149" i="10"/>
  <c r="U146" i="9"/>
  <c r="U145" i="7"/>
  <c r="U147" i="6"/>
  <c r="U146" i="3"/>
  <c r="U150" i="13" l="1"/>
  <c r="U150" i="10"/>
  <c r="U147" i="9"/>
  <c r="U146" i="7"/>
  <c r="U148" i="6"/>
  <c r="U147" i="3"/>
  <c r="U151" i="13" l="1"/>
  <c r="U151" i="10"/>
  <c r="U148" i="9"/>
  <c r="U147" i="7"/>
  <c r="U149" i="6"/>
  <c r="U148" i="3"/>
  <c r="U152" i="13" l="1"/>
  <c r="U152" i="10"/>
  <c r="U149" i="9"/>
  <c r="U148" i="7"/>
  <c r="U150" i="6"/>
  <c r="U149" i="3"/>
  <c r="U153" i="13" l="1"/>
  <c r="U153" i="10"/>
  <c r="U150" i="9"/>
  <c r="U149" i="7"/>
  <c r="U151" i="6"/>
  <c r="U150" i="3"/>
  <c r="U154" i="13" l="1"/>
  <c r="U154" i="10"/>
  <c r="U151" i="9"/>
  <c r="U150" i="7"/>
  <c r="U152" i="6"/>
  <c r="U151" i="3"/>
  <c r="U155" i="13" l="1"/>
  <c r="U155" i="10"/>
  <c r="U152" i="9"/>
  <c r="U151" i="7"/>
  <c r="U153" i="6"/>
  <c r="U152" i="3"/>
  <c r="U156" i="13" l="1"/>
  <c r="U156" i="10"/>
  <c r="U153" i="9"/>
  <c r="U152" i="7"/>
  <c r="U154" i="6"/>
  <c r="U153" i="3"/>
  <c r="U157" i="13" l="1"/>
  <c r="U157" i="10"/>
  <c r="U154" i="9"/>
  <c r="U153" i="7"/>
  <c r="U155" i="6"/>
  <c r="U154" i="3"/>
  <c r="U158" i="13" l="1"/>
  <c r="U158" i="10"/>
  <c r="U155" i="9"/>
  <c r="U154" i="7"/>
  <c r="U156" i="6"/>
  <c r="U155" i="3"/>
  <c r="U159" i="13" l="1"/>
  <c r="U159" i="10"/>
  <c r="U156" i="9"/>
  <c r="U155" i="7"/>
  <c r="U157" i="6"/>
  <c r="U156" i="3"/>
  <c r="U160" i="13" l="1"/>
  <c r="U160" i="10"/>
  <c r="U157" i="9"/>
  <c r="U156" i="7"/>
  <c r="U158" i="6"/>
  <c r="U157" i="3"/>
  <c r="U161" i="13" l="1"/>
  <c r="U161" i="10"/>
  <c r="U158" i="9"/>
  <c r="U157" i="7"/>
  <c r="U159" i="6"/>
  <c r="U158" i="3"/>
  <c r="U162" i="13" l="1"/>
  <c r="U162" i="10"/>
  <c r="U159" i="9"/>
  <c r="U158" i="7"/>
  <c r="U160" i="6"/>
  <c r="U159" i="3"/>
  <c r="U163" i="13" l="1"/>
  <c r="U163" i="10"/>
  <c r="U160" i="9"/>
  <c r="U159" i="7"/>
  <c r="U161" i="6"/>
  <c r="U160" i="3"/>
  <c r="U164" i="13" l="1"/>
  <c r="U164" i="10"/>
  <c r="U161" i="9"/>
  <c r="U160" i="7"/>
  <c r="U162" i="6"/>
  <c r="U161" i="3"/>
  <c r="U165" i="13" l="1"/>
  <c r="U165" i="10"/>
  <c r="U162" i="9"/>
  <c r="U161" i="7"/>
  <c r="U163" i="6"/>
  <c r="U162" i="3"/>
  <c r="U166" i="13" l="1"/>
  <c r="U166" i="10"/>
  <c r="U163" i="9"/>
  <c r="U162" i="7"/>
  <c r="U164" i="6"/>
  <c r="U163" i="3"/>
  <c r="U167" i="13" l="1"/>
  <c r="U167" i="10"/>
  <c r="U164" i="9"/>
  <c r="U163" i="7"/>
  <c r="U165" i="6"/>
  <c r="U164" i="3"/>
  <c r="U168" i="13" l="1"/>
  <c r="U168" i="10"/>
  <c r="U165" i="9"/>
  <c r="U164" i="7"/>
  <c r="U166" i="6"/>
  <c r="U165" i="3"/>
  <c r="U169" i="13" l="1"/>
  <c r="U169" i="10"/>
  <c r="U166" i="9"/>
  <c r="U165" i="7"/>
  <c r="U167" i="6"/>
  <c r="U166" i="3"/>
  <c r="U170" i="13" l="1"/>
  <c r="U170" i="10"/>
  <c r="U167" i="9"/>
  <c r="U166" i="7"/>
  <c r="U168" i="6"/>
  <c r="U167" i="3"/>
  <c r="U171" i="13" l="1"/>
  <c r="U171" i="10"/>
  <c r="U168" i="9"/>
  <c r="U167" i="7"/>
  <c r="U169" i="6"/>
  <c r="U168" i="3"/>
  <c r="U172" i="13" l="1"/>
  <c r="U172" i="10"/>
  <c r="U169" i="9"/>
  <c r="U168" i="7"/>
  <c r="U170" i="6"/>
  <c r="U169" i="3"/>
  <c r="U173" i="13" l="1"/>
  <c r="U173" i="10"/>
  <c r="U170" i="9"/>
  <c r="U169" i="7"/>
  <c r="U171" i="6"/>
  <c r="U170" i="3"/>
  <c r="U174" i="13" l="1"/>
  <c r="U174" i="10"/>
  <c r="U171" i="9"/>
  <c r="U170" i="7"/>
  <c r="U172" i="6"/>
  <c r="U171" i="3"/>
  <c r="U175" i="13" l="1"/>
  <c r="U175" i="10"/>
  <c r="U172" i="9"/>
  <c r="U171" i="7"/>
  <c r="U173" i="6"/>
  <c r="U172" i="3"/>
  <c r="U176" i="13" l="1"/>
  <c r="U176" i="10"/>
  <c r="U173" i="9"/>
  <c r="U172" i="7"/>
  <c r="U174" i="6"/>
  <c r="U173" i="3"/>
  <c r="U177" i="13" l="1"/>
  <c r="U177" i="10"/>
  <c r="U174" i="9"/>
  <c r="U173" i="7"/>
  <c r="U175" i="6"/>
  <c r="U174" i="3"/>
  <c r="U178" i="13" l="1"/>
  <c r="U178" i="10"/>
  <c r="U175" i="9"/>
  <c r="U174" i="7"/>
  <c r="U176" i="6"/>
  <c r="U175" i="3"/>
  <c r="U179" i="13" l="1"/>
  <c r="U179" i="10"/>
  <c r="U176" i="9"/>
  <c r="U175" i="7"/>
  <c r="U177" i="6"/>
  <c r="U176" i="3"/>
  <c r="U180" i="13" l="1"/>
  <c r="U180" i="10"/>
  <c r="U177" i="9"/>
  <c r="U176" i="7"/>
  <c r="U178" i="6"/>
  <c r="U177" i="3"/>
  <c r="U181" i="13" l="1"/>
  <c r="U181" i="10"/>
  <c r="U178" i="9"/>
  <c r="U177" i="7"/>
  <c r="U179" i="6"/>
  <c r="U178" i="3"/>
  <c r="U182" i="13" l="1"/>
  <c r="U182" i="10"/>
  <c r="U179" i="9"/>
  <c r="U178" i="7"/>
  <c r="U180" i="6"/>
  <c r="U179" i="3"/>
  <c r="U183" i="13" l="1"/>
  <c r="U183" i="10"/>
  <c r="U180" i="9"/>
  <c r="U179" i="7"/>
  <c r="U181" i="6"/>
  <c r="U180" i="3"/>
  <c r="U184" i="13" l="1"/>
  <c r="U184" i="10"/>
  <c r="U181" i="9"/>
  <c r="U180" i="7"/>
  <c r="U182" i="6"/>
  <c r="U181" i="3"/>
  <c r="U185" i="13" l="1"/>
  <c r="U185" i="10"/>
  <c r="U182" i="9"/>
  <c r="U181" i="7"/>
  <c r="U183" i="6"/>
  <c r="U182" i="3"/>
  <c r="U186" i="13" l="1"/>
  <c r="U186" i="10"/>
  <c r="U183" i="9"/>
  <c r="U182" i="7"/>
  <c r="U184" i="6"/>
  <c r="U183" i="3"/>
  <c r="U187" i="13" l="1"/>
  <c r="U187" i="10"/>
  <c r="U184" i="9"/>
  <c r="U183" i="7"/>
  <c r="U185" i="6"/>
  <c r="U184" i="3"/>
  <c r="U188" i="13" l="1"/>
  <c r="U188" i="10"/>
  <c r="U185" i="9"/>
  <c r="U184" i="7"/>
  <c r="U186" i="6"/>
  <c r="U185" i="3"/>
  <c r="U189" i="13" l="1"/>
  <c r="U189" i="10"/>
  <c r="U186" i="9"/>
  <c r="U185" i="7"/>
  <c r="U187" i="6"/>
  <c r="U186" i="3"/>
  <c r="U190" i="13" l="1"/>
  <c r="U190" i="10"/>
  <c r="U187" i="9"/>
  <c r="U186" i="7"/>
  <c r="U188" i="6"/>
  <c r="U187" i="3"/>
  <c r="U191" i="13" l="1"/>
  <c r="U191" i="10"/>
  <c r="U188" i="9"/>
  <c r="U187" i="7"/>
  <c r="U189" i="6"/>
  <c r="U188" i="3"/>
  <c r="U192" i="13" l="1"/>
  <c r="U192" i="10"/>
  <c r="U189" i="9"/>
  <c r="U188" i="7"/>
  <c r="U190" i="6"/>
  <c r="U189" i="3"/>
  <c r="U193" i="13" l="1"/>
  <c r="U193" i="10"/>
  <c r="U190" i="9"/>
  <c r="U189" i="7"/>
  <c r="U191" i="6"/>
  <c r="U190" i="3"/>
  <c r="U194" i="13" l="1"/>
  <c r="U194" i="10"/>
  <c r="U191" i="9"/>
  <c r="U190" i="7"/>
  <c r="U192" i="6"/>
  <c r="U191" i="3"/>
  <c r="U195" i="13" l="1"/>
  <c r="U195" i="10"/>
  <c r="U192" i="9"/>
  <c r="U191" i="7"/>
  <c r="U193" i="6"/>
  <c r="U192" i="3"/>
  <c r="U196" i="13" l="1"/>
  <c r="U196" i="10"/>
  <c r="U193" i="9"/>
  <c r="U192" i="7"/>
  <c r="U194" i="6"/>
  <c r="U193" i="3"/>
  <c r="U197" i="13" l="1"/>
  <c r="U197" i="10"/>
  <c r="U194" i="9"/>
  <c r="U193" i="7"/>
  <c r="U195" i="6"/>
  <c r="U194" i="3"/>
  <c r="U198" i="13" l="1"/>
  <c r="U198" i="10"/>
  <c r="U195" i="9"/>
  <c r="U194" i="7"/>
  <c r="U196" i="6"/>
  <c r="U195" i="3"/>
  <c r="U199" i="13" l="1"/>
  <c r="U199" i="10"/>
  <c r="U196" i="9"/>
  <c r="U195" i="7"/>
  <c r="U197" i="6"/>
  <c r="U196" i="3"/>
  <c r="U200" i="13" l="1"/>
  <c r="U200" i="10"/>
  <c r="U197" i="9"/>
  <c r="U196" i="7"/>
  <c r="U198" i="6"/>
  <c r="U197" i="3"/>
  <c r="U201" i="13" l="1"/>
  <c r="U201" i="10"/>
  <c r="U198" i="9"/>
  <c r="U197" i="7"/>
  <c r="U199" i="6"/>
  <c r="U198" i="3"/>
  <c r="U202" i="13" l="1"/>
  <c r="U202" i="10"/>
  <c r="U199" i="9"/>
  <c r="U198" i="7"/>
  <c r="U200" i="6"/>
  <c r="U199" i="3"/>
  <c r="U203" i="13" l="1"/>
  <c r="U203" i="10"/>
  <c r="U200" i="9"/>
  <c r="U199" i="7"/>
  <c r="U201" i="6"/>
  <c r="U200" i="3"/>
  <c r="U204" i="13" l="1"/>
  <c r="U204" i="10"/>
  <c r="U201" i="9"/>
  <c r="U200" i="7"/>
  <c r="U202" i="6"/>
  <c r="U201" i="3"/>
  <c r="U205" i="13" l="1"/>
  <c r="U205" i="10"/>
  <c r="U202" i="9"/>
  <c r="U201" i="7"/>
  <c r="U203" i="6"/>
  <c r="U202" i="3"/>
  <c r="U206" i="13" l="1"/>
  <c r="U206" i="10"/>
  <c r="U203" i="9"/>
  <c r="U202" i="7"/>
  <c r="U204" i="6"/>
  <c r="U203" i="3"/>
  <c r="U207" i="13" l="1"/>
  <c r="U207" i="10"/>
  <c r="U204" i="9"/>
  <c r="U203" i="7"/>
  <c r="U205" i="6"/>
  <c r="U204" i="3"/>
  <c r="U208" i="13" l="1"/>
  <c r="U208" i="10"/>
  <c r="U205" i="9"/>
  <c r="U204" i="7"/>
  <c r="U206" i="6"/>
  <c r="U205" i="3"/>
  <c r="U209" i="13" l="1"/>
  <c r="U209" i="10"/>
  <c r="U206" i="9"/>
  <c r="U205" i="7"/>
  <c r="U207" i="6"/>
  <c r="U206" i="3"/>
  <c r="U210" i="13" l="1"/>
  <c r="U210" i="10"/>
  <c r="U207" i="9"/>
  <c r="U206" i="7"/>
  <c r="U208" i="6"/>
  <c r="U207" i="3"/>
  <c r="U211" i="13" l="1"/>
  <c r="U211" i="10"/>
  <c r="U208" i="9"/>
  <c r="U207" i="7"/>
  <c r="U209" i="6"/>
  <c r="U208" i="3"/>
  <c r="U212" i="13" l="1"/>
  <c r="U212" i="10"/>
  <c r="U209" i="9"/>
  <c r="U208" i="7"/>
  <c r="U210" i="6"/>
  <c r="U209" i="3"/>
  <c r="U213" i="13" l="1"/>
  <c r="U213" i="10"/>
  <c r="U210" i="9"/>
  <c r="U209" i="7"/>
  <c r="U211" i="6"/>
  <c r="U210" i="3"/>
  <c r="U214" i="13" l="1"/>
  <c r="U214" i="10"/>
  <c r="U211" i="9"/>
  <c r="U210" i="7"/>
  <c r="U212" i="6"/>
  <c r="U211" i="3"/>
  <c r="U215" i="13" l="1"/>
  <c r="U215" i="10"/>
  <c r="U212" i="9"/>
  <c r="U211" i="7"/>
  <c r="U213" i="6"/>
  <c r="U212" i="3"/>
  <c r="U216" i="13" l="1"/>
  <c r="U216" i="10"/>
  <c r="U213" i="9"/>
  <c r="U212" i="7"/>
  <c r="U214" i="6"/>
  <c r="U213" i="3"/>
  <c r="U217" i="13" l="1"/>
  <c r="U217" i="10"/>
  <c r="U214" i="9"/>
  <c r="U213" i="7"/>
  <c r="U215" i="6"/>
  <c r="U214" i="3"/>
  <c r="U218" i="13" l="1"/>
  <c r="U218" i="10"/>
  <c r="U215" i="9"/>
  <c r="U214" i="7"/>
  <c r="U216" i="6"/>
  <c r="U215" i="3"/>
  <c r="U219" i="13" l="1"/>
  <c r="U219" i="10"/>
  <c r="U216" i="9"/>
  <c r="U215" i="7"/>
  <c r="U217" i="6"/>
  <c r="U216" i="3"/>
  <c r="U220" i="13" l="1"/>
  <c r="U220" i="10"/>
  <c r="U217" i="9"/>
  <c r="U216" i="7"/>
  <c r="U218" i="6"/>
  <c r="U217" i="3"/>
  <c r="U221" i="13" l="1"/>
  <c r="U221" i="10"/>
  <c r="U218" i="9"/>
  <c r="U217" i="7"/>
  <c r="U219" i="6"/>
  <c r="U218" i="3"/>
  <c r="U222" i="13" l="1"/>
  <c r="U222" i="10"/>
  <c r="U219" i="9"/>
  <c r="U218" i="7"/>
  <c r="U220" i="6"/>
  <c r="U219" i="3"/>
  <c r="U223" i="13" l="1"/>
  <c r="U223" i="10"/>
  <c r="U220" i="9"/>
  <c r="U219" i="7"/>
  <c r="U221" i="6"/>
  <c r="U220" i="3"/>
  <c r="U224" i="13" l="1"/>
  <c r="U224" i="10"/>
  <c r="U221" i="9"/>
  <c r="U220" i="7"/>
  <c r="U222" i="6"/>
  <c r="U221" i="3"/>
  <c r="U225" i="13" l="1"/>
  <c r="U225" i="10"/>
  <c r="U222" i="9"/>
  <c r="U221" i="7"/>
  <c r="U223" i="6"/>
  <c r="U222" i="3"/>
  <c r="U226" i="13" l="1"/>
  <c r="U226" i="10"/>
  <c r="U223" i="9"/>
  <c r="U222" i="7"/>
  <c r="U224" i="6"/>
  <c r="U223" i="3"/>
  <c r="U227" i="13" l="1"/>
  <c r="U227" i="10"/>
  <c r="U224" i="9"/>
  <c r="U223" i="7"/>
  <c r="U225" i="6"/>
  <c r="U224" i="3"/>
  <c r="U228" i="13" l="1"/>
  <c r="U228" i="10"/>
  <c r="U225" i="9"/>
  <c r="U224" i="7"/>
  <c r="U226" i="6"/>
  <c r="U225" i="3"/>
  <c r="U229" i="13" l="1"/>
  <c r="U229" i="10"/>
  <c r="U226" i="9"/>
  <c r="U225" i="7"/>
  <c r="U227" i="6"/>
  <c r="U226" i="3"/>
  <c r="U230" i="13" l="1"/>
  <c r="U230" i="10"/>
  <c r="U227" i="9"/>
  <c r="U226" i="7"/>
  <c r="U228" i="6"/>
  <c r="U227" i="3"/>
  <c r="U231" i="13" l="1"/>
  <c r="U231" i="10"/>
  <c r="U228" i="9"/>
  <c r="U227" i="7"/>
  <c r="U229" i="6"/>
  <c r="U228" i="3"/>
  <c r="U232" i="13" l="1"/>
  <c r="U232" i="10"/>
  <c r="U229" i="9"/>
  <c r="U228" i="7"/>
  <c r="U230" i="6"/>
  <c r="U229" i="3"/>
  <c r="U233" i="13" l="1"/>
  <c r="U233" i="10"/>
  <c r="U230" i="9"/>
  <c r="U229" i="7"/>
  <c r="U231" i="6"/>
  <c r="U230" i="3"/>
  <c r="U234" i="13" l="1"/>
  <c r="U234" i="10"/>
  <c r="U231" i="9"/>
  <c r="U230" i="7"/>
  <c r="U232" i="6"/>
  <c r="U231" i="3"/>
  <c r="U235" i="13" l="1"/>
  <c r="U235" i="10"/>
  <c r="U232" i="9"/>
  <c r="U231" i="7"/>
  <c r="U233" i="6"/>
  <c r="U232" i="3"/>
  <c r="U236" i="13" l="1"/>
  <c r="U236" i="10"/>
  <c r="U233" i="9"/>
  <c r="U232" i="7"/>
  <c r="U234" i="6"/>
  <c r="U233" i="3"/>
  <c r="U237" i="13" l="1"/>
  <c r="U237" i="10"/>
  <c r="U234" i="9"/>
  <c r="U233" i="7"/>
  <c r="U235" i="6"/>
  <c r="U234" i="3"/>
  <c r="U238" i="13" l="1"/>
  <c r="U238" i="10"/>
  <c r="U235" i="9"/>
  <c r="U234" i="7"/>
  <c r="U236" i="6"/>
  <c r="U235" i="3"/>
  <c r="U239" i="13" l="1"/>
  <c r="U239" i="10"/>
  <c r="U236" i="9"/>
  <c r="U235" i="7"/>
  <c r="U237" i="6"/>
  <c r="U236" i="3"/>
  <c r="U240" i="13" l="1"/>
  <c r="U240" i="10"/>
  <c r="U237" i="9"/>
  <c r="U236" i="7"/>
  <c r="U238" i="6"/>
  <c r="U237" i="3"/>
  <c r="U241" i="13" l="1"/>
  <c r="U241" i="10"/>
  <c r="U238" i="9"/>
  <c r="U237" i="7"/>
  <c r="U239" i="6"/>
  <c r="U238" i="3"/>
  <c r="U242" i="13" l="1"/>
  <c r="U242" i="10"/>
  <c r="U239" i="9"/>
  <c r="U238" i="7"/>
  <c r="U240" i="6"/>
  <c r="U239" i="3"/>
  <c r="U243" i="13" l="1"/>
  <c r="U243" i="10"/>
  <c r="U240" i="9"/>
  <c r="U239" i="7"/>
  <c r="U241" i="6"/>
  <c r="U240" i="3"/>
  <c r="U244" i="13" l="1"/>
  <c r="U244" i="10"/>
  <c r="U241" i="9"/>
  <c r="U240" i="7"/>
  <c r="U242" i="6"/>
  <c r="U241" i="3"/>
  <c r="U245" i="13" l="1"/>
  <c r="U245" i="10"/>
  <c r="U242" i="9"/>
  <c r="U241" i="7"/>
  <c r="U243" i="6"/>
  <c r="U242" i="3"/>
  <c r="U246" i="13" l="1"/>
  <c r="U246" i="10"/>
  <c r="U243" i="9"/>
  <c r="U242" i="7"/>
  <c r="U244" i="6"/>
  <c r="U243" i="3"/>
  <c r="U247" i="13" l="1"/>
  <c r="U247" i="10"/>
  <c r="U244" i="9"/>
  <c r="U243" i="7"/>
  <c r="U245" i="6"/>
  <c r="U244" i="3"/>
  <c r="U248" i="13" l="1"/>
  <c r="U248" i="10"/>
  <c r="U245" i="9"/>
  <c r="U244" i="7"/>
  <c r="U246" i="6"/>
  <c r="U245" i="3"/>
  <c r="U249" i="13" l="1"/>
  <c r="U249" i="10"/>
  <c r="U246" i="9"/>
  <c r="U245" i="7"/>
  <c r="U247" i="6"/>
  <c r="U246" i="3"/>
  <c r="U250" i="13" l="1"/>
  <c r="U250" i="10"/>
  <c r="U247" i="9"/>
  <c r="U246" i="7"/>
  <c r="U248" i="6"/>
  <c r="U247" i="3"/>
  <c r="U251" i="13" l="1"/>
  <c r="U251" i="10"/>
  <c r="U248" i="9"/>
  <c r="U247" i="7"/>
  <c r="U249" i="6"/>
  <c r="U248" i="3"/>
  <c r="U252" i="13" l="1"/>
  <c r="U252" i="10"/>
  <c r="U249" i="9"/>
  <c r="U248" i="7"/>
  <c r="U250" i="6"/>
  <c r="U249" i="3"/>
  <c r="U253" i="13" l="1"/>
  <c r="U253" i="10"/>
  <c r="U250" i="9"/>
  <c r="U249" i="7"/>
  <c r="U251" i="6"/>
  <c r="U250" i="3"/>
  <c r="U254" i="13" l="1"/>
  <c r="U254" i="10"/>
  <c r="U251" i="9"/>
  <c r="U250" i="7"/>
  <c r="U252" i="6"/>
  <c r="U251" i="3"/>
  <c r="U255" i="13" l="1"/>
  <c r="U255" i="10"/>
  <c r="U252" i="9"/>
  <c r="U251" i="7"/>
  <c r="U253" i="6"/>
  <c r="U252" i="3"/>
  <c r="U256" i="13" l="1"/>
  <c r="U256" i="10"/>
  <c r="U253" i="9"/>
  <c r="U252" i="7"/>
  <c r="U254" i="6"/>
  <c r="U253" i="3"/>
  <c r="U257" i="13" l="1"/>
  <c r="U257" i="10"/>
  <c r="U254" i="9"/>
  <c r="U253" i="7"/>
  <c r="U255" i="6"/>
  <c r="U254" i="3"/>
  <c r="U258" i="13" l="1"/>
  <c r="U258" i="10"/>
  <c r="U255" i="9"/>
  <c r="U254" i="7"/>
  <c r="U256" i="6"/>
  <c r="U255" i="3"/>
  <c r="U259" i="13" l="1"/>
  <c r="U259" i="10"/>
  <c r="U256" i="9"/>
  <c r="U255" i="7"/>
  <c r="U257" i="6"/>
  <c r="U256" i="3"/>
  <c r="U260" i="13" l="1"/>
  <c r="U260" i="10"/>
  <c r="U257" i="9"/>
  <c r="U256" i="7"/>
  <c r="U258" i="6"/>
  <c r="U257" i="3"/>
  <c r="U261" i="13" l="1"/>
  <c r="U261" i="10"/>
  <c r="U258" i="9"/>
  <c r="U257" i="7"/>
  <c r="U259" i="6"/>
  <c r="U258" i="3"/>
  <c r="U262" i="13" l="1"/>
  <c r="U262" i="10"/>
  <c r="U259" i="9"/>
  <c r="U258" i="7"/>
  <c r="U260" i="6"/>
  <c r="U259" i="3"/>
  <c r="U263" i="13" l="1"/>
  <c r="U263" i="10"/>
  <c r="U260" i="9"/>
  <c r="U259" i="7"/>
  <c r="U261" i="6"/>
  <c r="U260" i="3"/>
  <c r="U264" i="13" l="1"/>
  <c r="U264" i="10"/>
  <c r="U261" i="9"/>
  <c r="U260" i="7"/>
  <c r="U262" i="6"/>
  <c r="U261" i="3"/>
  <c r="U265" i="13" l="1"/>
  <c r="U265" i="10"/>
  <c r="U262" i="9"/>
  <c r="U261" i="7"/>
  <c r="U263" i="6"/>
  <c r="U262" i="3"/>
  <c r="U266" i="13" l="1"/>
  <c r="U266" i="10"/>
  <c r="U263" i="9"/>
  <c r="U262" i="7"/>
  <c r="U264" i="6"/>
  <c r="U263" i="3"/>
  <c r="U267" i="13" l="1"/>
  <c r="U267" i="10"/>
  <c r="U264" i="9"/>
  <c r="U263" i="7"/>
  <c r="U265" i="6"/>
  <c r="U264" i="3"/>
  <c r="U268" i="13" l="1"/>
  <c r="U268" i="10"/>
  <c r="U265" i="9"/>
  <c r="U264" i="7"/>
  <c r="U266" i="6"/>
  <c r="U265" i="3"/>
  <c r="U269" i="13" l="1"/>
  <c r="U269" i="10"/>
  <c r="U266" i="9"/>
  <c r="U265" i="7"/>
  <c r="U267" i="6"/>
  <c r="U266" i="3"/>
  <c r="U270" i="13" l="1"/>
  <c r="U270" i="10"/>
  <c r="U267" i="9"/>
  <c r="U266" i="7"/>
  <c r="U268" i="6"/>
  <c r="U267" i="3"/>
  <c r="U271" i="13" l="1"/>
  <c r="U271" i="10"/>
  <c r="U268" i="9"/>
  <c r="U267" i="7"/>
  <c r="U269" i="6"/>
  <c r="U268" i="3"/>
  <c r="U272" i="13" l="1"/>
  <c r="U272" i="10"/>
  <c r="U269" i="9"/>
  <c r="U268" i="7"/>
  <c r="U270" i="6"/>
  <c r="U269" i="3"/>
  <c r="U273" i="13" l="1"/>
  <c r="U273" i="10"/>
  <c r="U270" i="9"/>
  <c r="U269" i="7"/>
  <c r="U271" i="6"/>
  <c r="U270" i="3"/>
  <c r="U274" i="13" l="1"/>
  <c r="U274" i="10"/>
  <c r="U271" i="9"/>
  <c r="U270" i="7"/>
  <c r="U272" i="6"/>
  <c r="U271" i="3"/>
  <c r="U275" i="13" l="1"/>
  <c r="U275" i="10"/>
  <c r="U272" i="9"/>
  <c r="U271" i="7"/>
  <c r="U273" i="6"/>
  <c r="U272" i="3"/>
  <c r="U276" i="13" l="1"/>
  <c r="U276" i="10"/>
  <c r="U273" i="9"/>
  <c r="U272" i="7"/>
  <c r="U274" i="6"/>
  <c r="U273" i="3"/>
  <c r="U277" i="13" l="1"/>
  <c r="U277" i="10"/>
  <c r="U274" i="9"/>
  <c r="U273" i="7"/>
  <c r="U275" i="6"/>
  <c r="U274" i="3"/>
  <c r="U278" i="13" l="1"/>
  <c r="U278" i="10"/>
  <c r="U275" i="9"/>
  <c r="U274" i="7"/>
  <c r="U276" i="6"/>
  <c r="U275" i="3"/>
  <c r="U279" i="13" l="1"/>
  <c r="U279" i="10"/>
  <c r="U276" i="9"/>
  <c r="U275" i="7"/>
  <c r="U277" i="6"/>
  <c r="U276" i="3"/>
  <c r="U280" i="13" l="1"/>
  <c r="U280" i="10"/>
  <c r="U277" i="9"/>
  <c r="U276" i="7"/>
  <c r="U278" i="6"/>
  <c r="U277" i="3"/>
  <c r="U281" i="13" l="1"/>
  <c r="U281" i="10"/>
  <c r="U278" i="9"/>
  <c r="U277" i="7"/>
  <c r="U279" i="6"/>
  <c r="U278" i="3"/>
  <c r="U282" i="13" l="1"/>
  <c r="U282" i="10"/>
  <c r="U279" i="9"/>
  <c r="U278" i="7"/>
  <c r="U280" i="6"/>
  <c r="U279" i="3"/>
  <c r="U283" i="13" l="1"/>
  <c r="U283" i="10"/>
  <c r="U280" i="9"/>
  <c r="U279" i="7"/>
  <c r="U281" i="6"/>
  <c r="U280" i="3"/>
  <c r="U284" i="13" l="1"/>
  <c r="U284" i="10"/>
  <c r="U281" i="9"/>
  <c r="U280" i="7"/>
  <c r="U282" i="6"/>
  <c r="U281" i="3"/>
  <c r="U285" i="13" l="1"/>
  <c r="U285" i="10"/>
  <c r="U282" i="9"/>
  <c r="U281" i="7"/>
  <c r="U283" i="6"/>
  <c r="U282" i="3"/>
  <c r="U286" i="13" l="1"/>
  <c r="U286" i="10"/>
  <c r="U283" i="9"/>
  <c r="U282" i="7"/>
  <c r="U284" i="6"/>
  <c r="U283" i="3"/>
  <c r="U287" i="13" l="1"/>
  <c r="U287" i="10"/>
  <c r="U284" i="9"/>
  <c r="U283" i="7"/>
  <c r="U285" i="6"/>
  <c r="U284" i="3"/>
  <c r="U288" i="13" l="1"/>
  <c r="U288" i="10"/>
  <c r="U285" i="9"/>
  <c r="U284" i="7"/>
  <c r="U286" i="6"/>
  <c r="U285" i="3"/>
  <c r="U289" i="13" l="1"/>
  <c r="U289" i="10"/>
  <c r="U286" i="9"/>
  <c r="U285" i="7"/>
  <c r="U287" i="6"/>
  <c r="U286" i="3"/>
  <c r="U290" i="13" l="1"/>
  <c r="U290" i="10"/>
  <c r="U287" i="9"/>
  <c r="U286" i="7"/>
  <c r="U288" i="6"/>
  <c r="U287" i="3"/>
  <c r="U291" i="13" l="1"/>
  <c r="U291" i="10"/>
  <c r="U288" i="9"/>
  <c r="U287" i="7"/>
  <c r="U289" i="6"/>
  <c r="U288" i="3"/>
  <c r="U292" i="13" l="1"/>
  <c r="U292" i="10"/>
  <c r="U289" i="9"/>
  <c r="U288" i="7"/>
  <c r="U290" i="6"/>
  <c r="U289" i="3"/>
  <c r="U293" i="13" l="1"/>
  <c r="U293" i="10"/>
  <c r="U290" i="9"/>
  <c r="U289" i="7"/>
  <c r="U291" i="6"/>
  <c r="U290" i="3"/>
  <c r="U294" i="13" l="1"/>
  <c r="U294" i="10"/>
  <c r="U291" i="9"/>
  <c r="U290" i="7"/>
  <c r="U292" i="6"/>
  <c r="U291" i="3"/>
  <c r="U295" i="13" l="1"/>
  <c r="U295" i="10"/>
  <c r="U292" i="9"/>
  <c r="U291" i="7"/>
  <c r="U293" i="6"/>
  <c r="U292" i="3"/>
  <c r="U296" i="13" l="1"/>
  <c r="U296" i="10"/>
  <c r="U293" i="9"/>
  <c r="U292" i="7"/>
  <c r="U294" i="6"/>
  <c r="U293" i="3"/>
  <c r="U297" i="13" l="1"/>
  <c r="U297" i="10"/>
  <c r="U294" i="9"/>
  <c r="U293" i="7"/>
  <c r="U295" i="6"/>
  <c r="U294" i="3"/>
  <c r="U298" i="13" l="1"/>
  <c r="U298" i="10"/>
  <c r="U295" i="9"/>
  <c r="U294" i="7"/>
  <c r="U296" i="6"/>
  <c r="U295" i="3"/>
  <c r="U299" i="13" l="1"/>
  <c r="U299" i="10"/>
  <c r="U296" i="9"/>
  <c r="U295" i="7"/>
  <c r="U297" i="6"/>
  <c r="U296" i="3"/>
  <c r="U300" i="13" l="1"/>
  <c r="U300" i="10"/>
  <c r="U297" i="9"/>
  <c r="U296" i="7"/>
  <c r="U298" i="6"/>
  <c r="U297" i="3"/>
  <c r="U301" i="13" l="1"/>
  <c r="U301" i="10"/>
  <c r="U298" i="9"/>
  <c r="U297" i="7"/>
  <c r="U299" i="6"/>
  <c r="U298" i="3"/>
  <c r="U302" i="13" l="1"/>
  <c r="U302" i="10"/>
  <c r="U299" i="9"/>
  <c r="U298" i="7"/>
  <c r="U300" i="6"/>
  <c r="U299" i="3"/>
  <c r="U303" i="13" l="1"/>
  <c r="U303" i="10"/>
  <c r="U300" i="9"/>
  <c r="U299" i="7"/>
  <c r="U301" i="6"/>
  <c r="U300" i="3"/>
  <c r="U304" i="13" l="1"/>
  <c r="U304" i="10"/>
  <c r="U301" i="9"/>
  <c r="U300" i="7"/>
  <c r="U302" i="6"/>
  <c r="U301" i="3"/>
  <c r="U305" i="13" l="1"/>
  <c r="U305" i="10"/>
  <c r="U302" i="9"/>
  <c r="U301" i="7"/>
  <c r="U303" i="6"/>
  <c r="U302" i="3"/>
  <c r="U306" i="13" l="1"/>
  <c r="U306" i="10"/>
  <c r="U303" i="9"/>
  <c r="U302" i="7"/>
  <c r="U304" i="6"/>
  <c r="U303" i="3"/>
  <c r="U307" i="13" l="1"/>
  <c r="U307" i="10"/>
  <c r="U304" i="9"/>
  <c r="U303" i="7"/>
  <c r="U305" i="6"/>
  <c r="U304" i="3"/>
  <c r="U308" i="13" l="1"/>
  <c r="U308" i="10"/>
  <c r="U305" i="9"/>
  <c r="U304" i="7"/>
  <c r="U306" i="6"/>
  <c r="U305" i="3"/>
  <c r="U309" i="13" l="1"/>
  <c r="U309" i="10"/>
  <c r="U306" i="9"/>
  <c r="U305" i="7"/>
  <c r="U307" i="6"/>
  <c r="U306" i="3"/>
  <c r="U310" i="13" l="1"/>
  <c r="U310" i="10"/>
  <c r="U307" i="9"/>
  <c r="U306" i="7"/>
  <c r="U308" i="6"/>
  <c r="U307" i="3"/>
  <c r="U311" i="13" l="1"/>
  <c r="U311" i="10"/>
  <c r="U308" i="9"/>
  <c r="U307" i="7"/>
  <c r="U309" i="6"/>
  <c r="U308" i="3"/>
  <c r="U312" i="13" l="1"/>
  <c r="U312" i="10"/>
  <c r="U309" i="9"/>
  <c r="U308" i="7"/>
  <c r="U310" i="6"/>
  <c r="U309" i="3"/>
  <c r="U313" i="13" l="1"/>
  <c r="U313" i="10"/>
  <c r="U310" i="9"/>
  <c r="U309" i="7"/>
  <c r="U311" i="6"/>
  <c r="U310" i="3"/>
  <c r="U314" i="13" l="1"/>
  <c r="U314" i="10"/>
  <c r="U311" i="9"/>
  <c r="U310" i="7"/>
  <c r="U312" i="6"/>
  <c r="U311" i="3"/>
  <c r="U315" i="13" l="1"/>
  <c r="U315" i="10"/>
  <c r="U312" i="9"/>
  <c r="U311" i="7"/>
  <c r="U313" i="6"/>
  <c r="U312" i="3"/>
  <c r="U316" i="13" l="1"/>
  <c r="U316" i="10"/>
  <c r="U313" i="9"/>
  <c r="U312" i="7"/>
  <c r="U314" i="6"/>
  <c r="U313" i="3"/>
  <c r="U317" i="13" l="1"/>
  <c r="U317" i="10"/>
  <c r="U314" i="9"/>
  <c r="U313" i="7"/>
  <c r="U315" i="6"/>
  <c r="U314" i="3"/>
  <c r="U318" i="13" l="1"/>
  <c r="U318" i="10"/>
  <c r="U315" i="9"/>
  <c r="U314" i="7"/>
  <c r="U316" i="6"/>
  <c r="U315" i="3"/>
  <c r="U319" i="13" l="1"/>
  <c r="U319" i="10"/>
  <c r="U316" i="9"/>
  <c r="U315" i="7"/>
  <c r="U317" i="6"/>
  <c r="U316" i="3"/>
  <c r="U320" i="13" l="1"/>
  <c r="U320" i="10"/>
  <c r="U317" i="9"/>
  <c r="U316" i="7"/>
  <c r="U318" i="6"/>
  <c r="U317" i="3"/>
  <c r="U321" i="13" l="1"/>
  <c r="U321" i="10"/>
  <c r="U318" i="9"/>
  <c r="U317" i="7"/>
  <c r="U319" i="6"/>
  <c r="U318" i="3"/>
  <c r="U322" i="13" l="1"/>
  <c r="U322" i="10"/>
  <c r="U319" i="9"/>
  <c r="U318" i="7"/>
  <c r="U320" i="6"/>
  <c r="U319" i="3"/>
  <c r="U323" i="13" l="1"/>
  <c r="U323" i="10"/>
  <c r="U320" i="9"/>
  <c r="U319" i="7"/>
  <c r="U321" i="6"/>
  <c r="U320" i="3"/>
  <c r="U324" i="13" l="1"/>
  <c r="U324" i="10"/>
  <c r="U321" i="9"/>
  <c r="U320" i="7"/>
  <c r="U322" i="6"/>
  <c r="U321" i="3"/>
  <c r="U325" i="13" l="1"/>
  <c r="U325" i="10"/>
  <c r="U322" i="9"/>
  <c r="U321" i="7"/>
  <c r="U323" i="6"/>
  <c r="U322" i="3"/>
  <c r="U326" i="13" l="1"/>
  <c r="U326" i="10"/>
  <c r="U323" i="9"/>
  <c r="U322" i="7"/>
  <c r="U324" i="6"/>
  <c r="U323" i="3"/>
  <c r="U327" i="13" l="1"/>
  <c r="U327" i="10"/>
  <c r="U324" i="9"/>
  <c r="U323" i="7"/>
  <c r="U325" i="6"/>
  <c r="U324" i="3"/>
  <c r="U328" i="13" l="1"/>
  <c r="U328" i="10"/>
  <c r="U325" i="9"/>
  <c r="U324" i="7"/>
  <c r="U326" i="6"/>
  <c r="U325" i="3"/>
  <c r="U329" i="13" l="1"/>
  <c r="U329" i="10"/>
  <c r="U326" i="9"/>
  <c r="U325" i="7"/>
  <c r="U327" i="6"/>
  <c r="U326" i="3"/>
  <c r="U330" i="13" l="1"/>
  <c r="U330" i="10"/>
  <c r="U327" i="9"/>
  <c r="U326" i="7"/>
  <c r="U328" i="6"/>
  <c r="U327" i="3"/>
  <c r="U331" i="13" l="1"/>
  <c r="U331" i="10"/>
  <c r="U328" i="9"/>
  <c r="U327" i="7"/>
  <c r="U329" i="6"/>
  <c r="U328" i="3"/>
  <c r="U332" i="13" l="1"/>
  <c r="U332" i="10"/>
  <c r="U329" i="9"/>
  <c r="U328" i="7"/>
  <c r="U330" i="6"/>
  <c r="U329" i="3"/>
  <c r="U333" i="13" l="1"/>
  <c r="U333" i="10"/>
  <c r="U330" i="9"/>
  <c r="U329" i="7"/>
  <c r="U331" i="6"/>
  <c r="U330" i="3"/>
  <c r="U334" i="13" l="1"/>
  <c r="U334" i="10"/>
  <c r="U331" i="9"/>
  <c r="U330" i="7"/>
  <c r="U332" i="6"/>
  <c r="U331" i="3"/>
  <c r="U335" i="13" l="1"/>
  <c r="U335" i="10"/>
  <c r="U332" i="9"/>
  <c r="U331" i="7"/>
  <c r="U333" i="6"/>
  <c r="U332" i="3"/>
  <c r="U336" i="13" l="1"/>
  <c r="U336" i="10"/>
  <c r="U333" i="9"/>
  <c r="U332" i="7"/>
  <c r="U334" i="6"/>
  <c r="U333" i="3"/>
  <c r="U337" i="13" l="1"/>
  <c r="U337" i="10"/>
  <c r="U334" i="9"/>
  <c r="U333" i="7"/>
  <c r="U335" i="6"/>
  <c r="U334" i="3"/>
  <c r="U338" i="13" l="1"/>
  <c r="U338" i="10"/>
  <c r="U335" i="9"/>
  <c r="U334" i="7"/>
  <c r="U336" i="6"/>
  <c r="U335" i="3"/>
  <c r="U339" i="13" l="1"/>
  <c r="U339" i="10"/>
  <c r="U336" i="9"/>
  <c r="U335" i="7"/>
  <c r="U337" i="6"/>
  <c r="U336" i="3"/>
  <c r="U340" i="13" l="1"/>
  <c r="U340" i="10"/>
  <c r="U337" i="9"/>
  <c r="U336" i="7"/>
  <c r="U338" i="6"/>
  <c r="U337" i="3"/>
  <c r="U341" i="13" l="1"/>
  <c r="U341" i="10"/>
  <c r="U338" i="9"/>
  <c r="U337" i="7"/>
  <c r="U339" i="6"/>
  <c r="U338" i="3"/>
  <c r="U342" i="13" l="1"/>
  <c r="U342" i="10"/>
  <c r="U339" i="9"/>
  <c r="U338" i="7"/>
  <c r="U340" i="6"/>
  <c r="U339" i="3"/>
  <c r="U343" i="13" l="1"/>
  <c r="U343" i="10"/>
  <c r="U340" i="9"/>
  <c r="U339" i="7"/>
  <c r="U341" i="6"/>
  <c r="U340" i="3"/>
  <c r="U344" i="13" l="1"/>
  <c r="U344" i="10"/>
  <c r="U341" i="9"/>
  <c r="U340" i="7"/>
  <c r="U342" i="6"/>
  <c r="U341" i="3"/>
  <c r="U345" i="13" l="1"/>
  <c r="U345" i="10"/>
  <c r="U342" i="9"/>
  <c r="U341" i="7"/>
  <c r="U343" i="6"/>
  <c r="U342" i="3"/>
  <c r="U346" i="13" l="1"/>
  <c r="U346" i="10"/>
  <c r="U343" i="9"/>
  <c r="U342" i="7"/>
  <c r="U344" i="6"/>
  <c r="U343" i="3"/>
  <c r="U347" i="13" l="1"/>
  <c r="U347" i="10"/>
  <c r="U344" i="9"/>
  <c r="U343" i="7"/>
  <c r="U345" i="6"/>
  <c r="U344" i="3"/>
  <c r="U348" i="13" l="1"/>
  <c r="U348" i="10"/>
  <c r="U345" i="9"/>
  <c r="U344" i="7"/>
  <c r="U346" i="6"/>
  <c r="U345" i="3"/>
  <c r="U349" i="13" l="1"/>
  <c r="U349" i="10"/>
  <c r="U346" i="9"/>
  <c r="U345" i="7"/>
  <c r="U347" i="6"/>
  <c r="U346" i="3"/>
  <c r="U350" i="13" l="1"/>
  <c r="U350" i="10"/>
  <c r="U347" i="9"/>
  <c r="U346" i="7"/>
  <c r="U348" i="6"/>
  <c r="U347" i="3"/>
  <c r="U351" i="13" l="1"/>
  <c r="U351" i="10"/>
  <c r="U348" i="9"/>
  <c r="U347" i="7"/>
  <c r="U349" i="6"/>
  <c r="U348" i="3"/>
  <c r="U352" i="13" l="1"/>
  <c r="U352" i="10"/>
  <c r="U349" i="9"/>
  <c r="U348" i="7"/>
  <c r="U350" i="6"/>
  <c r="U349" i="3"/>
  <c r="U353" i="13" l="1"/>
  <c r="U353" i="10"/>
  <c r="U350" i="9"/>
  <c r="U349" i="7"/>
  <c r="U351" i="6"/>
  <c r="U350" i="3"/>
  <c r="U354" i="13" l="1"/>
  <c r="U354" i="10"/>
  <c r="U351" i="9"/>
  <c r="U350" i="7"/>
  <c r="U352" i="6"/>
  <c r="U351" i="3"/>
  <c r="U355" i="13" l="1"/>
  <c r="U355" i="10"/>
  <c r="U352" i="9"/>
  <c r="U351" i="7"/>
  <c r="U353" i="6"/>
  <c r="U352" i="3"/>
  <c r="U356" i="13" l="1"/>
  <c r="U356" i="10"/>
  <c r="U353" i="9"/>
  <c r="U352" i="7"/>
  <c r="U354" i="6"/>
  <c r="U353" i="3"/>
  <c r="U357" i="13" l="1"/>
  <c r="U357" i="10"/>
  <c r="U354" i="9"/>
  <c r="U353" i="7"/>
  <c r="U355" i="6"/>
  <c r="U354" i="3"/>
  <c r="U358" i="13" l="1"/>
  <c r="U358" i="10"/>
  <c r="U355" i="9"/>
  <c r="U354" i="7"/>
  <c r="U356" i="6"/>
  <c r="U355" i="3"/>
  <c r="U359" i="13" l="1"/>
  <c r="U359" i="10"/>
  <c r="U356" i="9"/>
  <c r="U355" i="7"/>
  <c r="U357" i="6"/>
  <c r="U356" i="3"/>
  <c r="U360" i="13" l="1"/>
  <c r="U360" i="10"/>
  <c r="U357" i="9"/>
  <c r="U356" i="7"/>
  <c r="U358" i="6"/>
  <c r="U357" i="3"/>
  <c r="U361" i="13" l="1"/>
  <c r="U361" i="10"/>
  <c r="U358" i="9"/>
  <c r="U357" i="7"/>
  <c r="U359" i="6"/>
  <c r="U358" i="3"/>
  <c r="U362" i="13" l="1"/>
  <c r="U362" i="10"/>
  <c r="U359" i="9"/>
  <c r="U358" i="7"/>
  <c r="U360" i="6"/>
  <c r="U359" i="3"/>
  <c r="U363" i="13" l="1"/>
  <c r="U363" i="10"/>
  <c r="U360" i="9"/>
  <c r="U359" i="7"/>
  <c r="U361" i="6"/>
  <c r="U360" i="3"/>
  <c r="U364" i="13" l="1"/>
  <c r="U364" i="10"/>
  <c r="U361" i="9"/>
  <c r="U360" i="7"/>
  <c r="U362" i="6"/>
  <c r="U361" i="3"/>
  <c r="U365" i="13" l="1"/>
  <c r="U365" i="10"/>
  <c r="U362" i="9"/>
  <c r="U361" i="7"/>
  <c r="U363" i="6"/>
  <c r="U362" i="3"/>
  <c r="U366" i="13" l="1"/>
  <c r="U366" i="10"/>
  <c r="U363" i="9"/>
  <c r="U362" i="7"/>
  <c r="U364" i="6"/>
  <c r="U363" i="3"/>
  <c r="U367" i="13" l="1"/>
  <c r="U367" i="10"/>
  <c r="U364" i="9"/>
  <c r="U363" i="7"/>
  <c r="U365" i="6"/>
  <c r="U364" i="3"/>
  <c r="U368" i="13" l="1"/>
  <c r="U368" i="10"/>
  <c r="U365" i="9"/>
  <c r="U364" i="7"/>
  <c r="U366" i="6"/>
  <c r="U365" i="3"/>
  <c r="U369" i="13" l="1"/>
  <c r="U369" i="10"/>
  <c r="U366" i="9"/>
  <c r="U365" i="7"/>
  <c r="U367" i="6"/>
  <c r="U366" i="3"/>
  <c r="U370" i="13" l="1"/>
  <c r="U370" i="10"/>
  <c r="U367" i="9"/>
  <c r="U366" i="7"/>
  <c r="U368" i="6"/>
  <c r="U367" i="3"/>
  <c r="U371" i="13" l="1"/>
  <c r="U371" i="10"/>
  <c r="U368" i="9"/>
  <c r="U367" i="7"/>
  <c r="U369" i="6"/>
  <c r="U368" i="3"/>
  <c r="U372" i="13" l="1"/>
  <c r="U372" i="10"/>
  <c r="U369" i="9"/>
  <c r="U368" i="7"/>
  <c r="U370" i="6"/>
  <c r="U369" i="3"/>
  <c r="U373" i="13" l="1"/>
  <c r="U373" i="10"/>
  <c r="U370" i="9"/>
  <c r="U369" i="7"/>
  <c r="U371" i="6"/>
  <c r="U370" i="3"/>
  <c r="U374" i="13" l="1"/>
  <c r="U374" i="10"/>
  <c r="U371" i="9"/>
  <c r="U370" i="7"/>
  <c r="U372" i="6"/>
  <c r="U371" i="3"/>
  <c r="U375" i="13" l="1"/>
  <c r="U375" i="10"/>
  <c r="U372" i="9"/>
  <c r="U371" i="7"/>
  <c r="U373" i="6"/>
  <c r="U372" i="3"/>
  <c r="U376" i="13" l="1"/>
  <c r="U376" i="10"/>
  <c r="U373" i="9"/>
  <c r="U372" i="7"/>
  <c r="U374" i="6"/>
  <c r="U373" i="3"/>
  <c r="U377" i="13" l="1"/>
  <c r="U377" i="10"/>
  <c r="U374" i="9"/>
  <c r="U373" i="7"/>
  <c r="U375" i="6"/>
  <c r="U374" i="3"/>
  <c r="U378" i="13" l="1"/>
  <c r="U378" i="10"/>
  <c r="U375" i="9"/>
  <c r="U374" i="7"/>
  <c r="U376" i="6"/>
  <c r="U375" i="3"/>
  <c r="U379" i="13" l="1"/>
  <c r="U379" i="10"/>
  <c r="U376" i="9"/>
  <c r="U375" i="7"/>
  <c r="U377" i="6"/>
  <c r="U376" i="3"/>
  <c r="U380" i="13" l="1"/>
  <c r="U380" i="10"/>
  <c r="U377" i="9"/>
  <c r="U376" i="7"/>
  <c r="U378" i="6"/>
  <c r="U377" i="3"/>
  <c r="U381" i="13" l="1"/>
  <c r="U381" i="10"/>
  <c r="U378" i="9"/>
  <c r="U377" i="7"/>
  <c r="U379" i="6"/>
  <c r="U378" i="3"/>
  <c r="U382" i="13" l="1"/>
  <c r="U382" i="10"/>
  <c r="U379" i="9"/>
  <c r="U378" i="7"/>
  <c r="U380" i="6"/>
  <c r="U379" i="3"/>
  <c r="U383" i="13" l="1"/>
  <c r="U383" i="10"/>
  <c r="U380" i="9"/>
  <c r="U379" i="7"/>
  <c r="U381" i="6"/>
  <c r="U380" i="3"/>
  <c r="U384" i="13" l="1"/>
  <c r="U384" i="10"/>
  <c r="U381" i="9"/>
  <c r="U380" i="7"/>
  <c r="U382" i="6"/>
  <c r="U381" i="3"/>
  <c r="U385" i="13" l="1"/>
  <c r="U385" i="10"/>
  <c r="U382" i="9"/>
  <c r="U381" i="7"/>
  <c r="U383" i="6"/>
  <c r="U382" i="3"/>
  <c r="U386" i="13" l="1"/>
  <c r="U386" i="10"/>
  <c r="U383" i="9"/>
  <c r="U382" i="7"/>
  <c r="U384" i="6"/>
  <c r="U383" i="3"/>
  <c r="U387" i="13" l="1"/>
  <c r="U387" i="10"/>
  <c r="U384" i="9"/>
  <c r="U383" i="7"/>
  <c r="U385" i="6"/>
  <c r="U384" i="3"/>
  <c r="U388" i="13" l="1"/>
  <c r="U388" i="10"/>
  <c r="U385" i="9"/>
  <c r="U384" i="7"/>
  <c r="U386" i="6"/>
  <c r="U385" i="3"/>
  <c r="U389" i="13" l="1"/>
  <c r="U389" i="10"/>
  <c r="U386" i="9"/>
  <c r="U385" i="7"/>
  <c r="U387" i="6"/>
  <c r="U386" i="3"/>
  <c r="U390" i="13" l="1"/>
  <c r="U390" i="10"/>
  <c r="U387" i="9"/>
  <c r="U386" i="7"/>
  <c r="U388" i="6"/>
  <c r="U387" i="3"/>
  <c r="U391" i="13" l="1"/>
  <c r="U391" i="10"/>
  <c r="U388" i="9"/>
  <c r="U387" i="7"/>
  <c r="U389" i="6"/>
  <c r="U388" i="3"/>
  <c r="U392" i="13" l="1"/>
  <c r="U392" i="10"/>
  <c r="U389" i="9"/>
  <c r="U388" i="7"/>
  <c r="U390" i="6"/>
  <c r="U389" i="3"/>
  <c r="U393" i="13" l="1"/>
  <c r="U393" i="10"/>
  <c r="U390" i="9"/>
  <c r="U389" i="7"/>
  <c r="U391" i="6"/>
  <c r="U390" i="3"/>
  <c r="U394" i="13" l="1"/>
  <c r="U394" i="10"/>
  <c r="U391" i="9"/>
  <c r="U390" i="7"/>
  <c r="U392" i="6"/>
  <c r="U391" i="3"/>
  <c r="U395" i="13" l="1"/>
  <c r="U395" i="10"/>
  <c r="U392" i="9"/>
  <c r="U391" i="7"/>
  <c r="U393" i="6"/>
  <c r="U392" i="3"/>
  <c r="U396" i="13" l="1"/>
  <c r="U396" i="10"/>
  <c r="U393" i="9"/>
  <c r="U392" i="7"/>
  <c r="U394" i="6"/>
  <c r="U393" i="3"/>
  <c r="U397" i="13" l="1"/>
  <c r="U397" i="10"/>
  <c r="U394" i="9"/>
  <c r="U393" i="7"/>
  <c r="U395" i="6"/>
  <c r="U394" i="3"/>
  <c r="U398" i="13" l="1"/>
  <c r="U398" i="10"/>
  <c r="U395" i="9"/>
  <c r="U394" i="7"/>
  <c r="U396" i="6"/>
  <c r="U395" i="3"/>
  <c r="U399" i="13" l="1"/>
  <c r="U399" i="10"/>
  <c r="U396" i="9"/>
  <c r="U395" i="7"/>
  <c r="U397" i="6"/>
  <c r="U396" i="3"/>
  <c r="U400" i="13" l="1"/>
  <c r="U400" i="10"/>
  <c r="U397" i="9"/>
  <c r="U396" i="7"/>
  <c r="U398" i="6"/>
  <c r="U397" i="3"/>
  <c r="U401" i="13" l="1"/>
  <c r="U401" i="10"/>
  <c r="U398" i="9"/>
  <c r="U397" i="7"/>
  <c r="U399" i="6"/>
  <c r="U398" i="3"/>
  <c r="U402" i="13" l="1"/>
  <c r="U402" i="10"/>
  <c r="U399" i="9"/>
  <c r="U398" i="7"/>
  <c r="U400" i="6"/>
  <c r="U399" i="3"/>
  <c r="U403" i="13" l="1"/>
  <c r="U403" i="10"/>
  <c r="U400" i="9"/>
  <c r="U399" i="7"/>
  <c r="U401" i="6"/>
  <c r="U400" i="3"/>
  <c r="U404" i="13" l="1"/>
  <c r="U404" i="10"/>
  <c r="U401" i="9"/>
  <c r="U400" i="7"/>
  <c r="U402" i="6"/>
  <c r="U401" i="3"/>
  <c r="U405" i="13" l="1"/>
  <c r="U405" i="10"/>
  <c r="U402" i="9"/>
  <c r="U401" i="7"/>
  <c r="U403" i="6"/>
  <c r="U402" i="3"/>
  <c r="U406" i="13" l="1"/>
  <c r="U406" i="10"/>
  <c r="U403" i="9"/>
  <c r="U402" i="7"/>
  <c r="U404" i="6"/>
  <c r="U403" i="3"/>
  <c r="U407" i="13" l="1"/>
  <c r="U407" i="10"/>
  <c r="U404" i="9"/>
  <c r="U403" i="7"/>
  <c r="U405" i="6"/>
  <c r="U404" i="3"/>
  <c r="U408" i="13" l="1"/>
  <c r="U408" i="10"/>
  <c r="U405" i="9"/>
  <c r="U404" i="7"/>
  <c r="U406" i="6"/>
  <c r="U405" i="3"/>
  <c r="U409" i="13" l="1"/>
  <c r="U409" i="10"/>
  <c r="U406" i="9"/>
  <c r="U405" i="7"/>
  <c r="U407" i="6"/>
  <c r="U406" i="3"/>
  <c r="U410" i="13" l="1"/>
  <c r="U410" i="10"/>
  <c r="U407" i="9"/>
  <c r="U406" i="7"/>
  <c r="U408" i="6"/>
  <c r="U407" i="3"/>
  <c r="U411" i="13" l="1"/>
  <c r="U411" i="10"/>
  <c r="U408" i="9"/>
  <c r="U407" i="7"/>
  <c r="U409" i="6"/>
  <c r="U408" i="3"/>
  <c r="U412" i="13" l="1"/>
  <c r="U412" i="10"/>
  <c r="U409" i="9"/>
  <c r="U408" i="7"/>
  <c r="U410" i="6"/>
  <c r="U409" i="3"/>
  <c r="U413" i="13" l="1"/>
  <c r="U413" i="10"/>
  <c r="U410" i="9"/>
  <c r="U409" i="7"/>
  <c r="U411" i="6"/>
  <c r="U410" i="3"/>
  <c r="U414" i="13" l="1"/>
  <c r="U414" i="10"/>
  <c r="U411" i="9"/>
  <c r="U410" i="7"/>
  <c r="U412" i="6"/>
  <c r="U411" i="3"/>
  <c r="U415" i="13" l="1"/>
  <c r="U415" i="10"/>
  <c r="U412" i="9"/>
  <c r="U411" i="7"/>
  <c r="U413" i="6"/>
  <c r="U412" i="3"/>
  <c r="U416" i="13" l="1"/>
  <c r="U416" i="10"/>
  <c r="U413" i="9"/>
  <c r="U412" i="7"/>
  <c r="U414" i="6"/>
  <c r="U413" i="3"/>
  <c r="U417" i="13" l="1"/>
  <c r="U417" i="10"/>
  <c r="U414" i="9"/>
  <c r="U413" i="7"/>
  <c r="U415" i="6"/>
  <c r="U414" i="3"/>
  <c r="U418" i="13" l="1"/>
  <c r="U418" i="10"/>
  <c r="U415" i="9"/>
  <c r="U414" i="7"/>
  <c r="U416" i="6"/>
  <c r="U415" i="3"/>
  <c r="U419" i="13" l="1"/>
  <c r="U419" i="10"/>
  <c r="U416" i="9"/>
  <c r="U415" i="7"/>
  <c r="U417" i="6"/>
  <c r="U416" i="3"/>
  <c r="U420" i="13" l="1"/>
  <c r="U420" i="10"/>
  <c r="U417" i="9"/>
  <c r="U416" i="7"/>
  <c r="U418" i="6"/>
  <c r="U417" i="3"/>
  <c r="U421" i="13" l="1"/>
  <c r="U421" i="10"/>
  <c r="U418" i="9"/>
  <c r="U417" i="7"/>
  <c r="U419" i="6"/>
  <c r="U418" i="3"/>
  <c r="U422" i="13" l="1"/>
  <c r="U422" i="10"/>
  <c r="U419" i="9"/>
  <c r="U418" i="7"/>
  <c r="U420" i="6"/>
  <c r="U419" i="3"/>
  <c r="U423" i="13" l="1"/>
  <c r="U423" i="10"/>
  <c r="U420" i="9"/>
  <c r="U419" i="7"/>
  <c r="U421" i="6"/>
  <c r="U420" i="3"/>
  <c r="U424" i="13" l="1"/>
  <c r="U424" i="10"/>
  <c r="U421" i="9"/>
  <c r="U420" i="7"/>
  <c r="U422" i="6"/>
  <c r="U421" i="3"/>
  <c r="U425" i="13" l="1"/>
  <c r="U425" i="10"/>
  <c r="U422" i="9"/>
  <c r="U421" i="7"/>
  <c r="U423" i="6"/>
  <c r="U422" i="3"/>
  <c r="U426" i="13" l="1"/>
  <c r="U426" i="10"/>
  <c r="U423" i="9"/>
  <c r="U422" i="7"/>
  <c r="U424" i="6"/>
  <c r="U423" i="3"/>
  <c r="U427" i="13" l="1"/>
  <c r="U427" i="10"/>
  <c r="U424" i="9"/>
  <c r="U423" i="7"/>
  <c r="U425" i="6"/>
  <c r="U424" i="3"/>
  <c r="U428" i="13" l="1"/>
  <c r="U428" i="10"/>
  <c r="U425" i="9"/>
  <c r="U424" i="7"/>
  <c r="U426" i="6"/>
  <c r="U425" i="3"/>
  <c r="U429" i="13" l="1"/>
  <c r="U429" i="10"/>
  <c r="U426" i="9"/>
  <c r="U425" i="7"/>
  <c r="U427" i="6"/>
  <c r="U426" i="3"/>
  <c r="U430" i="13" l="1"/>
  <c r="U430" i="10"/>
  <c r="U427" i="9"/>
  <c r="U426" i="7"/>
  <c r="U428" i="6"/>
  <c r="U427" i="3"/>
  <c r="U431" i="13" l="1"/>
  <c r="U431" i="10"/>
  <c r="U428" i="9"/>
  <c r="U427" i="7"/>
  <c r="U429" i="6"/>
  <c r="U428" i="3"/>
  <c r="U432" i="13" l="1"/>
  <c r="U432" i="10"/>
  <c r="U429" i="9"/>
  <c r="U428" i="7"/>
  <c r="U430" i="6"/>
  <c r="U429" i="3"/>
  <c r="U433" i="13" l="1"/>
  <c r="U433" i="10"/>
  <c r="U430" i="9"/>
  <c r="U429" i="7"/>
  <c r="U431" i="6"/>
  <c r="U430" i="3"/>
  <c r="U434" i="13" l="1"/>
  <c r="U434" i="10"/>
  <c r="U431" i="9"/>
  <c r="U430" i="7"/>
  <c r="U432" i="6"/>
  <c r="U431" i="3"/>
  <c r="U435" i="13" l="1"/>
  <c r="U435" i="10"/>
  <c r="U432" i="9"/>
  <c r="U431" i="7"/>
  <c r="U433" i="6"/>
  <c r="U432" i="3"/>
  <c r="U436" i="13" l="1"/>
  <c r="U436" i="10"/>
  <c r="U433" i="9"/>
  <c r="U432" i="7"/>
  <c r="U434" i="6"/>
  <c r="U433" i="3"/>
  <c r="U437" i="13" l="1"/>
  <c r="U437" i="10"/>
  <c r="U434" i="9"/>
  <c r="U433" i="7"/>
  <c r="U435" i="6"/>
  <c r="U434" i="3"/>
  <c r="U438" i="13" l="1"/>
  <c r="U438" i="10"/>
  <c r="U435" i="9"/>
  <c r="U434" i="7"/>
  <c r="U436" i="6"/>
  <c r="U435" i="3"/>
  <c r="U439" i="13" l="1"/>
  <c r="U439" i="10"/>
  <c r="U436" i="9"/>
  <c r="U435" i="7"/>
  <c r="U437" i="6"/>
  <c r="U436" i="3"/>
  <c r="U440" i="13" l="1"/>
  <c r="U440" i="10"/>
  <c r="U437" i="9"/>
  <c r="U436" i="7"/>
  <c r="U438" i="6"/>
  <c r="U437" i="3"/>
  <c r="U441" i="13" l="1"/>
  <c r="U441" i="10"/>
  <c r="U438" i="9"/>
  <c r="U437" i="7"/>
  <c r="U439" i="6"/>
  <c r="U438" i="3"/>
  <c r="U442" i="13" l="1"/>
  <c r="U442" i="10"/>
  <c r="U439" i="9"/>
  <c r="U438" i="7"/>
  <c r="U440" i="6"/>
  <c r="U439" i="3"/>
  <c r="U443" i="13" l="1"/>
  <c r="U443" i="10"/>
  <c r="U440" i="9"/>
  <c r="U439" i="7"/>
  <c r="U441" i="6"/>
  <c r="U440" i="3"/>
  <c r="U444" i="13" l="1"/>
  <c r="U444" i="10"/>
  <c r="U441" i="9"/>
  <c r="U440" i="7"/>
  <c r="U442" i="6"/>
  <c r="U441" i="3"/>
  <c r="U445" i="13" l="1"/>
  <c r="U445" i="10"/>
  <c r="U442" i="9"/>
  <c r="U441" i="7"/>
  <c r="U443" i="6"/>
  <c r="U442" i="3"/>
  <c r="U446" i="13" l="1"/>
  <c r="U446" i="10"/>
  <c r="U443" i="9"/>
  <c r="U442" i="7"/>
  <c r="U444" i="6"/>
  <c r="U443" i="3"/>
  <c r="U447" i="13" l="1"/>
  <c r="U447" i="10"/>
  <c r="U444" i="9"/>
  <c r="U443" i="7"/>
  <c r="U445" i="6"/>
  <c r="U444" i="3"/>
  <c r="U448" i="13" l="1"/>
  <c r="U448" i="10"/>
  <c r="U445" i="9"/>
  <c r="U444" i="7"/>
  <c r="U446" i="6"/>
  <c r="U445" i="3"/>
  <c r="U449" i="13" l="1"/>
  <c r="U449" i="10"/>
  <c r="U446" i="9"/>
  <c r="U445" i="7"/>
  <c r="U447" i="6"/>
  <c r="U446" i="3"/>
  <c r="U450" i="13" l="1"/>
  <c r="U450" i="10"/>
  <c r="U447" i="9"/>
  <c r="U446" i="7"/>
  <c r="U448" i="6"/>
  <c r="U447" i="3"/>
  <c r="U451" i="13" l="1"/>
  <c r="U451" i="10"/>
  <c r="U448" i="9"/>
  <c r="U447" i="7"/>
  <c r="U449" i="6"/>
  <c r="U448" i="3"/>
  <c r="U452" i="13" l="1"/>
  <c r="U452" i="10"/>
  <c r="U449" i="9"/>
  <c r="U448" i="7"/>
  <c r="U450" i="6"/>
  <c r="U449" i="3"/>
  <c r="U453" i="13" l="1"/>
  <c r="U453" i="10"/>
  <c r="U450" i="9"/>
  <c r="U449" i="7"/>
  <c r="U451" i="6"/>
  <c r="U450" i="3"/>
  <c r="U454" i="13" l="1"/>
  <c r="U454" i="10"/>
  <c r="U451" i="9"/>
  <c r="U450" i="7"/>
  <c r="U452" i="6"/>
  <c r="U451" i="3"/>
  <c r="U455" i="13" l="1"/>
  <c r="U455" i="10"/>
  <c r="U452" i="9"/>
  <c r="U451" i="7"/>
  <c r="U453" i="6"/>
  <c r="U452" i="3"/>
  <c r="U456" i="13" l="1"/>
  <c r="U456" i="10"/>
  <c r="U453" i="9"/>
  <c r="U452" i="7"/>
  <c r="U454" i="6"/>
  <c r="U453" i="3"/>
  <c r="U457" i="13" l="1"/>
  <c r="U457" i="10"/>
  <c r="U454" i="9"/>
  <c r="U453" i="7"/>
  <c r="U455" i="6"/>
  <c r="U454" i="3"/>
  <c r="U458" i="13" l="1"/>
  <c r="U458" i="10"/>
  <c r="U455" i="9"/>
  <c r="U454" i="7"/>
  <c r="U456" i="6"/>
  <c r="U455" i="3"/>
  <c r="U459" i="13" l="1"/>
  <c r="U459" i="10"/>
  <c r="U456" i="9"/>
  <c r="U455" i="7"/>
  <c r="U457" i="6"/>
  <c r="U456" i="3"/>
  <c r="U460" i="13" l="1"/>
  <c r="U460" i="10"/>
  <c r="U457" i="9"/>
  <c r="U456" i="7"/>
  <c r="U458" i="6"/>
  <c r="U457" i="3"/>
  <c r="U461" i="13" l="1"/>
  <c r="U461" i="10"/>
  <c r="U458" i="9"/>
  <c r="U457" i="7"/>
  <c r="U459" i="6"/>
  <c r="U458" i="3"/>
  <c r="U462" i="13" l="1"/>
  <c r="U462" i="10"/>
  <c r="U459" i="9"/>
  <c r="U458" i="7"/>
  <c r="U460" i="6"/>
  <c r="U459" i="3"/>
  <c r="U463" i="13" l="1"/>
  <c r="U463" i="10"/>
  <c r="U460" i="9"/>
  <c r="U459" i="7"/>
  <c r="U461" i="6"/>
  <c r="U460" i="3"/>
  <c r="U464" i="13" l="1"/>
  <c r="U464" i="10"/>
  <c r="U461" i="9"/>
  <c r="U460" i="7"/>
  <c r="U462" i="6"/>
  <c r="U461" i="3"/>
  <c r="U465" i="13" l="1"/>
  <c r="U465" i="10"/>
  <c r="U462" i="9"/>
  <c r="U461" i="7"/>
  <c r="U463" i="6"/>
  <c r="U462" i="3"/>
  <c r="U466" i="13" l="1"/>
  <c r="U466" i="10"/>
  <c r="U463" i="9"/>
  <c r="U462" i="7"/>
  <c r="U464" i="6"/>
  <c r="U463" i="3"/>
  <c r="U467" i="13" l="1"/>
  <c r="U467" i="10"/>
  <c r="U464" i="9"/>
  <c r="U463" i="7"/>
  <c r="U465" i="6"/>
  <c r="U464" i="3"/>
  <c r="U468" i="13" l="1"/>
  <c r="U468" i="10"/>
  <c r="U465" i="9"/>
  <c r="U464" i="7"/>
  <c r="U466" i="6"/>
  <c r="U465" i="3"/>
  <c r="U469" i="13" l="1"/>
  <c r="U469" i="10"/>
  <c r="U466" i="9"/>
  <c r="U465" i="7"/>
  <c r="U467" i="6"/>
  <c r="U466" i="3"/>
  <c r="U470" i="13" l="1"/>
  <c r="U470" i="10"/>
  <c r="U467" i="9"/>
  <c r="U466" i="7"/>
  <c r="U468" i="6"/>
  <c r="U467" i="3"/>
  <c r="U471" i="13" l="1"/>
  <c r="U471" i="10"/>
  <c r="U468" i="9"/>
  <c r="U467" i="7"/>
  <c r="U469" i="6"/>
  <c r="U468" i="3"/>
  <c r="U472" i="13" l="1"/>
  <c r="U472" i="10"/>
  <c r="U469" i="9"/>
  <c r="U468" i="7"/>
  <c r="U470" i="6"/>
  <c r="U469" i="3"/>
  <c r="U473" i="13" l="1"/>
  <c r="U473" i="10"/>
  <c r="U470" i="9"/>
  <c r="U469" i="7"/>
  <c r="U471" i="6"/>
  <c r="U470" i="3"/>
  <c r="U474" i="13" l="1"/>
  <c r="U474" i="10"/>
  <c r="U471" i="9"/>
  <c r="U470" i="7"/>
  <c r="U472" i="6"/>
  <c r="U471" i="3"/>
  <c r="U475" i="13" l="1"/>
  <c r="U475" i="10"/>
  <c r="U472" i="9"/>
  <c r="U471" i="7"/>
  <c r="U473" i="6"/>
  <c r="U472" i="3"/>
  <c r="U476" i="13" l="1"/>
  <c r="U476" i="10"/>
  <c r="U473" i="9"/>
  <c r="U472" i="7"/>
  <c r="U474" i="6"/>
  <c r="U473" i="3"/>
  <c r="U477" i="13" l="1"/>
  <c r="U477" i="10"/>
  <c r="U474" i="9"/>
  <c r="U473" i="7"/>
  <c r="U475" i="6"/>
  <c r="U474" i="3"/>
  <c r="U478" i="13" l="1"/>
  <c r="U478" i="10"/>
  <c r="U475" i="9"/>
  <c r="U474" i="7"/>
  <c r="U476" i="6"/>
  <c r="U475" i="3"/>
  <c r="U479" i="13" l="1"/>
  <c r="U479" i="10"/>
  <c r="U476" i="9"/>
  <c r="U475" i="7"/>
  <c r="U477" i="6"/>
  <c r="U476" i="3"/>
  <c r="U480" i="13" l="1"/>
  <c r="U480" i="10"/>
  <c r="U477" i="9"/>
  <c r="U476" i="7"/>
  <c r="U478" i="6"/>
  <c r="U477" i="3"/>
  <c r="U481" i="13" l="1"/>
  <c r="U481" i="10"/>
  <c r="U478" i="9"/>
  <c r="U477" i="7"/>
  <c r="U479" i="6"/>
  <c r="U478" i="3"/>
  <c r="U482" i="13" l="1"/>
  <c r="U482" i="10"/>
  <c r="U479" i="9"/>
  <c r="U478" i="7"/>
  <c r="U480" i="6"/>
  <c r="U479" i="3"/>
  <c r="U483" i="13" l="1"/>
  <c r="U483" i="10"/>
  <c r="U480" i="9"/>
  <c r="U479" i="7"/>
  <c r="U481" i="6"/>
  <c r="U480" i="3"/>
  <c r="U484" i="13" l="1"/>
  <c r="U484" i="10"/>
  <c r="U481" i="9"/>
  <c r="U480" i="7"/>
  <c r="U482" i="6"/>
  <c r="U481" i="3"/>
  <c r="U485" i="13" l="1"/>
  <c r="U485" i="10"/>
  <c r="U482" i="9"/>
  <c r="U481" i="7"/>
  <c r="U483" i="6"/>
  <c r="U482" i="3"/>
  <c r="U486" i="13" l="1"/>
  <c r="U486" i="10"/>
  <c r="U483" i="9"/>
  <c r="U482" i="7"/>
  <c r="U484" i="6"/>
  <c r="U483" i="3"/>
  <c r="U487" i="13" l="1"/>
  <c r="U487" i="10"/>
  <c r="U484" i="9"/>
  <c r="U483" i="7"/>
  <c r="U485" i="6"/>
  <c r="U484" i="3"/>
  <c r="U488" i="13" l="1"/>
  <c r="U488" i="10"/>
  <c r="U485" i="9"/>
  <c r="U484" i="7"/>
  <c r="U486" i="6"/>
  <c r="U485" i="3"/>
  <c r="U489" i="13" l="1"/>
  <c r="U489" i="10"/>
  <c r="U486" i="9"/>
  <c r="U485" i="7"/>
  <c r="U487" i="6"/>
  <c r="U486" i="3"/>
  <c r="U490" i="13" l="1"/>
  <c r="U490" i="10"/>
  <c r="U487" i="9"/>
  <c r="U486" i="7"/>
  <c r="U488" i="6"/>
  <c r="U487" i="3"/>
  <c r="U491" i="13" l="1"/>
  <c r="U491" i="10"/>
  <c r="U488" i="9"/>
  <c r="U487" i="7"/>
  <c r="U489" i="6"/>
  <c r="U488" i="3"/>
  <c r="U492" i="13" l="1"/>
  <c r="U492" i="10"/>
  <c r="U489" i="9"/>
  <c r="U488" i="7"/>
  <c r="U490" i="6"/>
  <c r="U489" i="3"/>
  <c r="U493" i="13" l="1"/>
  <c r="U493" i="10"/>
  <c r="U490" i="9"/>
  <c r="U489" i="7"/>
  <c r="U491" i="6"/>
  <c r="U490" i="3"/>
  <c r="U494" i="13" l="1"/>
  <c r="U494" i="10"/>
  <c r="U491" i="9"/>
  <c r="U490" i="7"/>
  <c r="U492" i="6"/>
  <c r="U491" i="3"/>
  <c r="U495" i="13" l="1"/>
  <c r="U495" i="10"/>
  <c r="U492" i="9"/>
  <c r="U491" i="7"/>
  <c r="U493" i="6"/>
  <c r="U492" i="3"/>
  <c r="U496" i="13" l="1"/>
  <c r="U496" i="10"/>
  <c r="U493" i="9"/>
  <c r="U492" i="7"/>
  <c r="U494" i="6"/>
  <c r="U493" i="3"/>
  <c r="U497" i="13" l="1"/>
  <c r="U497" i="10"/>
  <c r="U494" i="9"/>
  <c r="U493" i="7"/>
  <c r="U495" i="6"/>
  <c r="U494" i="3"/>
  <c r="U498" i="13" l="1"/>
  <c r="U498" i="10"/>
  <c r="U495" i="9"/>
  <c r="U494" i="7"/>
  <c r="U496" i="6"/>
  <c r="U495" i="3"/>
  <c r="U499" i="13" l="1"/>
  <c r="U499" i="10"/>
  <c r="U496" i="9"/>
  <c r="U495" i="7"/>
  <c r="U497" i="6"/>
  <c r="U496" i="3"/>
  <c r="U500" i="13" l="1"/>
  <c r="U500" i="10"/>
  <c r="U497" i="9"/>
  <c r="U496" i="7"/>
  <c r="U498" i="6"/>
  <c r="U497" i="3"/>
  <c r="U501" i="13" l="1"/>
  <c r="U501" i="10"/>
  <c r="U498" i="9"/>
  <c r="U497" i="7"/>
  <c r="U499" i="6"/>
  <c r="U498" i="3"/>
  <c r="U502" i="13" l="1"/>
  <c r="U502" i="10"/>
  <c r="U499" i="9"/>
  <c r="U498" i="7"/>
  <c r="U500" i="6"/>
  <c r="U499" i="3"/>
  <c r="U503" i="13" l="1"/>
  <c r="U503" i="10"/>
  <c r="U500" i="9"/>
  <c r="U499" i="7"/>
  <c r="U501" i="6"/>
  <c r="U500" i="3"/>
  <c r="U504" i="13" l="1"/>
  <c r="U504" i="10"/>
  <c r="U501" i="9"/>
  <c r="U500" i="7"/>
  <c r="U502" i="6"/>
  <c r="U501" i="3"/>
  <c r="U505" i="13" l="1"/>
  <c r="U505" i="10"/>
  <c r="U502" i="9"/>
  <c r="U501" i="7"/>
  <c r="U503" i="6"/>
  <c r="U502" i="3"/>
  <c r="U506" i="13" l="1"/>
  <c r="U506" i="10"/>
  <c r="U503" i="9"/>
  <c r="U502" i="7"/>
  <c r="U504" i="6"/>
  <c r="U503" i="3"/>
  <c r="U507" i="13" l="1"/>
  <c r="U507" i="10"/>
  <c r="U504" i="9"/>
  <c r="U503" i="7"/>
  <c r="U505" i="6"/>
  <c r="U504" i="3"/>
  <c r="U508" i="13" l="1"/>
  <c r="U508" i="10"/>
  <c r="U505" i="9"/>
  <c r="U504" i="7"/>
  <c r="U506" i="6"/>
  <c r="U505" i="3"/>
  <c r="U509" i="13" l="1"/>
  <c r="U509" i="10"/>
  <c r="U506" i="9"/>
  <c r="U505" i="7"/>
  <c r="U507" i="6"/>
  <c r="U506" i="3"/>
  <c r="U510" i="13" l="1"/>
  <c r="U510" i="10"/>
  <c r="U507" i="9"/>
  <c r="U506" i="7"/>
  <c r="U508" i="6"/>
  <c r="U507" i="3"/>
  <c r="U511" i="13" l="1"/>
  <c r="U511" i="10"/>
  <c r="U508" i="9"/>
  <c r="U507" i="7"/>
  <c r="U509" i="6"/>
  <c r="U508" i="3"/>
  <c r="U512" i="13" l="1"/>
  <c r="U512" i="10"/>
  <c r="U509" i="9"/>
  <c r="U508" i="7"/>
  <c r="U510" i="6"/>
  <c r="U509" i="3"/>
  <c r="U513" i="13" l="1"/>
  <c r="U513" i="10"/>
  <c r="U510" i="9"/>
  <c r="U509" i="7"/>
  <c r="U511" i="6"/>
  <c r="U510" i="3"/>
  <c r="U514" i="13" l="1"/>
  <c r="U514" i="10"/>
  <c r="U511" i="9"/>
  <c r="U510" i="7"/>
  <c r="U512" i="6"/>
  <c r="U511" i="3"/>
  <c r="U515" i="13" l="1"/>
  <c r="U515" i="10"/>
  <c r="U512" i="9"/>
  <c r="U511" i="7"/>
  <c r="U513" i="6"/>
  <c r="U512" i="3"/>
  <c r="U516" i="13" l="1"/>
  <c r="U516" i="10"/>
  <c r="U513" i="9"/>
  <c r="U512" i="7"/>
  <c r="U514" i="6"/>
  <c r="U513" i="3"/>
  <c r="U517" i="13" l="1"/>
  <c r="U517" i="10"/>
  <c r="U514" i="9"/>
  <c r="U513" i="7"/>
  <c r="U515" i="6"/>
  <c r="U514" i="3"/>
  <c r="U518" i="13" l="1"/>
  <c r="U518" i="10"/>
  <c r="U515" i="9"/>
  <c r="U514" i="7"/>
  <c r="U516" i="6"/>
  <c r="U515" i="3"/>
  <c r="U519" i="13" l="1"/>
  <c r="U519" i="10"/>
  <c r="U516" i="9"/>
  <c r="U515" i="7"/>
  <c r="U517" i="6"/>
  <c r="U516" i="3"/>
  <c r="U520" i="13" l="1"/>
  <c r="U520" i="10"/>
  <c r="U517" i="9"/>
  <c r="U516" i="7"/>
  <c r="U518" i="6"/>
  <c r="U517" i="3"/>
  <c r="U521" i="13" l="1"/>
  <c r="U521" i="10"/>
  <c r="U518" i="9"/>
  <c r="U517" i="7"/>
  <c r="U519" i="6"/>
  <c r="U518" i="3"/>
  <c r="U522" i="13" l="1"/>
  <c r="U522" i="10"/>
  <c r="U519" i="9"/>
  <c r="U518" i="7"/>
  <c r="U520" i="6"/>
  <c r="U519" i="3"/>
  <c r="U523" i="13" l="1"/>
  <c r="U523" i="10"/>
  <c r="U520" i="9"/>
  <c r="U519" i="7"/>
  <c r="U521" i="6"/>
  <c r="U520" i="3"/>
  <c r="U524" i="13" l="1"/>
  <c r="U524" i="10"/>
  <c r="U521" i="9"/>
  <c r="U520" i="7"/>
  <c r="U522" i="6"/>
  <c r="U521" i="3"/>
  <c r="U525" i="13" l="1"/>
  <c r="U525" i="10"/>
  <c r="U522" i="9"/>
  <c r="U521" i="7"/>
  <c r="U523" i="6"/>
  <c r="U522" i="3"/>
  <c r="U526" i="13" l="1"/>
  <c r="U526" i="10"/>
  <c r="U523" i="9"/>
  <c r="U522" i="7"/>
  <c r="U524" i="6"/>
  <c r="U523" i="3"/>
  <c r="U527" i="13" l="1"/>
  <c r="U527" i="10"/>
  <c r="U524" i="9"/>
  <c r="U523" i="7"/>
  <c r="U525" i="6"/>
  <c r="U524" i="3"/>
  <c r="U528" i="13" l="1"/>
  <c r="U528" i="10"/>
  <c r="U525" i="9"/>
  <c r="U524" i="7"/>
  <c r="U526" i="6"/>
  <c r="U525" i="3"/>
  <c r="U529" i="13" l="1"/>
  <c r="U529" i="10"/>
  <c r="U526" i="9"/>
  <c r="U525" i="7"/>
  <c r="U527" i="6"/>
  <c r="U526" i="3"/>
  <c r="U530" i="13" l="1"/>
  <c r="U530" i="10"/>
  <c r="U527" i="9"/>
  <c r="U526" i="7"/>
  <c r="U528" i="6"/>
  <c r="U527" i="3"/>
  <c r="U531" i="13" l="1"/>
  <c r="U531" i="10"/>
  <c r="U528" i="9"/>
  <c r="U527" i="7"/>
  <c r="U529" i="6"/>
  <c r="U528" i="3"/>
  <c r="U532" i="13" l="1"/>
  <c r="U532" i="10"/>
  <c r="U529" i="9"/>
  <c r="U528" i="7"/>
  <c r="U530" i="6"/>
  <c r="U529" i="3"/>
  <c r="U533" i="13" l="1"/>
  <c r="U533" i="10"/>
  <c r="U530" i="9"/>
  <c r="U529" i="7"/>
  <c r="U531" i="6"/>
  <c r="U530" i="3"/>
  <c r="U534" i="13" l="1"/>
  <c r="U534" i="10"/>
  <c r="U531" i="9"/>
  <c r="U530" i="7"/>
  <c r="U532" i="6"/>
  <c r="U531" i="3"/>
  <c r="U535" i="13" l="1"/>
  <c r="U535" i="10"/>
  <c r="U532" i="9"/>
  <c r="U531" i="7"/>
  <c r="U533" i="6"/>
  <c r="U532" i="3"/>
  <c r="U536" i="13" l="1"/>
  <c r="U536" i="10"/>
  <c r="U533" i="9"/>
  <c r="U532" i="7"/>
  <c r="U534" i="6"/>
  <c r="U533" i="3"/>
  <c r="U537" i="13" l="1"/>
  <c r="U537" i="10"/>
  <c r="U534" i="9"/>
  <c r="U533" i="7"/>
  <c r="U535" i="6"/>
  <c r="U534" i="3"/>
  <c r="U538" i="13" l="1"/>
  <c r="U538" i="10"/>
  <c r="U535" i="9"/>
  <c r="U534" i="7"/>
  <c r="U536" i="6"/>
  <c r="U535" i="3"/>
  <c r="U539" i="13" l="1"/>
  <c r="U539" i="10"/>
  <c r="U536" i="9"/>
  <c r="U535" i="7"/>
  <c r="U537" i="6"/>
  <c r="U536" i="3"/>
  <c r="U540" i="13" l="1"/>
  <c r="U540" i="10"/>
  <c r="U537" i="9"/>
  <c r="U536" i="7"/>
  <c r="U538" i="6"/>
  <c r="U537" i="3"/>
  <c r="U541" i="13" l="1"/>
  <c r="U541" i="10"/>
  <c r="U538" i="9"/>
  <c r="U537" i="7"/>
  <c r="U539" i="6"/>
  <c r="U538" i="3"/>
  <c r="U542" i="13" l="1"/>
  <c r="U542" i="10"/>
  <c r="U539" i="9"/>
  <c r="U538" i="7"/>
  <c r="U540" i="6"/>
  <c r="U539" i="3"/>
  <c r="U543" i="13" l="1"/>
  <c r="U543" i="10"/>
  <c r="U540" i="9"/>
  <c r="U539" i="7"/>
  <c r="U541" i="6"/>
  <c r="U540" i="3"/>
  <c r="U544" i="13" l="1"/>
  <c r="U544" i="10"/>
  <c r="U541" i="9"/>
  <c r="U540" i="7"/>
  <c r="U542" i="6"/>
  <c r="U541" i="3"/>
  <c r="U545" i="13" l="1"/>
  <c r="U545" i="10"/>
  <c r="U542" i="9"/>
  <c r="U541" i="7"/>
  <c r="U543" i="6"/>
  <c r="U542" i="3"/>
  <c r="U546" i="13" l="1"/>
  <c r="U546" i="10"/>
  <c r="U543" i="9"/>
  <c r="U542" i="7"/>
  <c r="U544" i="6"/>
  <c r="U543" i="3"/>
  <c r="U547" i="13" l="1"/>
  <c r="U547" i="10"/>
  <c r="U544" i="9"/>
  <c r="U543" i="7"/>
  <c r="U545" i="6"/>
  <c r="U544" i="3"/>
  <c r="U548" i="13" l="1"/>
  <c r="U548" i="10"/>
  <c r="U545" i="9"/>
  <c r="U544" i="7"/>
  <c r="U546" i="6"/>
  <c r="U545" i="3"/>
  <c r="U549" i="13" l="1"/>
  <c r="U549" i="10"/>
  <c r="U546" i="9"/>
  <c r="U545" i="7"/>
  <c r="U547" i="6"/>
  <c r="U546" i="3"/>
  <c r="U550" i="13" l="1"/>
  <c r="U550" i="10"/>
  <c r="U547" i="9"/>
  <c r="U546" i="7"/>
  <c r="U548" i="6"/>
  <c r="U547" i="3"/>
  <c r="U551" i="13" l="1"/>
  <c r="U551" i="10"/>
  <c r="U548" i="9"/>
  <c r="U547" i="7"/>
  <c r="U549" i="6"/>
  <c r="U548" i="3"/>
  <c r="U552" i="13" l="1"/>
  <c r="U552" i="10"/>
  <c r="U549" i="9"/>
  <c r="U548" i="7"/>
  <c r="U550" i="6"/>
  <c r="U549" i="3"/>
  <c r="U553" i="13" l="1"/>
  <c r="U553" i="10"/>
  <c r="U550" i="9"/>
  <c r="U549" i="7"/>
  <c r="U551" i="6"/>
  <c r="U550" i="3"/>
  <c r="U554" i="13" l="1"/>
  <c r="U554" i="10"/>
  <c r="U551" i="9"/>
  <c r="U550" i="7"/>
  <c r="U552" i="6"/>
  <c r="U551" i="3"/>
  <c r="U555" i="13" l="1"/>
  <c r="U555" i="10"/>
  <c r="U552" i="9"/>
  <c r="U551" i="7"/>
  <c r="U553" i="6"/>
  <c r="U552" i="3"/>
  <c r="U556" i="13" l="1"/>
  <c r="U556" i="10"/>
  <c r="U553" i="9"/>
  <c r="U552" i="7"/>
  <c r="U554" i="6"/>
  <c r="U553" i="3"/>
  <c r="U557" i="13" l="1"/>
  <c r="U557" i="10"/>
  <c r="U554" i="9"/>
  <c r="U553" i="7"/>
  <c r="U555" i="6"/>
  <c r="U554" i="3"/>
  <c r="U558" i="13" l="1"/>
  <c r="U558" i="10"/>
  <c r="U555" i="9"/>
  <c r="U554" i="7"/>
  <c r="U556" i="6"/>
  <c r="U555" i="3"/>
  <c r="U559" i="13" l="1"/>
  <c r="U559" i="10"/>
  <c r="U556" i="9"/>
  <c r="U555" i="7"/>
  <c r="U557" i="6"/>
  <c r="U556" i="3"/>
  <c r="U560" i="13" l="1"/>
  <c r="U560" i="10"/>
  <c r="U557" i="9"/>
  <c r="U556" i="7"/>
  <c r="U558" i="6"/>
  <c r="U557" i="3"/>
  <c r="U561" i="13" l="1"/>
  <c r="U561" i="10"/>
  <c r="U558" i="9"/>
  <c r="U557" i="7"/>
  <c r="U559" i="6"/>
  <c r="U558" i="3"/>
  <c r="U562" i="13" l="1"/>
  <c r="U562" i="10"/>
  <c r="U559" i="9"/>
  <c r="U558" i="7"/>
  <c r="U560" i="6"/>
  <c r="U559" i="3"/>
  <c r="U563" i="13" l="1"/>
  <c r="U563" i="10"/>
  <c r="U560" i="9"/>
  <c r="U559" i="7"/>
  <c r="U561" i="6"/>
  <c r="U560" i="3"/>
  <c r="U564" i="13" l="1"/>
  <c r="U564" i="10"/>
  <c r="U561" i="9"/>
  <c r="U560" i="7"/>
  <c r="U562" i="6"/>
  <c r="U561" i="3"/>
  <c r="U565" i="13" l="1"/>
  <c r="U565" i="10"/>
  <c r="U562" i="9"/>
  <c r="U561" i="7"/>
  <c r="U563" i="6"/>
  <c r="U562" i="3"/>
  <c r="U566" i="13" l="1"/>
  <c r="U566" i="10"/>
  <c r="U563" i="9"/>
  <c r="U562" i="7"/>
  <c r="U564" i="6"/>
  <c r="U563" i="3"/>
  <c r="U567" i="13" l="1"/>
  <c r="U567" i="10"/>
  <c r="U564" i="9"/>
  <c r="U563" i="7"/>
  <c r="U565" i="6"/>
  <c r="U564" i="3"/>
  <c r="U568" i="13" l="1"/>
  <c r="U568" i="10"/>
  <c r="U565" i="9"/>
  <c r="U564" i="7"/>
  <c r="U566" i="6"/>
  <c r="U565" i="3"/>
  <c r="U569" i="13" l="1"/>
  <c r="U569" i="10"/>
  <c r="U566" i="9"/>
  <c r="U565" i="7"/>
  <c r="U567" i="6"/>
  <c r="U566" i="3"/>
  <c r="U570" i="13" l="1"/>
  <c r="U570" i="10"/>
  <c r="U567" i="9"/>
  <c r="U566" i="7"/>
  <c r="U568" i="6"/>
  <c r="U567" i="3"/>
  <c r="U571" i="13" l="1"/>
  <c r="U571" i="10"/>
  <c r="U568" i="9"/>
  <c r="U567" i="7"/>
  <c r="U569" i="6"/>
  <c r="U568" i="3"/>
  <c r="U572" i="13" l="1"/>
  <c r="U572" i="10"/>
  <c r="U569" i="9"/>
  <c r="U568" i="7"/>
  <c r="U570" i="6"/>
  <c r="U569" i="3"/>
  <c r="U573" i="13" l="1"/>
  <c r="U573" i="10"/>
  <c r="U570" i="9"/>
  <c r="U569" i="7"/>
  <c r="U571" i="6"/>
  <c r="U570" i="3"/>
  <c r="U574" i="13" l="1"/>
  <c r="U574" i="10"/>
  <c r="U571" i="9"/>
  <c r="U570" i="7"/>
  <c r="U572" i="6"/>
  <c r="U571" i="3"/>
  <c r="U575" i="13" l="1"/>
  <c r="U575" i="10"/>
  <c r="U572" i="9"/>
  <c r="U571" i="7"/>
  <c r="U573" i="6"/>
  <c r="U572" i="3"/>
  <c r="U576" i="13" l="1"/>
  <c r="U576" i="10"/>
  <c r="U573" i="9"/>
  <c r="U572" i="7"/>
  <c r="U574" i="6"/>
  <c r="U573" i="3"/>
  <c r="U577" i="13" l="1"/>
  <c r="U577" i="10"/>
  <c r="U574" i="9"/>
  <c r="U573" i="7"/>
  <c r="U575" i="6"/>
  <c r="U574" i="3"/>
  <c r="U578" i="13" l="1"/>
  <c r="U578" i="10"/>
  <c r="U575" i="9"/>
  <c r="U574" i="7"/>
  <c r="U576" i="6"/>
  <c r="U575" i="3"/>
  <c r="U579" i="13" l="1"/>
  <c r="U579" i="10"/>
  <c r="U576" i="9"/>
  <c r="U575" i="7"/>
  <c r="U577" i="6"/>
  <c r="U576" i="3"/>
  <c r="U580" i="13" l="1"/>
  <c r="U580" i="10"/>
  <c r="U577" i="9"/>
  <c r="U576" i="7"/>
  <c r="U578" i="6"/>
  <c r="U577" i="3"/>
  <c r="U581" i="13" l="1"/>
  <c r="U581" i="10"/>
  <c r="U578" i="9"/>
  <c r="U577" i="7"/>
  <c r="U579" i="6"/>
  <c r="U578" i="3"/>
  <c r="U582" i="13" l="1"/>
  <c r="U582" i="10"/>
  <c r="U579" i="9"/>
  <c r="U578" i="7"/>
  <c r="U580" i="6"/>
  <c r="U579" i="3"/>
  <c r="U583" i="13" l="1"/>
  <c r="U583" i="10"/>
  <c r="U580" i="9"/>
  <c r="U579" i="7"/>
  <c r="U581" i="6"/>
  <c r="U580" i="3"/>
  <c r="U584" i="13" l="1"/>
  <c r="U584" i="10"/>
  <c r="U581" i="9"/>
  <c r="U580" i="7"/>
  <c r="U582" i="6"/>
  <c r="U581" i="3"/>
  <c r="U585" i="13" l="1"/>
  <c r="U585" i="10"/>
  <c r="U582" i="9"/>
  <c r="U581" i="7"/>
  <c r="U583" i="6"/>
  <c r="U582" i="3"/>
  <c r="U586" i="13" l="1"/>
  <c r="U586" i="10"/>
  <c r="U583" i="9"/>
  <c r="U582" i="7"/>
  <c r="U584" i="6"/>
  <c r="U583" i="3"/>
  <c r="U587" i="13" l="1"/>
  <c r="U587" i="10"/>
  <c r="U584" i="9"/>
  <c r="U583" i="7"/>
  <c r="U585" i="6"/>
  <c r="U584" i="3"/>
  <c r="U588" i="13" l="1"/>
  <c r="U588" i="10"/>
  <c r="U585" i="9"/>
  <c r="U584" i="7"/>
  <c r="U586" i="6"/>
  <c r="U585" i="3"/>
  <c r="U589" i="13" l="1"/>
  <c r="U589" i="10"/>
  <c r="U586" i="9"/>
  <c r="U585" i="7"/>
  <c r="U587" i="6"/>
  <c r="U586" i="3"/>
  <c r="U590" i="13" l="1"/>
  <c r="U590" i="10"/>
  <c r="U587" i="9"/>
  <c r="U586" i="7"/>
  <c r="U588" i="6"/>
  <c r="U587" i="3"/>
  <c r="U591" i="13" l="1"/>
  <c r="U591" i="10"/>
  <c r="U588" i="9"/>
  <c r="U587" i="7"/>
  <c r="U589" i="6"/>
  <c r="U588" i="3"/>
  <c r="U592" i="13" l="1"/>
  <c r="U592" i="10"/>
  <c r="U589" i="9"/>
  <c r="U588" i="7"/>
  <c r="U590" i="6"/>
  <c r="U589" i="3"/>
  <c r="U593" i="13" l="1"/>
  <c r="U593" i="10"/>
  <c r="U590" i="9"/>
  <c r="U589" i="7"/>
  <c r="U591" i="6"/>
  <c r="U590" i="3"/>
  <c r="U594" i="13" l="1"/>
  <c r="U594" i="10"/>
  <c r="U591" i="9"/>
  <c r="U590" i="7"/>
  <c r="U592" i="6"/>
  <c r="U591" i="3"/>
  <c r="U595" i="13" l="1"/>
  <c r="U595" i="10"/>
  <c r="U592" i="9"/>
  <c r="U591" i="7"/>
  <c r="U593" i="6"/>
  <c r="U592" i="3"/>
  <c r="U596" i="13" l="1"/>
  <c r="U596" i="10"/>
  <c r="U593" i="9"/>
  <c r="U592" i="7"/>
  <c r="U594" i="6"/>
  <c r="U593" i="3"/>
  <c r="U597" i="13" l="1"/>
  <c r="U597" i="10"/>
  <c r="U594" i="9"/>
  <c r="U593" i="7"/>
  <c r="U595" i="6"/>
  <c r="U594" i="3"/>
  <c r="U598" i="13" l="1"/>
  <c r="U598" i="10"/>
  <c r="U595" i="9"/>
  <c r="U594" i="7"/>
  <c r="U596" i="6"/>
  <c r="U595" i="3"/>
  <c r="U599" i="13" l="1"/>
  <c r="U599" i="10"/>
  <c r="U596" i="9"/>
  <c r="U595" i="7"/>
  <c r="U597" i="6"/>
  <c r="U596" i="3"/>
  <c r="U600" i="13" l="1"/>
  <c r="U600" i="10"/>
  <c r="U597" i="9"/>
  <c r="U596" i="7"/>
  <c r="U598" i="6"/>
  <c r="U597" i="3"/>
  <c r="U601" i="13" l="1"/>
  <c r="U601" i="10"/>
  <c r="U598" i="9"/>
  <c r="U597" i="7"/>
  <c r="U599" i="6"/>
  <c r="U598" i="3"/>
  <c r="U602" i="13" l="1"/>
  <c r="U602" i="10"/>
  <c r="U599" i="9"/>
  <c r="U598" i="7"/>
  <c r="U600" i="6"/>
  <c r="U599" i="3"/>
  <c r="U603" i="13" l="1"/>
  <c r="U603" i="10"/>
  <c r="U600" i="9"/>
  <c r="U599" i="7"/>
  <c r="U601" i="6"/>
  <c r="U600" i="3"/>
  <c r="U604" i="13" l="1"/>
  <c r="U604" i="10"/>
  <c r="U601" i="9"/>
  <c r="U600" i="7"/>
  <c r="U602" i="6"/>
  <c r="U601" i="3"/>
  <c r="U605" i="13" l="1"/>
  <c r="U605" i="10"/>
  <c r="U602" i="9"/>
  <c r="U601" i="7"/>
  <c r="U603" i="6"/>
  <c r="U602" i="3"/>
  <c r="U606" i="13" l="1"/>
  <c r="U606" i="10"/>
  <c r="U603" i="9"/>
  <c r="U602" i="7"/>
  <c r="U604" i="6"/>
  <c r="U603" i="3"/>
  <c r="U607" i="13" l="1"/>
  <c r="U607" i="10"/>
  <c r="U604" i="9"/>
  <c r="U603" i="7"/>
  <c r="U605" i="6"/>
  <c r="U604" i="3"/>
  <c r="U608" i="13" l="1"/>
  <c r="U608" i="10"/>
  <c r="U605" i="9"/>
  <c r="U604" i="7"/>
  <c r="U606" i="6"/>
  <c r="U605" i="3"/>
  <c r="U609" i="13" l="1"/>
  <c r="U609" i="10"/>
  <c r="U606" i="9"/>
  <c r="U605" i="7"/>
  <c r="U607" i="6"/>
  <c r="U606" i="3"/>
  <c r="U610" i="13" l="1"/>
  <c r="U610" i="10"/>
  <c r="U607" i="9"/>
  <c r="U606" i="7"/>
  <c r="U608" i="6"/>
  <c r="U607" i="3"/>
  <c r="U611" i="13" l="1"/>
  <c r="U611" i="10"/>
  <c r="U608" i="9"/>
  <c r="U607" i="7"/>
  <c r="U609" i="6"/>
  <c r="U608" i="3"/>
  <c r="U612" i="13" l="1"/>
  <c r="U612" i="10"/>
  <c r="U609" i="9"/>
  <c r="U608" i="7"/>
  <c r="U610" i="6"/>
  <c r="U609" i="3"/>
  <c r="U613" i="13" l="1"/>
  <c r="U613" i="10"/>
  <c r="U610" i="9"/>
  <c r="U609" i="7"/>
  <c r="U611" i="6"/>
  <c r="U610" i="3"/>
  <c r="U614" i="13" l="1"/>
  <c r="U614" i="10"/>
  <c r="U611" i="9"/>
  <c r="U610" i="7"/>
  <c r="U612" i="6"/>
  <c r="U611" i="3"/>
  <c r="U615" i="13" l="1"/>
  <c r="U615" i="10"/>
  <c r="U612" i="9"/>
  <c r="U611" i="7"/>
  <c r="U613" i="6"/>
  <c r="U612" i="3"/>
  <c r="U616" i="13" l="1"/>
  <c r="U616" i="10"/>
  <c r="U613" i="9"/>
  <c r="U612" i="7"/>
  <c r="U614" i="6"/>
  <c r="U613" i="3"/>
  <c r="U617" i="13" l="1"/>
  <c r="U617" i="10"/>
  <c r="U614" i="9"/>
  <c r="U613" i="7"/>
  <c r="U615" i="6"/>
  <c r="U614" i="3"/>
  <c r="U618" i="13" l="1"/>
  <c r="U618" i="10"/>
  <c r="U615" i="9"/>
  <c r="U614" i="7"/>
  <c r="U616" i="6"/>
  <c r="U615" i="3"/>
  <c r="U619" i="13" l="1"/>
  <c r="U619" i="10"/>
  <c r="U616" i="9"/>
  <c r="U615" i="7"/>
  <c r="U617" i="6"/>
  <c r="U616" i="3"/>
  <c r="U620" i="13" l="1"/>
  <c r="U620" i="10"/>
  <c r="U617" i="9"/>
  <c r="U616" i="7"/>
  <c r="U618" i="6"/>
  <c r="U617" i="3"/>
  <c r="U621" i="13" l="1"/>
  <c r="U621" i="10"/>
  <c r="U618" i="9"/>
  <c r="U617" i="7"/>
  <c r="U619" i="6"/>
  <c r="U618" i="3"/>
  <c r="U622" i="13" l="1"/>
  <c r="U622" i="10"/>
  <c r="U619" i="9"/>
  <c r="U618" i="7"/>
  <c r="U620" i="6"/>
  <c r="U619" i="3"/>
  <c r="U623" i="13" l="1"/>
  <c r="U623" i="10"/>
  <c r="U620" i="9"/>
  <c r="U619" i="7"/>
  <c r="U621" i="6"/>
  <c r="U620" i="3"/>
  <c r="U624" i="13" l="1"/>
  <c r="U624" i="10"/>
  <c r="U621" i="9"/>
  <c r="U620" i="7"/>
  <c r="U622" i="6"/>
  <c r="U621" i="3"/>
  <c r="U625" i="13" l="1"/>
  <c r="U625" i="10"/>
  <c r="U622" i="9"/>
  <c r="U621" i="7"/>
  <c r="U623" i="6"/>
  <c r="U622" i="3"/>
  <c r="U626" i="13" l="1"/>
  <c r="U626" i="10"/>
  <c r="U623" i="9"/>
  <c r="U622" i="7"/>
  <c r="U624" i="6"/>
  <c r="U623" i="3"/>
  <c r="U627" i="13" l="1"/>
  <c r="U627" i="10"/>
  <c r="U624" i="9"/>
  <c r="U623" i="7"/>
  <c r="U625" i="6"/>
  <c r="U624" i="3"/>
  <c r="U628" i="13" l="1"/>
  <c r="U628" i="10"/>
  <c r="U625" i="9"/>
  <c r="U624" i="7"/>
  <c r="U626" i="6"/>
  <c r="U625" i="3"/>
  <c r="U629" i="13" l="1"/>
  <c r="U629" i="10"/>
  <c r="U626" i="9"/>
  <c r="U625" i="7"/>
  <c r="U627" i="6"/>
  <c r="U626" i="3"/>
  <c r="U630" i="13" l="1"/>
  <c r="U630" i="10"/>
  <c r="U627" i="9"/>
  <c r="U626" i="7"/>
  <c r="U628" i="6"/>
  <c r="U627" i="3"/>
  <c r="U631" i="13" l="1"/>
  <c r="U631" i="10"/>
  <c r="U628" i="9"/>
  <c r="U627" i="7"/>
  <c r="U629" i="6"/>
  <c r="U628" i="3"/>
  <c r="U632" i="13" l="1"/>
  <c r="U632" i="10"/>
  <c r="U629" i="9"/>
  <c r="U628" i="7"/>
  <c r="U630" i="6"/>
  <c r="U629" i="3"/>
  <c r="U633" i="13" l="1"/>
  <c r="U633" i="10"/>
  <c r="U630" i="9"/>
  <c r="U629" i="7"/>
  <c r="U631" i="6"/>
  <c r="U630" i="3"/>
  <c r="U634" i="13" l="1"/>
  <c r="U634" i="10"/>
  <c r="U631" i="9"/>
  <c r="U630" i="7"/>
  <c r="U632" i="6"/>
  <c r="U631" i="3"/>
  <c r="U635" i="13" l="1"/>
  <c r="U635" i="10"/>
  <c r="U632" i="9"/>
  <c r="U631" i="7"/>
  <c r="U633" i="6"/>
  <c r="U632" i="3"/>
  <c r="U636" i="13" l="1"/>
  <c r="U636" i="10"/>
  <c r="U633" i="9"/>
  <c r="U632" i="7"/>
  <c r="U634" i="6"/>
  <c r="U633" i="3"/>
  <c r="U637" i="13" l="1"/>
  <c r="U637" i="10"/>
  <c r="U634" i="9"/>
  <c r="U633" i="7"/>
  <c r="U635" i="6"/>
  <c r="U634" i="3"/>
  <c r="U638" i="13" l="1"/>
  <c r="U638" i="10"/>
  <c r="U635" i="9"/>
  <c r="U634" i="7"/>
  <c r="U636" i="6"/>
  <c r="U635" i="3"/>
  <c r="U639" i="13" l="1"/>
  <c r="U639" i="10"/>
  <c r="U636" i="9"/>
  <c r="U635" i="7"/>
  <c r="U637" i="6"/>
  <c r="U636" i="3"/>
  <c r="U640" i="13" l="1"/>
  <c r="U640" i="10"/>
  <c r="U637" i="9"/>
  <c r="U636" i="7"/>
  <c r="U638" i="6"/>
  <c r="U637" i="3"/>
  <c r="U641" i="13" l="1"/>
  <c r="U641" i="10"/>
  <c r="U638" i="9"/>
  <c r="U637" i="7"/>
  <c r="U639" i="6"/>
  <c r="U638" i="3"/>
  <c r="U642" i="13" l="1"/>
  <c r="U642" i="10"/>
  <c r="U639" i="9"/>
  <c r="U638" i="7"/>
  <c r="U640" i="6"/>
  <c r="U639" i="3"/>
  <c r="U643" i="13" l="1"/>
  <c r="U643" i="10"/>
  <c r="U640" i="9"/>
  <c r="U639" i="7"/>
  <c r="U641" i="6"/>
  <c r="U640" i="3"/>
  <c r="U644" i="13" l="1"/>
  <c r="U644" i="10"/>
  <c r="U641" i="9"/>
  <c r="U640" i="7"/>
  <c r="U642" i="6"/>
  <c r="U641" i="3"/>
  <c r="U645" i="13" l="1"/>
  <c r="U645" i="10"/>
  <c r="U642" i="9"/>
  <c r="U641" i="7"/>
  <c r="U643" i="6"/>
  <c r="U642" i="3"/>
  <c r="U646" i="13" l="1"/>
  <c r="U646" i="10"/>
  <c r="U643" i="9"/>
  <c r="U642" i="7"/>
  <c r="U644" i="6"/>
  <c r="U643" i="3"/>
  <c r="U647" i="13" l="1"/>
  <c r="U647" i="10"/>
  <c r="U644" i="9"/>
  <c r="U643" i="7"/>
  <c r="U645" i="6"/>
  <c r="U644" i="3"/>
  <c r="U648" i="13" l="1"/>
  <c r="U648" i="10"/>
  <c r="U645" i="9"/>
  <c r="U644" i="7"/>
  <c r="U646" i="6"/>
  <c r="U645" i="3"/>
  <c r="U649" i="13" l="1"/>
  <c r="U649" i="10"/>
  <c r="U646" i="9"/>
  <c r="U645" i="7"/>
  <c r="U647" i="6"/>
  <c r="U646" i="3"/>
  <c r="U650" i="13" l="1"/>
  <c r="U650" i="10"/>
  <c r="U647" i="9"/>
  <c r="U646" i="7"/>
  <c r="U648" i="6"/>
  <c r="U647" i="3"/>
  <c r="U651" i="13" l="1"/>
  <c r="U651" i="10"/>
  <c r="U648" i="9"/>
  <c r="U647" i="7"/>
  <c r="U649" i="6"/>
  <c r="U648" i="3"/>
  <c r="U652" i="13" l="1"/>
  <c r="U652" i="10"/>
  <c r="U649" i="9"/>
  <c r="U648" i="7"/>
  <c r="U650" i="6"/>
  <c r="U649" i="3"/>
  <c r="U653" i="13" l="1"/>
  <c r="U653" i="10"/>
  <c r="U650" i="9"/>
  <c r="U649" i="7"/>
  <c r="U651" i="6"/>
  <c r="U650" i="3"/>
  <c r="U654" i="13" l="1"/>
  <c r="U654" i="10"/>
  <c r="U651" i="9"/>
  <c r="U650" i="7"/>
  <c r="U652" i="6"/>
  <c r="U651" i="3"/>
  <c r="U655" i="13" l="1"/>
  <c r="U655" i="10"/>
  <c r="U652" i="9"/>
  <c r="U651" i="7"/>
  <c r="U653" i="6"/>
  <c r="U652" i="3"/>
  <c r="U656" i="13" l="1"/>
  <c r="U656" i="10"/>
  <c r="U653" i="9"/>
  <c r="U652" i="7"/>
  <c r="U654" i="6"/>
  <c r="U653" i="3"/>
  <c r="U657" i="13" l="1"/>
  <c r="U657" i="10"/>
  <c r="U654" i="9"/>
  <c r="U653" i="7"/>
  <c r="U655" i="6"/>
  <c r="U654" i="3"/>
  <c r="U658" i="13" l="1"/>
  <c r="U658" i="10"/>
  <c r="U655" i="9"/>
  <c r="U654" i="7"/>
  <c r="U656" i="6"/>
  <c r="U655" i="3"/>
  <c r="U659" i="13" l="1"/>
  <c r="U659" i="10"/>
  <c r="U656" i="9"/>
  <c r="U655" i="7"/>
  <c r="U657" i="6"/>
  <c r="U656" i="3"/>
  <c r="U660" i="13" l="1"/>
  <c r="U660" i="10"/>
  <c r="U657" i="9"/>
  <c r="U656" i="7"/>
  <c r="U658" i="6"/>
  <c r="U657" i="3"/>
  <c r="U661" i="13" l="1"/>
  <c r="U661" i="10"/>
  <c r="U658" i="9"/>
  <c r="U657" i="7"/>
  <c r="U659" i="6"/>
  <c r="U658" i="3"/>
  <c r="U662" i="13" l="1"/>
  <c r="U662" i="10"/>
  <c r="U659" i="9"/>
  <c r="U658" i="7"/>
  <c r="U660" i="6"/>
  <c r="U659" i="3"/>
  <c r="U663" i="13" l="1"/>
  <c r="U663" i="10"/>
  <c r="U660" i="9"/>
  <c r="U659" i="7"/>
  <c r="U661" i="6"/>
  <c r="U660" i="3"/>
  <c r="U664" i="13" l="1"/>
  <c r="U664" i="10"/>
  <c r="U661" i="9"/>
  <c r="U660" i="7"/>
  <c r="U662" i="6"/>
  <c r="U661" i="3"/>
  <c r="U665" i="13" l="1"/>
  <c r="U665" i="10"/>
  <c r="U662" i="9"/>
  <c r="U661" i="7"/>
  <c r="U663" i="6"/>
  <c r="U662" i="3"/>
  <c r="U666" i="13" l="1"/>
  <c r="U666" i="10"/>
  <c r="U663" i="9"/>
  <c r="U662" i="7"/>
  <c r="U664" i="6"/>
  <c r="U663" i="3"/>
  <c r="U667" i="13" l="1"/>
  <c r="U667" i="10"/>
  <c r="U664" i="9"/>
  <c r="U663" i="7"/>
  <c r="U665" i="6"/>
  <c r="U664" i="3"/>
  <c r="U668" i="13" l="1"/>
  <c r="U668" i="10"/>
  <c r="U665" i="9"/>
  <c r="U664" i="7"/>
  <c r="U666" i="6"/>
  <c r="U665" i="3"/>
  <c r="U669" i="13" l="1"/>
  <c r="U669" i="10"/>
  <c r="U666" i="9"/>
  <c r="U665" i="7"/>
  <c r="U667" i="6"/>
  <c r="U666" i="3"/>
  <c r="U670" i="13" l="1"/>
  <c r="U670" i="10"/>
  <c r="U667" i="9"/>
  <c r="U666" i="7"/>
  <c r="U668" i="6"/>
  <c r="U667" i="3"/>
  <c r="U671" i="13" l="1"/>
  <c r="U671" i="10"/>
  <c r="U668" i="9"/>
  <c r="U667" i="7"/>
  <c r="U669" i="6"/>
  <c r="U668" i="3"/>
  <c r="U672" i="13" l="1"/>
  <c r="U672" i="10"/>
  <c r="U669" i="9"/>
  <c r="U668" i="7"/>
  <c r="U670" i="6"/>
  <c r="U669" i="3"/>
  <c r="U673" i="13" l="1"/>
  <c r="U673" i="10"/>
  <c r="U670" i="9"/>
  <c r="U669" i="7"/>
  <c r="U671" i="6"/>
  <c r="U670" i="3"/>
  <c r="U674" i="13" l="1"/>
  <c r="U674" i="10"/>
  <c r="U671" i="9"/>
  <c r="U670" i="7"/>
  <c r="U672" i="6"/>
  <c r="U671" i="3"/>
  <c r="U675" i="13" l="1"/>
  <c r="U675" i="10"/>
  <c r="U672" i="9"/>
  <c r="U671" i="7"/>
  <c r="U673" i="6"/>
  <c r="U672" i="3"/>
  <c r="U676" i="13" l="1"/>
  <c r="U676" i="10"/>
  <c r="U673" i="9"/>
  <c r="U672" i="7"/>
  <c r="U674" i="6"/>
  <c r="U673" i="3"/>
  <c r="U677" i="13" l="1"/>
  <c r="U677" i="10"/>
  <c r="U674" i="9"/>
  <c r="U673" i="7"/>
  <c r="U675" i="6"/>
  <c r="U674" i="3"/>
  <c r="U678" i="13" l="1"/>
  <c r="U678" i="10"/>
  <c r="U675" i="9"/>
  <c r="U674" i="7"/>
  <c r="U676" i="6"/>
  <c r="U675" i="3"/>
  <c r="U679" i="13" l="1"/>
  <c r="U679" i="10"/>
  <c r="U676" i="9"/>
  <c r="U675" i="7"/>
  <c r="U677" i="6"/>
  <c r="U676" i="3"/>
  <c r="U680" i="13" l="1"/>
  <c r="U680" i="10"/>
  <c r="U677" i="9"/>
  <c r="U676" i="7"/>
  <c r="U678" i="6"/>
  <c r="U677" i="3"/>
  <c r="U681" i="13" l="1"/>
  <c r="U681" i="10"/>
  <c r="U678" i="9"/>
  <c r="U677" i="7"/>
  <c r="U679" i="6"/>
  <c r="U678" i="3"/>
  <c r="U682" i="13" l="1"/>
  <c r="U682" i="10"/>
  <c r="U679" i="9"/>
  <c r="U678" i="7"/>
  <c r="U680" i="6"/>
  <c r="U679" i="3"/>
  <c r="U683" i="13" l="1"/>
  <c r="U683" i="10"/>
  <c r="U680" i="9"/>
  <c r="U679" i="7"/>
  <c r="U681" i="6"/>
  <c r="U680" i="3"/>
  <c r="U684" i="13" l="1"/>
  <c r="U684" i="10"/>
  <c r="U681" i="9"/>
  <c r="U680" i="7"/>
  <c r="U682" i="6"/>
  <c r="U681" i="3"/>
  <c r="U685" i="13" l="1"/>
  <c r="U685" i="10"/>
  <c r="U682" i="9"/>
  <c r="U681" i="7"/>
  <c r="U683" i="6"/>
  <c r="U682" i="3"/>
  <c r="U686" i="13" l="1"/>
  <c r="U686" i="10"/>
  <c r="U683" i="9"/>
  <c r="U682" i="7"/>
  <c r="U684" i="6"/>
  <c r="U683" i="3"/>
  <c r="U687" i="13" l="1"/>
  <c r="U687" i="10"/>
  <c r="U684" i="9"/>
  <c r="U683" i="7"/>
  <c r="U685" i="6"/>
  <c r="U684" i="3"/>
  <c r="U688" i="13" l="1"/>
  <c r="U688" i="10"/>
  <c r="U685" i="9"/>
  <c r="U684" i="7"/>
  <c r="U686" i="6"/>
  <c r="U685" i="3"/>
  <c r="U689" i="13" l="1"/>
  <c r="U689" i="10"/>
  <c r="U686" i="9"/>
  <c r="U685" i="7"/>
  <c r="U687" i="6"/>
  <c r="U686" i="3"/>
  <c r="U690" i="13" l="1"/>
  <c r="U690" i="10"/>
  <c r="U687" i="9"/>
  <c r="U686" i="7"/>
  <c r="U688" i="6"/>
  <c r="U687" i="3"/>
  <c r="U691" i="13" l="1"/>
  <c r="U691" i="10"/>
  <c r="U688" i="9"/>
  <c r="U687" i="7"/>
  <c r="U689" i="6"/>
  <c r="U688" i="3"/>
  <c r="U692" i="13" l="1"/>
  <c r="U692" i="10"/>
  <c r="U689" i="9"/>
  <c r="U688" i="7"/>
  <c r="U690" i="6"/>
  <c r="U689" i="3"/>
  <c r="U693" i="13" l="1"/>
  <c r="U693" i="10"/>
  <c r="U690" i="9"/>
  <c r="U689" i="7"/>
  <c r="U691" i="6"/>
  <c r="U690" i="3"/>
  <c r="U694" i="13" l="1"/>
  <c r="U694" i="10"/>
  <c r="U691" i="9"/>
  <c r="U690" i="7"/>
  <c r="U692" i="6"/>
  <c r="U691" i="3"/>
  <c r="U695" i="13" l="1"/>
  <c r="U695" i="10"/>
  <c r="U692" i="9"/>
  <c r="U691" i="7"/>
  <c r="U693" i="6"/>
  <c r="U692" i="3"/>
  <c r="U696" i="13" l="1"/>
  <c r="U696" i="10"/>
  <c r="U693" i="9"/>
  <c r="U692" i="7"/>
  <c r="U694" i="6"/>
  <c r="U693" i="3"/>
  <c r="U697" i="13" l="1"/>
  <c r="U697" i="10"/>
  <c r="U694" i="9"/>
  <c r="U693" i="7"/>
  <c r="U695" i="6"/>
  <c r="U694" i="3"/>
  <c r="U698" i="13" l="1"/>
  <c r="U698" i="10"/>
  <c r="U695" i="9"/>
  <c r="U694" i="7"/>
  <c r="U696" i="6"/>
  <c r="U695" i="3"/>
  <c r="U699" i="13" l="1"/>
  <c r="U699" i="10"/>
  <c r="U696" i="9"/>
  <c r="U695" i="7"/>
  <c r="U697" i="6"/>
  <c r="U696" i="3"/>
  <c r="U700" i="13" l="1"/>
  <c r="U700" i="10"/>
  <c r="U697" i="9"/>
  <c r="U696" i="7"/>
  <c r="U698" i="6"/>
  <c r="U697" i="3"/>
  <c r="U701" i="13" l="1"/>
  <c r="U701" i="10"/>
  <c r="U698" i="9"/>
  <c r="U697" i="7"/>
  <c r="U699" i="6"/>
  <c r="U698" i="3"/>
  <c r="U702" i="13" l="1"/>
  <c r="U702" i="10"/>
  <c r="U699" i="9"/>
  <c r="U698" i="7"/>
  <c r="U700" i="6"/>
  <c r="U699" i="3"/>
  <c r="U703" i="13" l="1"/>
  <c r="U703" i="10"/>
  <c r="U700" i="9"/>
  <c r="U699" i="7"/>
  <c r="U701" i="6"/>
  <c r="U700" i="3"/>
  <c r="U704" i="13" l="1"/>
  <c r="U704" i="10"/>
  <c r="U701" i="9"/>
  <c r="U700" i="7"/>
  <c r="U702" i="6"/>
  <c r="U701" i="3"/>
  <c r="U705" i="13" l="1"/>
  <c r="U705" i="10"/>
  <c r="U702" i="9"/>
  <c r="U701" i="7"/>
  <c r="U703" i="6"/>
  <c r="U702" i="3"/>
  <c r="U706" i="13" l="1"/>
  <c r="U706" i="10"/>
  <c r="U703" i="9"/>
  <c r="U702" i="7"/>
  <c r="U704" i="6"/>
  <c r="U703" i="3"/>
  <c r="U707" i="13" l="1"/>
  <c r="U707" i="10"/>
  <c r="U704" i="9"/>
  <c r="U703" i="7"/>
  <c r="U705" i="6"/>
  <c r="U704" i="3"/>
  <c r="U708" i="13" l="1"/>
  <c r="U708" i="10"/>
  <c r="U705" i="9"/>
  <c r="U704" i="7"/>
  <c r="U706" i="6"/>
  <c r="U705" i="3"/>
  <c r="U709" i="13" l="1"/>
  <c r="U709" i="10"/>
  <c r="U706" i="9"/>
  <c r="U705" i="7"/>
  <c r="U707" i="6"/>
  <c r="U706" i="3"/>
  <c r="U710" i="13" l="1"/>
  <c r="U710" i="10"/>
  <c r="U707" i="9"/>
  <c r="U706" i="7"/>
  <c r="U708" i="6"/>
  <c r="U707" i="3"/>
  <c r="U711" i="13" l="1"/>
  <c r="U711" i="10"/>
  <c r="U708" i="9"/>
  <c r="U707" i="7"/>
  <c r="U709" i="6"/>
  <c r="U708" i="3"/>
  <c r="U712" i="13" l="1"/>
  <c r="U712" i="10"/>
  <c r="U709" i="9"/>
  <c r="U708" i="7"/>
  <c r="U710" i="6"/>
  <c r="U709" i="3"/>
  <c r="U713" i="13" l="1"/>
  <c r="U713" i="10"/>
  <c r="U710" i="9"/>
  <c r="U709" i="7"/>
  <c r="U711" i="6"/>
  <c r="U710" i="3"/>
  <c r="U714" i="13" l="1"/>
  <c r="U714" i="10"/>
  <c r="U711" i="9"/>
  <c r="U710" i="7"/>
  <c r="U712" i="6"/>
  <c r="U711" i="3"/>
  <c r="U715" i="13" l="1"/>
  <c r="U715" i="10"/>
  <c r="U712" i="9"/>
  <c r="U711" i="7"/>
  <c r="U713" i="6"/>
  <c r="U712" i="3"/>
  <c r="U716" i="13" l="1"/>
  <c r="U716" i="10"/>
  <c r="U713" i="9"/>
  <c r="U712" i="7"/>
  <c r="U714" i="6"/>
  <c r="U713" i="3"/>
  <c r="U717" i="13" l="1"/>
  <c r="U717" i="10"/>
  <c r="U714" i="9"/>
  <c r="U713" i="7"/>
  <c r="U715" i="6"/>
  <c r="U714" i="3"/>
  <c r="U718" i="13" l="1"/>
  <c r="U718" i="10"/>
  <c r="U715" i="9"/>
  <c r="U714" i="7"/>
  <c r="U716" i="6"/>
  <c r="U715" i="3"/>
  <c r="U719" i="13" l="1"/>
  <c r="U719" i="10"/>
  <c r="U716" i="9"/>
  <c r="U715" i="7"/>
  <c r="U717" i="6"/>
  <c r="U716" i="3"/>
  <c r="U720" i="13" l="1"/>
  <c r="U720" i="10"/>
  <c r="U717" i="9"/>
  <c r="U716" i="7"/>
  <c r="U718" i="6"/>
  <c r="U717" i="3"/>
  <c r="U721" i="13" l="1"/>
  <c r="U721" i="10"/>
  <c r="U718" i="9"/>
  <c r="U717" i="7"/>
  <c r="U719" i="6"/>
  <c r="U718" i="3"/>
  <c r="U722" i="13" l="1"/>
  <c r="U722" i="10"/>
  <c r="U719" i="9"/>
  <c r="U718" i="7"/>
  <c r="U720" i="6"/>
  <c r="U719" i="3"/>
  <c r="U723" i="13" l="1"/>
  <c r="U723" i="10"/>
  <c r="U720" i="9"/>
  <c r="U719" i="7"/>
  <c r="U721" i="6"/>
  <c r="U720" i="3"/>
  <c r="U724" i="13" l="1"/>
  <c r="U724" i="10"/>
  <c r="U721" i="9"/>
  <c r="U720" i="7"/>
  <c r="U722" i="6"/>
  <c r="U721" i="3"/>
  <c r="U725" i="13" l="1"/>
  <c r="U725" i="10"/>
  <c r="U722" i="9"/>
  <c r="U721" i="7"/>
  <c r="U723" i="6"/>
  <c r="U722" i="3"/>
  <c r="U726" i="13" l="1"/>
  <c r="U726" i="10"/>
  <c r="U723" i="9"/>
  <c r="U722" i="7"/>
  <c r="U724" i="6"/>
  <c r="U723" i="3"/>
  <c r="U727" i="13" l="1"/>
  <c r="U727" i="10"/>
  <c r="U724" i="9"/>
  <c r="U723" i="7"/>
  <c r="U725" i="6"/>
  <c r="U724" i="3"/>
  <c r="U728" i="13" l="1"/>
  <c r="U728" i="10"/>
  <c r="U725" i="9"/>
  <c r="U724" i="7"/>
  <c r="U726" i="6"/>
  <c r="U725" i="3"/>
  <c r="U729" i="13" l="1"/>
  <c r="U729" i="10"/>
  <c r="U726" i="9"/>
  <c r="U725" i="7"/>
  <c r="U727" i="6"/>
  <c r="U726" i="3"/>
  <c r="U730" i="13" l="1"/>
  <c r="U730" i="10"/>
  <c r="U727" i="9"/>
  <c r="U726" i="7"/>
  <c r="U728" i="6"/>
  <c r="U727" i="3"/>
  <c r="U731" i="13" l="1"/>
  <c r="U731" i="10"/>
  <c r="U728" i="9"/>
  <c r="U727" i="7"/>
  <c r="U729" i="6"/>
  <c r="U728" i="3"/>
  <c r="U732" i="13" l="1"/>
  <c r="U732" i="10"/>
  <c r="U729" i="9"/>
  <c r="U728" i="7"/>
  <c r="U730" i="6"/>
  <c r="U729" i="3"/>
  <c r="U733" i="13" l="1"/>
  <c r="U733" i="10"/>
  <c r="U730" i="9"/>
  <c r="U729" i="7"/>
  <c r="U731" i="6"/>
  <c r="U730" i="3"/>
  <c r="U734" i="13" l="1"/>
  <c r="U734" i="10"/>
  <c r="U731" i="9"/>
  <c r="U730" i="7"/>
  <c r="U732" i="6"/>
  <c r="U731" i="3"/>
  <c r="U735" i="13" l="1"/>
  <c r="U735" i="10"/>
  <c r="U732" i="9"/>
  <c r="U731" i="7"/>
  <c r="U733" i="6"/>
  <c r="U732" i="3"/>
  <c r="U736" i="13" l="1"/>
  <c r="U736" i="10"/>
  <c r="U733" i="9"/>
  <c r="U732" i="7"/>
  <c r="U734" i="6"/>
  <c r="U733" i="3"/>
  <c r="U737" i="13" l="1"/>
  <c r="U737" i="10"/>
  <c r="U734" i="9"/>
  <c r="U733" i="7"/>
  <c r="U735" i="6"/>
  <c r="U734" i="3"/>
  <c r="U738" i="13" l="1"/>
  <c r="U738" i="10"/>
  <c r="U735" i="9"/>
  <c r="U734" i="7"/>
  <c r="U736" i="6"/>
  <c r="U735" i="3"/>
  <c r="U739" i="13" l="1"/>
  <c r="U739" i="10"/>
  <c r="U736" i="9"/>
  <c r="U735" i="7"/>
  <c r="U737" i="6"/>
  <c r="U736" i="3"/>
  <c r="U740" i="13" l="1"/>
  <c r="U740" i="10"/>
  <c r="U737" i="9"/>
  <c r="U736" i="7"/>
  <c r="U738" i="6"/>
  <c r="U737" i="3"/>
  <c r="U741" i="13" l="1"/>
  <c r="U741" i="10"/>
  <c r="U738" i="9"/>
  <c r="U737" i="7"/>
  <c r="U739" i="6"/>
  <c r="U738" i="3"/>
  <c r="U742" i="13" l="1"/>
  <c r="U742" i="10"/>
  <c r="U739" i="9"/>
  <c r="U738" i="7"/>
  <c r="U740" i="6"/>
  <c r="U739" i="3"/>
  <c r="U743" i="13" l="1"/>
  <c r="U743" i="10"/>
  <c r="U740" i="9"/>
  <c r="U739" i="7"/>
  <c r="U741" i="6"/>
  <c r="U740" i="3"/>
  <c r="U744" i="13" l="1"/>
  <c r="U744" i="10"/>
  <c r="U741" i="9"/>
  <c r="U740" i="7"/>
  <c r="U742" i="6"/>
  <c r="U741" i="3"/>
  <c r="U745" i="13" l="1"/>
  <c r="U745" i="10"/>
  <c r="U742" i="9"/>
  <c r="U741" i="7"/>
  <c r="U743" i="6"/>
  <c r="U742" i="3"/>
  <c r="U746" i="13" l="1"/>
  <c r="U746" i="10"/>
  <c r="U743" i="9"/>
  <c r="U742" i="7"/>
  <c r="U744" i="6"/>
  <c r="U743" i="3"/>
  <c r="U747" i="13" l="1"/>
  <c r="U747" i="10"/>
  <c r="U744" i="9"/>
  <c r="U743" i="7"/>
  <c r="U745" i="6"/>
  <c r="U744" i="3"/>
  <c r="U748" i="13" l="1"/>
  <c r="U748" i="10"/>
  <c r="U745" i="9"/>
  <c r="U744" i="7"/>
  <c r="U746" i="6"/>
  <c r="U745" i="3"/>
  <c r="U749" i="13" l="1"/>
  <c r="U749" i="10"/>
  <c r="U746" i="9"/>
  <c r="U745" i="7"/>
  <c r="U747" i="6"/>
  <c r="U746" i="3"/>
  <c r="U750" i="13" l="1"/>
  <c r="U750" i="10"/>
  <c r="U747" i="9"/>
  <c r="U746" i="7"/>
  <c r="U748" i="6"/>
  <c r="U747" i="3"/>
  <c r="U751" i="13" l="1"/>
  <c r="U751" i="10"/>
  <c r="U748" i="9"/>
  <c r="U747" i="7"/>
  <c r="U749" i="6"/>
  <c r="U748" i="3"/>
  <c r="U752" i="13" l="1"/>
  <c r="U752" i="10"/>
  <c r="U749" i="9"/>
  <c r="U748" i="7"/>
  <c r="U750" i="6"/>
  <c r="U749" i="3"/>
  <c r="U753" i="13" l="1"/>
  <c r="U753" i="10"/>
  <c r="U750" i="9"/>
  <c r="U749" i="7"/>
  <c r="U751" i="6"/>
  <c r="U750" i="3"/>
  <c r="U754" i="13" l="1"/>
  <c r="U754" i="10"/>
  <c r="U751" i="9"/>
  <c r="U750" i="7"/>
  <c r="U752" i="6"/>
  <c r="U751" i="3"/>
  <c r="U755" i="13" l="1"/>
  <c r="U755" i="10"/>
  <c r="U752" i="9"/>
  <c r="U751" i="7"/>
  <c r="U753" i="6"/>
  <c r="U752" i="3"/>
  <c r="U756" i="13" l="1"/>
  <c r="U756" i="10"/>
  <c r="U753" i="9"/>
  <c r="U752" i="7"/>
  <c r="U754" i="6"/>
  <c r="U753" i="3"/>
  <c r="U757" i="13" l="1"/>
  <c r="U757" i="10"/>
  <c r="U754" i="9"/>
  <c r="U753" i="7"/>
  <c r="U755" i="6"/>
  <c r="U754" i="3"/>
  <c r="U758" i="13" l="1"/>
  <c r="U758" i="10"/>
  <c r="U755" i="9"/>
  <c r="U754" i="7"/>
  <c r="U756" i="6"/>
  <c r="U755" i="3"/>
  <c r="U759" i="13" l="1"/>
  <c r="U759" i="10"/>
  <c r="U756" i="9"/>
  <c r="U755" i="7"/>
  <c r="U757" i="6"/>
  <c r="U756" i="3"/>
  <c r="U760" i="13" l="1"/>
  <c r="U760" i="10"/>
  <c r="U757" i="9"/>
  <c r="U756" i="7"/>
  <c r="U758" i="6"/>
  <c r="U757" i="3"/>
  <c r="U761" i="13" l="1"/>
  <c r="U761" i="10"/>
  <c r="U758" i="9"/>
  <c r="U757" i="7"/>
  <c r="U759" i="6"/>
  <c r="U758" i="3"/>
  <c r="U762" i="13" l="1"/>
  <c r="U762" i="10"/>
  <c r="U759" i="9"/>
  <c r="U758" i="7"/>
  <c r="U760" i="6"/>
  <c r="U759" i="3"/>
  <c r="U763" i="13" l="1"/>
  <c r="U763" i="10"/>
  <c r="U760" i="9"/>
  <c r="U759" i="7"/>
  <c r="U761" i="6"/>
  <c r="U760" i="3"/>
  <c r="U764" i="13" l="1"/>
  <c r="U764" i="10"/>
  <c r="U761" i="9"/>
  <c r="U760" i="7"/>
  <c r="U762" i="6"/>
  <c r="U761" i="3"/>
  <c r="U765" i="13" l="1"/>
  <c r="U765" i="10"/>
  <c r="U762" i="9"/>
  <c r="U761" i="7"/>
  <c r="U763" i="6"/>
  <c r="U762" i="3"/>
  <c r="U766" i="13" l="1"/>
  <c r="U766" i="10"/>
  <c r="U763" i="9"/>
  <c r="U762" i="7"/>
  <c r="U764" i="6"/>
  <c r="U763" i="3"/>
  <c r="U767" i="13" l="1"/>
  <c r="U767" i="10"/>
  <c r="U764" i="9"/>
  <c r="U763" i="7"/>
  <c r="U765" i="6"/>
  <c r="U764" i="3"/>
  <c r="U768" i="13" l="1"/>
  <c r="U768" i="10"/>
  <c r="U765" i="9"/>
  <c r="U764" i="7"/>
  <c r="U766" i="6"/>
  <c r="U765" i="3"/>
  <c r="U769" i="13" l="1"/>
  <c r="U769" i="10"/>
  <c r="U766" i="9"/>
  <c r="U765" i="7"/>
  <c r="U767" i="6"/>
  <c r="U766" i="3"/>
  <c r="U770" i="13" l="1"/>
  <c r="U770" i="10"/>
  <c r="U767" i="9"/>
  <c r="U766" i="7"/>
  <c r="U768" i="6"/>
  <c r="U767" i="3"/>
  <c r="U771" i="13" l="1"/>
  <c r="U771" i="10"/>
  <c r="U768" i="9"/>
  <c r="U767" i="7"/>
  <c r="U769" i="6"/>
  <c r="U768" i="3"/>
  <c r="U772" i="13" l="1"/>
  <c r="U772" i="10"/>
  <c r="U769" i="9"/>
  <c r="U768" i="7"/>
  <c r="U770" i="6"/>
  <c r="U769" i="3"/>
  <c r="U773" i="13" l="1"/>
  <c r="U773" i="10"/>
  <c r="U770" i="9"/>
  <c r="U769" i="7"/>
  <c r="U771" i="6"/>
  <c r="U770" i="3"/>
  <c r="U774" i="13" l="1"/>
  <c r="U774" i="10"/>
  <c r="U771" i="9"/>
  <c r="U770" i="7"/>
  <c r="U772" i="6"/>
  <c r="U771" i="3"/>
  <c r="U775" i="13" l="1"/>
  <c r="U775" i="10"/>
  <c r="U772" i="9"/>
  <c r="U771" i="7"/>
  <c r="U773" i="6"/>
  <c r="U772" i="3"/>
  <c r="U776" i="13" l="1"/>
  <c r="U776" i="10"/>
  <c r="U773" i="9"/>
  <c r="U772" i="7"/>
  <c r="U774" i="6"/>
  <c r="U773" i="3"/>
  <c r="U777" i="13" l="1"/>
  <c r="U777" i="10"/>
  <c r="U774" i="9"/>
  <c r="U773" i="7"/>
  <c r="U775" i="6"/>
  <c r="U774" i="3"/>
  <c r="U778" i="13" l="1"/>
  <c r="U778" i="10"/>
  <c r="U775" i="9"/>
  <c r="U774" i="7"/>
  <c r="U776" i="6"/>
  <c r="U775" i="3"/>
  <c r="U779" i="13" l="1"/>
  <c r="U779" i="10"/>
  <c r="U776" i="9"/>
  <c r="U775" i="7"/>
  <c r="U777" i="6"/>
  <c r="U776" i="3"/>
  <c r="U780" i="13" l="1"/>
  <c r="U780" i="10"/>
  <c r="U777" i="9"/>
  <c r="U776" i="7"/>
  <c r="U778" i="6"/>
  <c r="U777" i="3"/>
  <c r="U781" i="13" l="1"/>
  <c r="U781" i="10"/>
  <c r="U778" i="9"/>
  <c r="U777" i="7"/>
  <c r="U779" i="6"/>
  <c r="U778" i="3"/>
  <c r="U782" i="13" l="1"/>
  <c r="U782" i="10"/>
  <c r="U779" i="9"/>
  <c r="U778" i="7"/>
  <c r="U780" i="6"/>
  <c r="U779" i="3"/>
  <c r="U783" i="13" l="1"/>
  <c r="U783" i="10"/>
  <c r="U780" i="9"/>
  <c r="U779" i="7"/>
  <c r="U781" i="6"/>
  <c r="U780" i="3"/>
  <c r="U784" i="13" l="1"/>
  <c r="U784" i="10"/>
  <c r="U781" i="9"/>
  <c r="U780" i="7"/>
  <c r="U782" i="6"/>
  <c r="U781" i="3"/>
  <c r="U785" i="13" l="1"/>
  <c r="U785" i="10"/>
  <c r="U782" i="9"/>
  <c r="U781" i="7"/>
  <c r="U783" i="6"/>
  <c r="U782" i="3"/>
  <c r="U786" i="13" l="1"/>
  <c r="U786" i="10"/>
  <c r="U783" i="9"/>
  <c r="U782" i="7"/>
  <c r="U784" i="6"/>
  <c r="U783" i="3"/>
  <c r="U787" i="13" l="1"/>
  <c r="U787" i="10"/>
  <c r="U784" i="9"/>
  <c r="U783" i="7"/>
  <c r="U785" i="6"/>
  <c r="U784" i="3"/>
  <c r="U788" i="13" l="1"/>
  <c r="U788" i="10"/>
  <c r="U785" i="9"/>
  <c r="U784" i="7"/>
  <c r="U786" i="6"/>
  <c r="U785" i="3"/>
  <c r="U789" i="13" l="1"/>
  <c r="U789" i="10"/>
  <c r="U786" i="9"/>
  <c r="U785" i="7"/>
  <c r="U787" i="6"/>
  <c r="U786" i="3"/>
  <c r="U790" i="13" l="1"/>
  <c r="U790" i="10"/>
  <c r="U787" i="9"/>
  <c r="U786" i="7"/>
  <c r="U788" i="6"/>
  <c r="U787" i="3"/>
  <c r="U791" i="13" l="1"/>
  <c r="U791" i="10"/>
  <c r="U788" i="9"/>
  <c r="U787" i="7"/>
  <c r="U789" i="6"/>
  <c r="U788" i="3"/>
  <c r="U792" i="13" l="1"/>
  <c r="U792" i="10"/>
  <c r="U789" i="9"/>
  <c r="U788" i="7"/>
  <c r="U790" i="6"/>
  <c r="U789" i="3"/>
  <c r="U793" i="13" l="1"/>
  <c r="U793" i="10"/>
  <c r="U790" i="9"/>
  <c r="U789" i="7"/>
  <c r="U791" i="6"/>
  <c r="U790" i="3"/>
  <c r="U794" i="13" l="1"/>
  <c r="U794" i="10"/>
  <c r="U791" i="9"/>
  <c r="U790" i="7"/>
  <c r="U792" i="6"/>
  <c r="U791" i="3"/>
  <c r="U795" i="13" l="1"/>
  <c r="U795" i="10"/>
  <c r="U792" i="9"/>
  <c r="U791" i="7"/>
  <c r="U793" i="6"/>
  <c r="U792" i="3"/>
  <c r="U796" i="13" l="1"/>
  <c r="U796" i="10"/>
  <c r="U793" i="9"/>
  <c r="U792" i="7"/>
  <c r="U794" i="6"/>
  <c r="U793" i="3"/>
  <c r="U797" i="13" l="1"/>
  <c r="U797" i="10"/>
  <c r="U794" i="9"/>
  <c r="U793" i="7"/>
  <c r="U795" i="6"/>
  <c r="U794" i="3"/>
  <c r="U798" i="13" l="1"/>
  <c r="U798" i="10"/>
  <c r="U795" i="9"/>
  <c r="U794" i="7"/>
  <c r="U796" i="6"/>
  <c r="U795" i="3"/>
  <c r="U799" i="13" l="1"/>
  <c r="U799" i="10"/>
  <c r="U796" i="9"/>
  <c r="U795" i="7"/>
  <c r="U797" i="6"/>
  <c r="U796" i="3"/>
  <c r="U800" i="13" l="1"/>
  <c r="U800" i="10"/>
  <c r="U797" i="9"/>
  <c r="U796" i="7"/>
  <c r="U798" i="6"/>
  <c r="U797" i="3"/>
  <c r="U801" i="13" l="1"/>
  <c r="U801" i="10"/>
  <c r="U798" i="9"/>
  <c r="U797" i="7"/>
  <c r="U799" i="6"/>
  <c r="U798" i="3"/>
  <c r="U802" i="13" l="1"/>
  <c r="U802" i="10"/>
  <c r="U799" i="9"/>
  <c r="U798" i="7"/>
  <c r="U800" i="6"/>
  <c r="U799" i="3"/>
  <c r="U803" i="13" l="1"/>
  <c r="U803" i="10"/>
  <c r="U800" i="9"/>
  <c r="U799" i="7"/>
  <c r="U801" i="6"/>
  <c r="U800" i="3"/>
  <c r="U804" i="13" l="1"/>
  <c r="U804" i="10"/>
  <c r="U801" i="9"/>
  <c r="U800" i="7"/>
  <c r="U802" i="6"/>
  <c r="U801" i="3"/>
  <c r="U805" i="13" l="1"/>
  <c r="U805" i="10"/>
  <c r="U802" i="9"/>
  <c r="U801" i="7"/>
  <c r="U803" i="6"/>
  <c r="U802" i="3"/>
  <c r="U806" i="13" l="1"/>
  <c r="U806" i="10"/>
  <c r="U803" i="9"/>
  <c r="U802" i="7"/>
  <c r="U804" i="6"/>
  <c r="U803" i="3"/>
  <c r="U807" i="13" l="1"/>
  <c r="U807" i="10"/>
  <c r="U804" i="9"/>
  <c r="U803" i="7"/>
  <c r="U805" i="6"/>
  <c r="U804" i="3"/>
  <c r="U808" i="13" l="1"/>
  <c r="U808" i="10"/>
  <c r="U805" i="9"/>
  <c r="U804" i="7"/>
  <c r="U806" i="6"/>
  <c r="U805" i="3"/>
  <c r="U809" i="13" l="1"/>
  <c r="U809" i="10"/>
  <c r="U806" i="9"/>
  <c r="U805" i="7"/>
  <c r="U807" i="6"/>
  <c r="U806" i="3"/>
  <c r="U810" i="13" l="1"/>
  <c r="U810" i="10"/>
  <c r="U807" i="9"/>
  <c r="U806" i="7"/>
  <c r="U808" i="6"/>
  <c r="U807" i="3"/>
  <c r="U811" i="13" l="1"/>
  <c r="U811" i="10"/>
  <c r="U808" i="9"/>
  <c r="U807" i="7"/>
  <c r="U809" i="6"/>
  <c r="U808" i="3"/>
  <c r="U812" i="13" l="1"/>
  <c r="U812" i="10"/>
  <c r="U809" i="9"/>
  <c r="U808" i="7"/>
  <c r="U810" i="6"/>
  <c r="U809" i="3"/>
  <c r="U813" i="13" l="1"/>
  <c r="U813" i="10"/>
  <c r="U810" i="9"/>
  <c r="U809" i="7"/>
  <c r="U811" i="6"/>
  <c r="U810" i="3"/>
  <c r="U814" i="13" l="1"/>
  <c r="U814" i="10"/>
  <c r="U811" i="9"/>
  <c r="U810" i="7"/>
  <c r="U812" i="6"/>
  <c r="U811" i="3"/>
  <c r="U815" i="13" l="1"/>
  <c r="U815" i="10"/>
  <c r="U812" i="9"/>
  <c r="U811" i="7"/>
  <c r="U813" i="6"/>
  <c r="U812" i="3"/>
  <c r="U816" i="13" l="1"/>
  <c r="U816" i="10"/>
  <c r="U813" i="9"/>
  <c r="U812" i="7"/>
  <c r="U814" i="6"/>
  <c r="U813" i="3"/>
  <c r="U817" i="13" l="1"/>
  <c r="U817" i="10"/>
  <c r="U814" i="9"/>
  <c r="U813" i="7"/>
  <c r="U815" i="6"/>
  <c r="U814" i="3"/>
  <c r="U818" i="13" l="1"/>
  <c r="U818" i="10"/>
  <c r="U815" i="9"/>
  <c r="U814" i="7"/>
  <c r="U816" i="6"/>
  <c r="U815" i="3"/>
  <c r="U819" i="13" l="1"/>
  <c r="U819" i="10"/>
  <c r="U816" i="9"/>
  <c r="U815" i="7"/>
  <c r="U817" i="6"/>
  <c r="U816" i="3"/>
  <c r="U820" i="13" l="1"/>
  <c r="U820" i="10"/>
  <c r="U817" i="9"/>
  <c r="U816" i="7"/>
  <c r="U818" i="6"/>
  <c r="U817" i="3"/>
  <c r="U821" i="13" l="1"/>
  <c r="U821" i="10"/>
  <c r="U818" i="9"/>
  <c r="U817" i="7"/>
  <c r="U819" i="6"/>
  <c r="U818" i="3"/>
  <c r="U822" i="13" l="1"/>
  <c r="U822" i="10"/>
  <c r="U819" i="9"/>
  <c r="U818" i="7"/>
  <c r="U820" i="6"/>
  <c r="U819" i="3"/>
  <c r="U823" i="13" l="1"/>
  <c r="U823" i="10"/>
  <c r="U820" i="9"/>
  <c r="U819" i="7"/>
  <c r="U821" i="6"/>
  <c r="U820" i="3"/>
  <c r="U824" i="13" l="1"/>
  <c r="U824" i="10"/>
  <c r="U821" i="9"/>
  <c r="U820" i="7"/>
  <c r="U822" i="6"/>
  <c r="U821" i="3"/>
  <c r="U825" i="13" l="1"/>
  <c r="U825" i="10"/>
  <c r="U822" i="9"/>
  <c r="U821" i="7"/>
  <c r="U823" i="6"/>
  <c r="U822" i="3"/>
  <c r="U826" i="13" l="1"/>
  <c r="U826" i="10"/>
  <c r="U823" i="9"/>
  <c r="U822" i="7"/>
  <c r="U824" i="6"/>
  <c r="U823" i="3"/>
  <c r="U827" i="13" l="1"/>
  <c r="U827" i="10"/>
  <c r="U824" i="9"/>
  <c r="U823" i="7"/>
  <c r="U825" i="6"/>
  <c r="U824" i="3"/>
  <c r="U828" i="13" l="1"/>
  <c r="U828" i="10"/>
  <c r="U825" i="9"/>
  <c r="U824" i="7"/>
  <c r="U826" i="6"/>
  <c r="U825" i="3"/>
  <c r="U829" i="13" l="1"/>
  <c r="U829" i="10"/>
  <c r="U826" i="9"/>
  <c r="U825" i="7"/>
  <c r="U827" i="6"/>
  <c r="U826" i="3"/>
  <c r="U830" i="13" l="1"/>
  <c r="U830" i="10"/>
  <c r="U827" i="9"/>
  <c r="U826" i="7"/>
  <c r="U828" i="6"/>
  <c r="U827" i="3"/>
  <c r="U831" i="13" l="1"/>
  <c r="U831" i="10"/>
  <c r="U828" i="9"/>
  <c r="U827" i="7"/>
  <c r="U829" i="6"/>
  <c r="U828" i="3"/>
  <c r="U832" i="13" l="1"/>
  <c r="U832" i="10"/>
  <c r="U829" i="9"/>
  <c r="U828" i="7"/>
  <c r="U830" i="6"/>
  <c r="U829" i="3"/>
  <c r="U833" i="13" l="1"/>
  <c r="U833" i="10"/>
  <c r="U830" i="9"/>
  <c r="U829" i="7"/>
  <c r="U831" i="6"/>
  <c r="U830" i="3"/>
  <c r="U834" i="13" l="1"/>
  <c r="U834" i="10"/>
  <c r="U831" i="9"/>
  <c r="U830" i="7"/>
  <c r="U832" i="6"/>
  <c r="U831" i="3"/>
  <c r="U835" i="13" l="1"/>
  <c r="U835" i="10"/>
  <c r="U832" i="9"/>
  <c r="U831" i="7"/>
  <c r="U833" i="6"/>
  <c r="U832" i="3"/>
  <c r="U836" i="13" l="1"/>
  <c r="U836" i="10"/>
  <c r="U833" i="9"/>
  <c r="U832" i="7"/>
  <c r="U834" i="6"/>
  <c r="U833" i="3"/>
  <c r="U837" i="13" l="1"/>
  <c r="U837" i="10"/>
  <c r="U834" i="9"/>
  <c r="U833" i="7"/>
  <c r="U835" i="6"/>
  <c r="U834" i="3"/>
  <c r="U838" i="13" l="1"/>
  <c r="U838" i="10"/>
  <c r="U835" i="9"/>
  <c r="U834" i="7"/>
  <c r="U836" i="6"/>
  <c r="U835" i="3"/>
  <c r="U839" i="13" l="1"/>
  <c r="U839" i="10"/>
  <c r="U836" i="9"/>
  <c r="U835" i="7"/>
  <c r="U837" i="6"/>
  <c r="U836" i="3"/>
  <c r="U840" i="13" l="1"/>
  <c r="U840" i="10"/>
  <c r="U837" i="9"/>
  <c r="U836" i="7"/>
  <c r="U838" i="6"/>
  <c r="U837" i="3"/>
  <c r="U841" i="13" l="1"/>
  <c r="U841" i="10"/>
  <c r="U838" i="9"/>
  <c r="U837" i="7"/>
  <c r="U839" i="6"/>
  <c r="U838" i="3"/>
  <c r="U842" i="13" l="1"/>
  <c r="U842" i="10"/>
  <c r="U839" i="9"/>
  <c r="U838" i="7"/>
  <c r="U840" i="6"/>
  <c r="U839" i="3"/>
  <c r="U843" i="13" l="1"/>
  <c r="U843" i="10"/>
  <c r="U840" i="9"/>
  <c r="U839" i="7"/>
  <c r="U841" i="6"/>
  <c r="U840" i="3"/>
  <c r="U844" i="13" l="1"/>
  <c r="U844" i="10"/>
  <c r="U841" i="9"/>
  <c r="U840" i="7"/>
  <c r="U842" i="6"/>
  <c r="U841" i="3"/>
  <c r="U845" i="13" l="1"/>
  <c r="U845" i="10"/>
  <c r="U842" i="9"/>
  <c r="U841" i="7"/>
  <c r="U843" i="6"/>
  <c r="U842" i="3"/>
  <c r="U846" i="13" l="1"/>
  <c r="U846" i="10"/>
  <c r="U843" i="9"/>
  <c r="U842" i="7"/>
  <c r="U844" i="6"/>
  <c r="U843" i="3"/>
  <c r="U847" i="13" l="1"/>
  <c r="U847" i="10"/>
  <c r="U844" i="9"/>
  <c r="U843" i="7"/>
  <c r="U845" i="6"/>
  <c r="U844" i="3"/>
  <c r="U848" i="13" l="1"/>
  <c r="U848" i="10"/>
  <c r="U845" i="9"/>
  <c r="U844" i="7"/>
  <c r="U846" i="6"/>
  <c r="U845" i="3"/>
  <c r="U849" i="13" l="1"/>
  <c r="U849" i="10"/>
  <c r="U846" i="9"/>
  <c r="U845" i="7"/>
  <c r="U847" i="6"/>
  <c r="U846" i="3"/>
  <c r="U850" i="13" l="1"/>
  <c r="U850" i="10"/>
  <c r="U847" i="9"/>
  <c r="U846" i="7"/>
  <c r="U848" i="6"/>
  <c r="U847" i="3"/>
  <c r="U851" i="13" l="1"/>
  <c r="U851" i="10"/>
  <c r="U848" i="9"/>
  <c r="U847" i="7"/>
  <c r="U849" i="6"/>
  <c r="U848" i="3"/>
  <c r="U852" i="13" l="1"/>
  <c r="U852" i="10"/>
  <c r="U849" i="9"/>
  <c r="U848" i="7"/>
  <c r="U850" i="6"/>
  <c r="U849" i="3"/>
  <c r="U853" i="13" l="1"/>
  <c r="U853" i="10"/>
  <c r="U850" i="9"/>
  <c r="U849" i="7"/>
  <c r="U851" i="6"/>
  <c r="U850" i="3"/>
  <c r="U854" i="13" l="1"/>
  <c r="U854" i="10"/>
  <c r="U851" i="9"/>
  <c r="U850" i="7"/>
  <c r="U852" i="6"/>
  <c r="U851" i="3"/>
  <c r="U855" i="13" l="1"/>
  <c r="U855" i="10"/>
  <c r="U852" i="9"/>
  <c r="U851" i="7"/>
  <c r="U853" i="6"/>
  <c r="U852" i="3"/>
  <c r="U856" i="13" l="1"/>
  <c r="U856" i="10"/>
  <c r="U853" i="9"/>
  <c r="U852" i="7"/>
  <c r="U854" i="6"/>
  <c r="U853" i="3"/>
  <c r="U857" i="13" l="1"/>
  <c r="U857" i="10"/>
  <c r="U854" i="9"/>
  <c r="U853" i="7"/>
  <c r="U855" i="6"/>
  <c r="U854" i="3"/>
  <c r="U858" i="13" l="1"/>
  <c r="U858" i="10"/>
  <c r="U855" i="9"/>
  <c r="U854" i="7"/>
  <c r="U856" i="6"/>
  <c r="U855" i="3"/>
  <c r="U859" i="13" l="1"/>
  <c r="U859" i="10"/>
  <c r="U856" i="9"/>
  <c r="U855" i="7"/>
  <c r="U857" i="6"/>
  <c r="U856" i="3"/>
  <c r="U860" i="13" l="1"/>
  <c r="U860" i="10"/>
  <c r="U857" i="9"/>
  <c r="U856" i="7"/>
  <c r="U858" i="6"/>
  <c r="U857" i="3"/>
  <c r="U861" i="13" l="1"/>
  <c r="U861" i="10"/>
  <c r="U858" i="9"/>
  <c r="U857" i="7"/>
  <c r="U859" i="6"/>
  <c r="U858" i="3"/>
  <c r="U862" i="13" l="1"/>
  <c r="U862" i="10"/>
  <c r="U859" i="9"/>
  <c r="U858" i="7"/>
  <c r="U860" i="6"/>
  <c r="U859" i="3"/>
  <c r="U863" i="13" l="1"/>
  <c r="U863" i="10"/>
  <c r="U860" i="9"/>
  <c r="U859" i="7"/>
  <c r="U861" i="6"/>
  <c r="U860" i="3"/>
  <c r="U864" i="13" l="1"/>
  <c r="U864" i="10"/>
  <c r="U861" i="9"/>
  <c r="U860" i="7"/>
  <c r="U862" i="6"/>
  <c r="U861" i="3"/>
  <c r="U865" i="13" l="1"/>
  <c r="U865" i="10"/>
  <c r="U862" i="9"/>
  <c r="U861" i="7"/>
  <c r="U863" i="6"/>
  <c r="U862" i="3"/>
  <c r="U866" i="13" l="1"/>
  <c r="U866" i="10"/>
  <c r="U863" i="9"/>
  <c r="U862" i="7"/>
  <c r="U864" i="6"/>
  <c r="U863" i="3"/>
  <c r="U867" i="13" l="1"/>
  <c r="U867" i="10"/>
  <c r="U864" i="9"/>
  <c r="U863" i="7"/>
  <c r="U865" i="6"/>
  <c r="U864" i="3"/>
  <c r="U868" i="13" l="1"/>
  <c r="U868" i="10"/>
  <c r="U865" i="9"/>
  <c r="U864" i="7"/>
  <c r="U866" i="6"/>
  <c r="U865" i="3"/>
  <c r="U869" i="13" l="1"/>
  <c r="U869" i="10"/>
  <c r="U866" i="9"/>
  <c r="U865" i="7"/>
  <c r="U867" i="6"/>
  <c r="U866" i="3"/>
  <c r="U870" i="13" l="1"/>
  <c r="U870" i="10"/>
  <c r="U867" i="9"/>
  <c r="U866" i="7"/>
  <c r="U868" i="6"/>
  <c r="U867" i="3"/>
  <c r="U871" i="13" l="1"/>
  <c r="U871" i="10"/>
  <c r="U868" i="9"/>
  <c r="U867" i="7"/>
  <c r="U869" i="6"/>
  <c r="U868" i="3"/>
  <c r="U872" i="13" l="1"/>
  <c r="U872" i="10"/>
  <c r="U869" i="9"/>
  <c r="U868" i="7"/>
  <c r="U870" i="6"/>
  <c r="U869" i="3"/>
  <c r="U873" i="13" l="1"/>
  <c r="U873" i="10"/>
  <c r="U870" i="9"/>
  <c r="U869" i="7"/>
  <c r="U871" i="6"/>
  <c r="U870" i="3"/>
  <c r="U874" i="13" l="1"/>
  <c r="U874" i="10"/>
  <c r="U871" i="9"/>
  <c r="U870" i="7"/>
  <c r="U872" i="6"/>
  <c r="U871" i="3"/>
  <c r="U875" i="13" l="1"/>
  <c r="U875" i="10"/>
  <c r="U872" i="9"/>
  <c r="U871" i="7"/>
  <c r="U873" i="6"/>
  <c r="U872" i="3"/>
  <c r="U876" i="13" l="1"/>
  <c r="U876" i="10"/>
  <c r="U873" i="9"/>
  <c r="U872" i="7"/>
  <c r="U874" i="6"/>
  <c r="U873" i="3"/>
  <c r="U877" i="13" l="1"/>
  <c r="U877" i="10"/>
  <c r="U874" i="9"/>
  <c r="U873" i="7"/>
  <c r="U875" i="6"/>
  <c r="U874" i="3"/>
  <c r="U878" i="13" l="1"/>
  <c r="U878" i="10"/>
  <c r="U875" i="9"/>
  <c r="U874" i="7"/>
  <c r="U876" i="6"/>
  <c r="U875" i="3"/>
  <c r="U879" i="13" l="1"/>
  <c r="U879" i="10"/>
  <c r="U876" i="9"/>
  <c r="U875" i="7"/>
  <c r="U877" i="6"/>
  <c r="U876" i="3"/>
  <c r="U880" i="13" l="1"/>
  <c r="U880" i="10"/>
  <c r="U877" i="9"/>
  <c r="U876" i="7"/>
  <c r="U878" i="6"/>
  <c r="U877" i="3"/>
  <c r="U881" i="13" l="1"/>
  <c r="U881" i="10"/>
  <c r="U878" i="9"/>
  <c r="U877" i="7"/>
  <c r="U879" i="6"/>
  <c r="U878" i="3"/>
  <c r="U882" i="13" l="1"/>
  <c r="U882" i="10"/>
  <c r="U879" i="9"/>
  <c r="U878" i="7"/>
  <c r="U880" i="6"/>
  <c r="U879" i="3"/>
  <c r="U883" i="13" l="1"/>
  <c r="U883" i="10"/>
  <c r="U880" i="9"/>
  <c r="U879" i="7"/>
  <c r="U881" i="6"/>
  <c r="U880" i="3"/>
  <c r="U884" i="13" l="1"/>
  <c r="U884" i="10"/>
  <c r="U881" i="9"/>
  <c r="U880" i="7"/>
  <c r="U882" i="6"/>
  <c r="U881" i="3"/>
  <c r="U885" i="13" l="1"/>
  <c r="U885" i="10"/>
  <c r="U882" i="9"/>
  <c r="U881" i="7"/>
  <c r="U883" i="6"/>
  <c r="U882" i="3"/>
  <c r="U886" i="13" l="1"/>
  <c r="U886" i="10"/>
  <c r="U883" i="9"/>
  <c r="U882" i="7"/>
  <c r="U884" i="6"/>
  <c r="U883" i="3"/>
  <c r="U887" i="13" l="1"/>
  <c r="U887" i="10"/>
  <c r="U884" i="9"/>
  <c r="U883" i="7"/>
  <c r="U885" i="6"/>
  <c r="U884" i="3"/>
  <c r="U888" i="13" l="1"/>
  <c r="U888" i="10"/>
  <c r="U885" i="9"/>
  <c r="U884" i="7"/>
  <c r="U886" i="6"/>
  <c r="U885" i="3"/>
  <c r="U889" i="13" l="1"/>
  <c r="U889" i="10"/>
  <c r="U886" i="9"/>
  <c r="U885" i="7"/>
  <c r="U887" i="6"/>
  <c r="U886" i="3"/>
  <c r="U890" i="13" l="1"/>
  <c r="U890" i="10"/>
  <c r="U887" i="9"/>
  <c r="U886" i="7"/>
  <c r="U888" i="6"/>
  <c r="U887" i="3"/>
  <c r="U891" i="13" l="1"/>
  <c r="U891" i="10"/>
  <c r="U888" i="9"/>
  <c r="U887" i="7"/>
  <c r="U889" i="6"/>
  <c r="U888" i="3"/>
  <c r="U892" i="13" l="1"/>
  <c r="U892" i="10"/>
  <c r="U889" i="9"/>
  <c r="U888" i="7"/>
  <c r="U890" i="6"/>
  <c r="U889" i="3"/>
  <c r="U893" i="13" l="1"/>
  <c r="U893" i="10"/>
  <c r="U890" i="9"/>
  <c r="U889" i="7"/>
  <c r="U891" i="6"/>
  <c r="U890" i="3"/>
  <c r="U894" i="13" l="1"/>
  <c r="U894" i="10"/>
  <c r="U891" i="9"/>
  <c r="U890" i="7"/>
  <c r="U892" i="6"/>
  <c r="U891" i="3"/>
  <c r="U895" i="13" l="1"/>
  <c r="U895" i="10"/>
  <c r="U892" i="9"/>
  <c r="U891" i="7"/>
  <c r="U893" i="6"/>
  <c r="U892" i="3"/>
  <c r="U896" i="13" l="1"/>
  <c r="U896" i="10"/>
  <c r="U893" i="9"/>
  <c r="U892" i="7"/>
  <c r="U894" i="6"/>
  <c r="U893" i="3"/>
  <c r="U897" i="13" l="1"/>
  <c r="U897" i="10"/>
  <c r="U894" i="9"/>
  <c r="U893" i="7"/>
  <c r="U895" i="6"/>
  <c r="U894" i="3"/>
  <c r="U898" i="13" l="1"/>
  <c r="U898" i="10"/>
  <c r="U895" i="9"/>
  <c r="U894" i="7"/>
  <c r="U896" i="6"/>
  <c r="U895" i="3"/>
  <c r="U899" i="13" l="1"/>
  <c r="U899" i="10"/>
  <c r="U896" i="9"/>
  <c r="U895" i="7"/>
  <c r="U897" i="6"/>
  <c r="U896" i="3"/>
  <c r="U900" i="13" l="1"/>
  <c r="U900" i="10"/>
  <c r="U897" i="9"/>
  <c r="U896" i="7"/>
  <c r="U898" i="6"/>
  <c r="U897" i="3"/>
  <c r="U901" i="13" l="1"/>
  <c r="U901" i="10"/>
  <c r="U898" i="9"/>
  <c r="U897" i="7"/>
  <c r="U899" i="6"/>
  <c r="U898" i="3"/>
  <c r="U902" i="13" l="1"/>
  <c r="U902" i="10"/>
  <c r="U899" i="9"/>
  <c r="U898" i="7"/>
  <c r="U900" i="6"/>
  <c r="U899" i="3"/>
  <c r="U903" i="13" l="1"/>
  <c r="U903" i="10"/>
  <c r="U900" i="9"/>
  <c r="U899" i="7"/>
  <c r="U901" i="6"/>
  <c r="U900" i="3"/>
  <c r="U904" i="13" l="1"/>
  <c r="U904" i="10"/>
  <c r="U901" i="9"/>
  <c r="U900" i="7"/>
  <c r="U902" i="6"/>
  <c r="U901" i="3"/>
  <c r="U905" i="13" l="1"/>
  <c r="U905" i="10"/>
  <c r="U902" i="9"/>
  <c r="U901" i="7"/>
  <c r="U903" i="6"/>
  <c r="U902" i="3"/>
  <c r="U906" i="13" l="1"/>
  <c r="U906" i="10"/>
  <c r="U903" i="9"/>
  <c r="U902" i="7"/>
  <c r="U904" i="6"/>
  <c r="U903" i="3"/>
  <c r="U907" i="13" l="1"/>
  <c r="U907" i="10"/>
  <c r="U904" i="9"/>
  <c r="U903" i="7"/>
  <c r="U905" i="6"/>
  <c r="U904" i="3"/>
  <c r="U908" i="13" l="1"/>
  <c r="U908" i="10"/>
  <c r="U905" i="9"/>
  <c r="U904" i="7"/>
  <c r="U906" i="6"/>
  <c r="U905" i="3"/>
  <c r="U909" i="13" l="1"/>
  <c r="U909" i="10"/>
  <c r="U906" i="9"/>
  <c r="U905" i="7"/>
  <c r="U907" i="6"/>
  <c r="U906" i="3"/>
  <c r="U910" i="13" l="1"/>
  <c r="U910" i="10"/>
  <c r="U907" i="9"/>
  <c r="U906" i="7"/>
  <c r="U908" i="6"/>
  <c r="U907" i="3"/>
  <c r="U911" i="13" l="1"/>
  <c r="U911" i="10"/>
  <c r="U908" i="9"/>
  <c r="U907" i="7"/>
  <c r="U909" i="6"/>
  <c r="U908" i="3"/>
  <c r="U912" i="13" l="1"/>
  <c r="U912" i="10"/>
  <c r="U909" i="9"/>
  <c r="U908" i="7"/>
  <c r="U910" i="6"/>
  <c r="U909" i="3"/>
  <c r="U913" i="13" l="1"/>
  <c r="U913" i="10"/>
  <c r="U910" i="9"/>
  <c r="U909" i="7"/>
  <c r="U911" i="6"/>
  <c r="U910" i="3"/>
  <c r="U914" i="13" l="1"/>
  <c r="U914" i="10"/>
  <c r="U911" i="9"/>
  <c r="U910" i="7"/>
  <c r="U912" i="6"/>
  <c r="U911" i="3"/>
  <c r="U915" i="13" l="1"/>
  <c r="U915" i="10"/>
  <c r="U912" i="9"/>
  <c r="U911" i="7"/>
  <c r="U913" i="6"/>
  <c r="U912" i="3"/>
  <c r="U916" i="13" l="1"/>
  <c r="U916" i="10"/>
  <c r="U913" i="9"/>
  <c r="U912" i="7"/>
  <c r="U914" i="6"/>
  <c r="U913" i="3"/>
  <c r="U917" i="13" l="1"/>
  <c r="U917" i="10"/>
  <c r="U914" i="9"/>
  <c r="U913" i="7"/>
  <c r="U915" i="6"/>
  <c r="U914" i="3"/>
  <c r="U918" i="13" l="1"/>
  <c r="U918" i="10"/>
  <c r="U915" i="9"/>
  <c r="U914" i="7"/>
  <c r="U916" i="6"/>
  <c r="U915" i="3"/>
  <c r="U919" i="13" l="1"/>
  <c r="U919" i="10"/>
  <c r="U916" i="9"/>
  <c r="U915" i="7"/>
  <c r="U917" i="6"/>
  <c r="U916" i="3"/>
  <c r="U920" i="13" l="1"/>
  <c r="U920" i="10"/>
  <c r="U917" i="9"/>
  <c r="U916" i="7"/>
  <c r="U918" i="6"/>
  <c r="U917" i="3"/>
  <c r="U921" i="13" l="1"/>
  <c r="U921" i="10"/>
  <c r="U918" i="9"/>
  <c r="U917" i="7"/>
  <c r="U919" i="6"/>
  <c r="U918" i="3"/>
  <c r="U922" i="13" l="1"/>
  <c r="U922" i="10"/>
  <c r="U919" i="9"/>
  <c r="U918" i="7"/>
  <c r="U920" i="6"/>
  <c r="U919" i="3"/>
  <c r="U923" i="13" l="1"/>
  <c r="U923" i="10"/>
  <c r="U920" i="9"/>
  <c r="U919" i="7"/>
  <c r="U921" i="6"/>
  <c r="U920" i="3"/>
  <c r="U924" i="13" l="1"/>
  <c r="U924" i="10"/>
  <c r="U921" i="9"/>
  <c r="U920" i="7"/>
  <c r="U922" i="6"/>
  <c r="U921" i="3"/>
  <c r="U925" i="13" l="1"/>
  <c r="U925" i="10"/>
  <c r="U922" i="9"/>
  <c r="U921" i="7"/>
  <c r="U923" i="6"/>
  <c r="U922" i="3"/>
  <c r="U926" i="13" l="1"/>
  <c r="U926" i="10"/>
  <c r="U923" i="9"/>
  <c r="U922" i="7"/>
  <c r="U924" i="6"/>
  <c r="U923" i="3"/>
  <c r="U927" i="13" l="1"/>
  <c r="U927" i="10"/>
  <c r="U924" i="9"/>
  <c r="U923" i="7"/>
  <c r="U925" i="6"/>
  <c r="U924" i="3"/>
  <c r="U928" i="13" l="1"/>
  <c r="U928" i="10"/>
  <c r="U925" i="9"/>
  <c r="U924" i="7"/>
  <c r="U926" i="6"/>
  <c r="U925" i="3"/>
  <c r="U929" i="13" l="1"/>
  <c r="U929" i="10"/>
  <c r="U926" i="9"/>
  <c r="U925" i="7"/>
  <c r="U927" i="6"/>
  <c r="U926" i="3"/>
  <c r="U930" i="13" l="1"/>
  <c r="U930" i="10"/>
  <c r="U927" i="9"/>
  <c r="U926" i="7"/>
  <c r="U928" i="6"/>
  <c r="U927" i="3"/>
  <c r="U931" i="13" l="1"/>
  <c r="U931" i="10"/>
  <c r="U928" i="9"/>
  <c r="U927" i="7"/>
  <c r="U929" i="6"/>
  <c r="U928" i="3"/>
  <c r="U932" i="13" l="1"/>
  <c r="U932" i="10"/>
  <c r="U929" i="9"/>
  <c r="U928" i="7"/>
  <c r="U930" i="6"/>
  <c r="U929" i="3"/>
  <c r="U933" i="13" l="1"/>
  <c r="U933" i="10"/>
  <c r="U930" i="9"/>
  <c r="U929" i="7"/>
  <c r="U931" i="6"/>
  <c r="U930" i="3"/>
  <c r="U934" i="13" l="1"/>
  <c r="U934" i="10"/>
  <c r="U931" i="9"/>
  <c r="U930" i="7"/>
  <c r="U932" i="6"/>
  <c r="U931" i="3"/>
  <c r="U935" i="13" l="1"/>
  <c r="U935" i="10"/>
  <c r="U932" i="9"/>
  <c r="U931" i="7"/>
  <c r="U933" i="6"/>
  <c r="U932" i="3"/>
  <c r="U936" i="13" l="1"/>
  <c r="U936" i="10"/>
  <c r="U933" i="9"/>
  <c r="U932" i="7"/>
  <c r="U934" i="6"/>
  <c r="U933" i="3"/>
  <c r="U937" i="13" l="1"/>
  <c r="U937" i="10"/>
  <c r="U934" i="9"/>
  <c r="U933" i="7"/>
  <c r="U935" i="6"/>
  <c r="U934" i="3"/>
  <c r="U938" i="13" l="1"/>
  <c r="U938" i="10"/>
  <c r="U935" i="9"/>
  <c r="U934" i="7"/>
  <c r="U936" i="6"/>
  <c r="U935" i="3"/>
  <c r="U939" i="13" l="1"/>
  <c r="U939" i="10"/>
  <c r="U936" i="9"/>
  <c r="U935" i="7"/>
  <c r="U937" i="6"/>
  <c r="U936" i="3"/>
  <c r="U940" i="13" l="1"/>
  <c r="U940" i="10"/>
  <c r="U937" i="9"/>
  <c r="U936" i="7"/>
  <c r="U938" i="6"/>
  <c r="U937" i="3"/>
  <c r="U941" i="13" l="1"/>
  <c r="U941" i="10"/>
  <c r="U938" i="9"/>
  <c r="U937" i="7"/>
  <c r="U939" i="6"/>
  <c r="U938" i="3"/>
  <c r="U942" i="13" l="1"/>
  <c r="U942" i="10"/>
  <c r="U939" i="9"/>
  <c r="U938" i="7"/>
  <c r="U940" i="6"/>
  <c r="U939" i="3"/>
  <c r="U943" i="13" l="1"/>
  <c r="U943" i="10"/>
  <c r="U940" i="9"/>
  <c r="U939" i="7"/>
  <c r="U941" i="6"/>
  <c r="U940" i="3"/>
  <c r="U944" i="13" l="1"/>
  <c r="U944" i="10"/>
  <c r="U941" i="9"/>
  <c r="U940" i="7"/>
  <c r="U942" i="6"/>
  <c r="U941" i="3"/>
  <c r="U945" i="13" l="1"/>
  <c r="U945" i="10"/>
  <c r="U942" i="9"/>
  <c r="U941" i="7"/>
  <c r="U943" i="6"/>
  <c r="U942" i="3"/>
  <c r="U946" i="13" l="1"/>
  <c r="U946" i="10"/>
  <c r="U943" i="9"/>
  <c r="U942" i="7"/>
  <c r="U944" i="6"/>
  <c r="U943" i="3"/>
  <c r="U947" i="13" l="1"/>
  <c r="U947" i="10"/>
  <c r="U944" i="9"/>
  <c r="U943" i="7"/>
  <c r="U945" i="6"/>
  <c r="U944" i="3"/>
  <c r="U948" i="13" l="1"/>
  <c r="U948" i="10"/>
  <c r="U945" i="9"/>
  <c r="U944" i="7"/>
  <c r="U946" i="6"/>
  <c r="U945" i="3"/>
  <c r="U949" i="13" l="1"/>
  <c r="U949" i="10"/>
  <c r="U946" i="9"/>
  <c r="U945" i="7"/>
  <c r="U947" i="6"/>
  <c r="U946" i="3"/>
  <c r="U950" i="13" l="1"/>
  <c r="U950" i="10"/>
  <c r="U947" i="9"/>
  <c r="U946" i="7"/>
  <c r="U948" i="6"/>
  <c r="U947" i="3"/>
  <c r="U951" i="13" l="1"/>
  <c r="U951" i="10"/>
  <c r="U948" i="9"/>
  <c r="U947" i="7"/>
  <c r="U949" i="6"/>
  <c r="U948" i="3"/>
  <c r="U952" i="13" l="1"/>
  <c r="U952" i="10"/>
  <c r="U949" i="9"/>
  <c r="U948" i="7"/>
  <c r="U950" i="6"/>
  <c r="U949" i="3"/>
  <c r="U953" i="13" l="1"/>
  <c r="U953" i="10"/>
  <c r="U950" i="9"/>
  <c r="U949" i="7"/>
  <c r="U951" i="6"/>
  <c r="U950" i="3"/>
  <c r="U954" i="13" l="1"/>
  <c r="U954" i="10"/>
  <c r="U951" i="9"/>
  <c r="U950" i="7"/>
  <c r="U952" i="6"/>
  <c r="U951" i="3"/>
  <c r="U955" i="13" l="1"/>
  <c r="U955" i="10"/>
  <c r="U952" i="9"/>
  <c r="U951" i="7"/>
  <c r="U953" i="6"/>
  <c r="U952" i="3"/>
  <c r="U956" i="13" l="1"/>
  <c r="U956" i="10"/>
  <c r="U953" i="9"/>
  <c r="U952" i="7"/>
  <c r="U954" i="6"/>
  <c r="U953" i="3"/>
  <c r="U957" i="13" l="1"/>
  <c r="U957" i="10"/>
  <c r="U954" i="9"/>
  <c r="U953" i="7"/>
  <c r="U955" i="6"/>
  <c r="U954" i="3"/>
  <c r="U958" i="13" l="1"/>
  <c r="U958" i="10"/>
  <c r="U955" i="9"/>
  <c r="U954" i="7"/>
  <c r="U956" i="6"/>
  <c r="U955" i="3"/>
  <c r="U959" i="13" l="1"/>
  <c r="U959" i="10"/>
  <c r="U956" i="9"/>
  <c r="U955" i="7"/>
  <c r="U957" i="6"/>
  <c r="U956" i="3"/>
  <c r="U960" i="13" l="1"/>
  <c r="U960" i="10"/>
  <c r="U957" i="9"/>
  <c r="U956" i="7"/>
  <c r="U958" i="6"/>
  <c r="U957" i="3"/>
  <c r="U961" i="13" l="1"/>
  <c r="U961" i="10"/>
  <c r="U958" i="9"/>
  <c r="U957" i="7"/>
  <c r="U959" i="6"/>
  <c r="U958" i="3"/>
  <c r="U962" i="13" l="1"/>
  <c r="U962" i="10"/>
  <c r="U959" i="9"/>
  <c r="U958" i="7"/>
  <c r="U960" i="6"/>
  <c r="U959" i="3"/>
  <c r="U963" i="13" l="1"/>
  <c r="U963" i="10"/>
  <c r="U960" i="9"/>
  <c r="U959" i="7"/>
  <c r="U961" i="6"/>
  <c r="U960" i="3"/>
  <c r="U964" i="13" l="1"/>
  <c r="U964" i="10"/>
  <c r="U961" i="9"/>
  <c r="U960" i="7"/>
  <c r="U962" i="6"/>
  <c r="U961" i="3"/>
  <c r="U965" i="13" l="1"/>
  <c r="U965" i="10"/>
  <c r="U962" i="9"/>
  <c r="U961" i="7"/>
  <c r="U963" i="6"/>
  <c r="U962" i="3"/>
  <c r="U966" i="13" l="1"/>
  <c r="U966" i="10"/>
  <c r="U963" i="9"/>
  <c r="U962" i="7"/>
  <c r="U964" i="6"/>
  <c r="U963" i="3"/>
  <c r="U967" i="13" l="1"/>
  <c r="U967" i="10"/>
  <c r="U964" i="9"/>
  <c r="U963" i="7"/>
  <c r="U965" i="6"/>
  <c r="U964" i="3"/>
  <c r="U968" i="13" l="1"/>
  <c r="U968" i="10"/>
  <c r="U965" i="9"/>
  <c r="U964" i="7"/>
  <c r="U966" i="6"/>
  <c r="U965" i="3"/>
  <c r="U969" i="13" l="1"/>
  <c r="U969" i="10"/>
  <c r="U966" i="9"/>
  <c r="U965" i="7"/>
  <c r="U967" i="6"/>
  <c r="U966" i="3"/>
  <c r="U970" i="13" l="1"/>
  <c r="U970" i="10"/>
  <c r="U967" i="9"/>
  <c r="U966" i="7"/>
  <c r="U968" i="6"/>
  <c r="U967" i="3"/>
  <c r="U971" i="13" l="1"/>
  <c r="U971" i="10"/>
  <c r="U968" i="9"/>
  <c r="U967" i="7"/>
  <c r="U969" i="6"/>
  <c r="U968" i="3"/>
  <c r="U972" i="13" l="1"/>
  <c r="U972" i="10"/>
  <c r="U969" i="9"/>
  <c r="U968" i="7"/>
  <c r="U970" i="6"/>
  <c r="U969" i="3"/>
  <c r="U973" i="13" l="1"/>
  <c r="U973" i="10"/>
  <c r="U970" i="9"/>
  <c r="U969" i="7"/>
  <c r="U971" i="6"/>
  <c r="U970" i="3"/>
  <c r="U974" i="13" l="1"/>
  <c r="U974" i="10"/>
  <c r="U971" i="9"/>
  <c r="U970" i="7"/>
  <c r="U972" i="6"/>
  <c r="U971" i="3"/>
  <c r="U975" i="13" l="1"/>
  <c r="U975" i="10"/>
  <c r="U972" i="9"/>
  <c r="U971" i="7"/>
  <c r="U973" i="6"/>
  <c r="U972" i="3"/>
  <c r="U976" i="13" l="1"/>
  <c r="U976" i="10"/>
  <c r="U973" i="9"/>
  <c r="U972" i="7"/>
  <c r="U974" i="6"/>
  <c r="U973" i="3"/>
  <c r="U977" i="13" l="1"/>
  <c r="U977" i="10"/>
  <c r="U974" i="9"/>
  <c r="U973" i="7"/>
  <c r="U975" i="6"/>
  <c r="U974" i="3"/>
  <c r="U978" i="13" l="1"/>
  <c r="U978" i="10"/>
  <c r="U975" i="9"/>
  <c r="U974" i="7"/>
  <c r="U976" i="6"/>
  <c r="U975" i="3"/>
  <c r="U979" i="13" l="1"/>
  <c r="U979" i="10"/>
  <c r="U976" i="9"/>
  <c r="U975" i="7"/>
  <c r="U977" i="6"/>
  <c r="U976" i="3"/>
  <c r="U980" i="13" l="1"/>
  <c r="U980" i="10"/>
  <c r="U977" i="9"/>
  <c r="U976" i="7"/>
  <c r="U978" i="6"/>
  <c r="U977" i="3"/>
  <c r="U981" i="13" l="1"/>
  <c r="U981" i="10"/>
  <c r="U978" i="9"/>
  <c r="U977" i="7"/>
  <c r="U979" i="6"/>
  <c r="U978" i="3"/>
  <c r="U982" i="13" l="1"/>
  <c r="U982" i="10"/>
  <c r="U979" i="9"/>
  <c r="U978" i="7"/>
  <c r="U980" i="6"/>
  <c r="U979" i="3"/>
  <c r="U983" i="13" l="1"/>
  <c r="U983" i="10"/>
  <c r="U980" i="9"/>
  <c r="U979" i="7"/>
  <c r="U981" i="6"/>
  <c r="U980" i="3"/>
  <c r="U984" i="13" l="1"/>
  <c r="U984" i="10"/>
  <c r="U981" i="9"/>
  <c r="U980" i="7"/>
  <c r="U982" i="6"/>
  <c r="U981" i="3"/>
  <c r="U985" i="13" l="1"/>
  <c r="U985" i="10"/>
  <c r="U982" i="9"/>
  <c r="U981" i="7"/>
  <c r="U983" i="6"/>
  <c r="U982" i="3"/>
  <c r="U986" i="13" l="1"/>
  <c r="U986" i="10"/>
  <c r="U983" i="9"/>
  <c r="U982" i="7"/>
  <c r="U984" i="6"/>
  <c r="U983" i="3"/>
  <c r="U987" i="13" l="1"/>
  <c r="U987" i="10"/>
  <c r="U984" i="9"/>
  <c r="U983" i="7"/>
  <c r="U985" i="6"/>
  <c r="U984" i="3"/>
  <c r="U988" i="13" l="1"/>
  <c r="U988" i="10"/>
  <c r="U985" i="9"/>
  <c r="U984" i="7"/>
  <c r="U986" i="6"/>
  <c r="U985" i="3"/>
  <c r="U989" i="13" l="1"/>
  <c r="U989" i="10"/>
  <c r="U986" i="9"/>
  <c r="U985" i="7"/>
  <c r="U987" i="6"/>
  <c r="U986" i="3"/>
  <c r="U990" i="13" l="1"/>
  <c r="U990" i="10"/>
  <c r="U987" i="9"/>
  <c r="U986" i="7"/>
  <c r="U988" i="6"/>
  <c r="U987" i="3"/>
  <c r="U991" i="13" l="1"/>
  <c r="U991" i="10"/>
  <c r="U988" i="9"/>
  <c r="U987" i="7"/>
  <c r="U989" i="6"/>
  <c r="U988" i="3"/>
  <c r="U992" i="13" l="1"/>
  <c r="U992" i="10"/>
  <c r="U989" i="9"/>
  <c r="U988" i="7"/>
  <c r="U990" i="6"/>
  <c r="U989" i="3"/>
  <c r="U993" i="13" l="1"/>
  <c r="U993" i="10"/>
  <c r="U990" i="9"/>
  <c r="U989" i="7"/>
  <c r="U991" i="6"/>
  <c r="U990" i="3"/>
  <c r="U994" i="13" l="1"/>
  <c r="U994" i="10"/>
  <c r="U991" i="9"/>
  <c r="U990" i="7"/>
  <c r="U992" i="6"/>
  <c r="U991" i="3"/>
  <c r="U995" i="13" l="1"/>
  <c r="U995" i="10"/>
  <c r="U992" i="9"/>
  <c r="U991" i="7"/>
  <c r="U993" i="6"/>
  <c r="U992" i="3"/>
  <c r="U996" i="13" l="1"/>
  <c r="U996" i="10"/>
  <c r="U993" i="9"/>
  <c r="U992" i="7"/>
  <c r="U994" i="6"/>
  <c r="U993" i="3"/>
  <c r="U997" i="13" l="1"/>
  <c r="U997" i="10"/>
  <c r="U994" i="9"/>
  <c r="U993" i="7"/>
  <c r="U995" i="6"/>
  <c r="U994" i="3"/>
  <c r="U998" i="13" l="1"/>
  <c r="U998" i="10"/>
  <c r="U995" i="9"/>
  <c r="U994" i="7"/>
  <c r="U996" i="6"/>
  <c r="U995" i="3"/>
  <c r="U999" i="13" l="1"/>
  <c r="U999" i="10"/>
  <c r="U996" i="9"/>
  <c r="U995" i="7"/>
  <c r="U997" i="6"/>
  <c r="U996" i="3"/>
  <c r="U1000" i="13" l="1"/>
  <c r="U1000" i="10"/>
  <c r="U997" i="9"/>
  <c r="U996" i="7"/>
  <c r="U998" i="6"/>
  <c r="U997" i="3"/>
  <c r="U1001" i="13" l="1"/>
  <c r="U1001" i="10"/>
  <c r="U998" i="9"/>
  <c r="U997" i="7"/>
  <c r="U999" i="6"/>
  <c r="U998" i="3"/>
  <c r="U1002" i="13" l="1"/>
  <c r="U1002" i="10"/>
  <c r="U999" i="9"/>
  <c r="U998" i="7"/>
  <c r="U1000" i="6"/>
  <c r="U999" i="3"/>
  <c r="U1003" i="13" l="1"/>
  <c r="U1003" i="10"/>
  <c r="U1000" i="9"/>
  <c r="U999" i="7"/>
  <c r="U1001" i="6"/>
  <c r="U1000" i="3"/>
  <c r="U1004" i="13" l="1"/>
  <c r="U1004" i="10"/>
  <c r="U1001" i="9"/>
  <c r="U1000" i="7"/>
  <c r="U1002" i="6"/>
  <c r="U1001" i="3"/>
  <c r="U1005" i="13" l="1"/>
  <c r="U1005" i="10"/>
  <c r="U1002" i="9"/>
  <c r="U1001" i="7"/>
  <c r="U1003" i="6"/>
  <c r="U1002" i="3"/>
  <c r="U1006" i="13" l="1"/>
  <c r="U1006" i="10"/>
  <c r="U1003" i="9"/>
  <c r="U1002" i="7"/>
  <c r="U1004" i="6"/>
  <c r="U1003" i="3"/>
  <c r="U1007" i="13" l="1"/>
  <c r="U1007" i="10"/>
  <c r="U1004" i="9"/>
  <c r="U1003" i="7"/>
  <c r="U1005" i="6"/>
  <c r="U1004" i="3"/>
  <c r="U1008" i="13" l="1"/>
  <c r="U1008" i="10"/>
  <c r="U1005" i="9"/>
  <c r="U1004" i="7"/>
  <c r="U1006" i="6"/>
  <c r="U1005" i="3"/>
  <c r="U1009" i="13" l="1"/>
  <c r="U1009" i="10"/>
  <c r="U1006" i="9"/>
  <c r="U1005" i="7"/>
  <c r="U1007" i="6"/>
  <c r="U1006" i="3"/>
  <c r="U1010" i="13" l="1"/>
  <c r="U1010" i="10"/>
  <c r="U1007" i="9"/>
  <c r="U1006" i="7"/>
  <c r="U1008" i="6"/>
  <c r="U1007" i="3"/>
  <c r="U1011" i="13" l="1"/>
  <c r="U1011" i="10"/>
  <c r="U1008" i="9"/>
  <c r="U1007" i="7"/>
  <c r="U1009" i="6"/>
  <c r="U1008" i="3"/>
  <c r="U1012" i="13" l="1"/>
  <c r="U1012" i="10"/>
  <c r="U1009" i="9"/>
  <c r="U1008" i="7"/>
  <c r="U1010" i="6"/>
  <c r="U1009" i="3"/>
  <c r="U1013" i="13" l="1"/>
  <c r="U1013" i="10"/>
  <c r="U1010" i="9"/>
  <c r="U1009" i="7"/>
  <c r="U1011" i="6"/>
  <c r="U1010" i="3"/>
  <c r="U1014" i="13" l="1"/>
  <c r="U1014" i="10"/>
  <c r="U1011" i="9"/>
  <c r="U1010" i="7"/>
  <c r="U1012" i="6"/>
  <c r="U1011" i="3"/>
  <c r="U1015" i="13" l="1"/>
  <c r="U1015" i="10"/>
  <c r="U1012" i="9"/>
  <c r="U1011" i="7"/>
  <c r="U1013" i="6"/>
  <c r="U1012" i="3"/>
  <c r="U1016" i="13" l="1"/>
  <c r="U1016" i="10"/>
  <c r="U1013" i="9"/>
  <c r="U1012" i="7"/>
  <c r="U1014" i="6"/>
  <c r="U1013" i="3"/>
  <c r="U1017" i="13" l="1"/>
  <c r="U1017" i="10"/>
  <c r="U1014" i="9"/>
  <c r="U1013" i="7"/>
  <c r="U1015" i="6"/>
  <c r="U1014" i="3"/>
  <c r="U1018" i="13" l="1"/>
  <c r="U1018" i="10"/>
  <c r="U1015" i="9"/>
  <c r="U1014" i="7"/>
  <c r="U1016" i="6"/>
  <c r="U1015" i="3"/>
  <c r="U1019" i="13" l="1"/>
  <c r="U1019" i="10"/>
  <c r="U1016" i="9"/>
  <c r="U1015" i="7"/>
  <c r="U1017" i="6"/>
  <c r="U1016" i="3"/>
  <c r="U1020" i="13" l="1"/>
  <c r="U1020" i="10"/>
  <c r="U1017" i="9"/>
  <c r="U1016" i="7"/>
  <c r="U1018" i="6"/>
  <c r="U1017" i="3"/>
  <c r="U1021" i="13" l="1"/>
  <c r="U1021" i="10"/>
  <c r="U1018" i="9"/>
  <c r="U1017" i="7"/>
  <c r="U1019" i="6"/>
  <c r="U1018" i="3"/>
  <c r="U1022" i="13" l="1"/>
  <c r="U1022" i="10"/>
  <c r="U1019" i="9"/>
  <c r="U1018" i="7"/>
  <c r="U1020" i="6"/>
  <c r="U1019" i="3"/>
  <c r="U1023" i="13" l="1"/>
  <c r="U1023" i="10"/>
  <c r="U1020" i="9"/>
  <c r="U1019" i="7"/>
  <c r="U1021" i="6"/>
  <c r="U1020" i="3"/>
  <c r="U1024" i="13" l="1"/>
  <c r="U1024" i="10"/>
  <c r="U1021" i="9"/>
  <c r="U1020" i="7"/>
  <c r="U1022" i="6"/>
  <c r="U1021" i="3"/>
  <c r="U1025" i="13" l="1"/>
  <c r="U1025" i="10"/>
  <c r="U1022" i="9"/>
  <c r="U1021" i="7"/>
  <c r="U1023" i="6"/>
  <c r="U1022" i="3"/>
  <c r="U1026" i="13" l="1"/>
  <c r="U1026" i="10"/>
  <c r="U1023" i="9"/>
  <c r="U1022" i="7"/>
  <c r="U1024" i="6"/>
  <c r="U1023" i="3"/>
  <c r="U1027" i="13" l="1"/>
  <c r="U1027" i="10"/>
  <c r="U1024" i="9"/>
  <c r="U1023" i="7"/>
  <c r="U1025" i="6"/>
  <c r="U1024" i="3"/>
  <c r="U1028" i="13" l="1"/>
  <c r="U1028" i="10"/>
  <c r="U1025" i="9"/>
  <c r="U1024" i="7"/>
  <c r="U1026" i="6"/>
  <c r="U1025" i="3"/>
  <c r="U1029" i="13" l="1"/>
  <c r="U1029" i="10"/>
  <c r="U1026" i="9"/>
  <c r="U1025" i="7"/>
  <c r="U1027" i="6"/>
  <c r="U1026" i="3"/>
  <c r="U1030" i="13" l="1"/>
  <c r="U1030" i="10"/>
  <c r="U1027" i="9"/>
  <c r="U1026" i="7"/>
  <c r="U1028" i="6"/>
  <c r="U1027" i="3"/>
  <c r="U1031" i="13" l="1"/>
  <c r="U1031" i="10"/>
  <c r="U1028" i="9"/>
  <c r="U1027" i="7"/>
  <c r="U1029" i="6"/>
  <c r="U1028" i="3"/>
  <c r="U1032" i="13" l="1"/>
  <c r="U1032" i="10"/>
  <c r="U1029" i="9"/>
  <c r="U1028" i="7"/>
  <c r="U1030" i="6"/>
  <c r="U1029" i="3"/>
  <c r="U1033" i="10" l="1"/>
  <c r="U1030" i="9"/>
  <c r="U1029" i="7"/>
  <c r="U1031" i="6"/>
  <c r="U1030" i="3"/>
  <c r="U1034" i="10" l="1"/>
  <c r="U1031" i="9"/>
  <c r="U1030" i="7"/>
  <c r="U1032" i="6"/>
  <c r="U1032" i="3"/>
  <c r="U1031" i="3"/>
  <c r="U1032" i="9" l="1"/>
  <c r="U1033" i="9"/>
  <c r="U1031" i="7"/>
  <c r="U1032" i="7" l="1"/>
</calcChain>
</file>

<file path=xl/sharedStrings.xml><?xml version="1.0" encoding="utf-8"?>
<sst xmlns="http://schemas.openxmlformats.org/spreadsheetml/2006/main" count="250" uniqueCount="119">
  <si>
    <t>Definition</t>
  </si>
  <si>
    <t>Process / TO DO LIST</t>
  </si>
  <si>
    <t>TO DO LIST</t>
  </si>
  <si>
    <t>Comments</t>
  </si>
  <si>
    <t>•Long Call</t>
  </si>
  <si>
    <t>•Long Put</t>
  </si>
  <si>
    <t>•Covered Call</t>
  </si>
  <si>
    <t>•Bull Call Spread</t>
  </si>
  <si>
    <t>•Bear Put Spread</t>
  </si>
  <si>
    <t>•Long Straddle</t>
  </si>
  <si>
    <t>•Long Strangle</t>
  </si>
  <si>
    <t>Long Call</t>
  </si>
  <si>
    <t>Most Basic Option Strategy</t>
  </si>
  <si>
    <t>Gives us the right but not the obligation to buy the stock at a specified price before the expiration date.</t>
  </si>
  <si>
    <t>Bullish</t>
  </si>
  <si>
    <t>Risk</t>
  </si>
  <si>
    <t>ITM</t>
  </si>
  <si>
    <t>In the Money</t>
  </si>
  <si>
    <t>ATM</t>
  </si>
  <si>
    <t>stock = call strike price</t>
  </si>
  <si>
    <t xml:space="preserve">OTM </t>
  </si>
  <si>
    <t>Out of the Money</t>
  </si>
  <si>
    <t>At the Money</t>
  </si>
  <si>
    <t>stock &lt; call strike price</t>
  </si>
  <si>
    <t>For U.S. options contracts, one contract represents 100 shares. For a $5.00 call, you will have to pay $500.00 for one contract.</t>
  </si>
  <si>
    <t>Price at expiry</t>
  </si>
  <si>
    <t>Strike Price</t>
  </si>
  <si>
    <t>Breakeven</t>
  </si>
  <si>
    <t>Last at Expiry</t>
  </si>
  <si>
    <t>P&amp;L</t>
  </si>
  <si>
    <t>Direction</t>
  </si>
  <si>
    <t>Max Risk</t>
  </si>
  <si>
    <t>Limited</t>
  </si>
  <si>
    <t>Premium Paid</t>
  </si>
  <si>
    <t>Max Reward</t>
  </si>
  <si>
    <t>Reward</t>
  </si>
  <si>
    <t>Strike Price + Premium</t>
  </si>
  <si>
    <t>Unlimited</t>
  </si>
  <si>
    <t>Last - Strike Price - Premium</t>
  </si>
  <si>
    <t>Long Put</t>
  </si>
  <si>
    <t>Gives us the right but not the obligation to sell the stock at a specified price before the expiration date.</t>
  </si>
  <si>
    <t>Bearish</t>
  </si>
  <si>
    <t>Put Strike - Put Premium</t>
  </si>
  <si>
    <t>stock &lt; put strike price</t>
  </si>
  <si>
    <t>stock &gt; call strike price</t>
  </si>
  <si>
    <t>stock = put strike price</t>
  </si>
  <si>
    <t>stock &gt; put strike price</t>
  </si>
  <si>
    <t>Option Premium</t>
  </si>
  <si>
    <t>Covered Call</t>
  </si>
  <si>
    <t>We are long the stock and we write (sell) call options on the stock.</t>
  </si>
  <si>
    <t>Bullish - Neutral</t>
  </si>
  <si>
    <t>Most Basic Income Strategies.</t>
  </si>
  <si>
    <t>Stock Price Paid - Call Premium</t>
  </si>
  <si>
    <t>Call Strike - Stock Price Paid + Call Premium</t>
  </si>
  <si>
    <t>Stock price paid - Call Premium</t>
  </si>
  <si>
    <t>Call Strike Price</t>
  </si>
  <si>
    <t>Stock Price Paid</t>
  </si>
  <si>
    <t>Bull Call Spread</t>
  </si>
  <si>
    <t>Premium A - Premium B</t>
  </si>
  <si>
    <t>Reduce the cost and breakeven vs simple long call but we are reducing our upside.</t>
  </si>
  <si>
    <t>We buy a near the money call (A)and sell a higher strike call (B) with the same expiration.</t>
  </si>
  <si>
    <t>(Strike B - Strike A) - (Premium A - Premium B)</t>
  </si>
  <si>
    <t>Strike A + (premium A - Premium B)</t>
  </si>
  <si>
    <t>Strike A - (premium A - Premium B)</t>
  </si>
  <si>
    <t>Lower Call Strike Price - A</t>
  </si>
  <si>
    <t>Higher Call Strike Price - B</t>
  </si>
  <si>
    <t>Option Premium A</t>
  </si>
  <si>
    <t>Option Premium B</t>
  </si>
  <si>
    <t>We buy a near the money put (A)and sell a lower strike put (B) with the same expiration.</t>
  </si>
  <si>
    <t>Reduce the cost and breakeven vs simple long put but we are reducing our upside.</t>
  </si>
  <si>
    <t>(Strike A - Strike B) - (Premium A - Premium B)</t>
  </si>
  <si>
    <t>Put Strike Price - A</t>
  </si>
  <si>
    <t>Lower Put Strike Price - B</t>
  </si>
  <si>
    <t>https://www.optionsprofitcalculator.com/</t>
  </si>
  <si>
    <t>Long Straddle</t>
  </si>
  <si>
    <t>Neutral - Rising Volatility</t>
  </si>
  <si>
    <t>We are buying a call option A and a put option B on the same underlying asset with the same expiry and same strike price.</t>
  </si>
  <si>
    <t>Premium A + Premium B</t>
  </si>
  <si>
    <t>Breakeven (BE)</t>
  </si>
  <si>
    <t>Call Strike</t>
  </si>
  <si>
    <t>Put Strike</t>
  </si>
  <si>
    <t>Breakeven Lower</t>
  </si>
  <si>
    <t>Breakeven Upper</t>
  </si>
  <si>
    <t>The bet is on the rise of Volatility.</t>
  </si>
  <si>
    <t>BE Lower = Strike  - Premium A - Premium B BE Upper = Strike + Premium A +Premium B</t>
  </si>
  <si>
    <t>BE Lower = Strike B - Premium A - Premium B BE Upper = Strike A + Premium A +Premium B</t>
  </si>
  <si>
    <t>Long Stock + OTM Put</t>
  </si>
  <si>
    <t>Last - Stock Price Paid - Option Premium</t>
  </si>
  <si>
    <t>Stock Price Paid - Strike Option - Option Premium</t>
  </si>
  <si>
    <t>Stock Price Paid + Option Premium</t>
  </si>
  <si>
    <t>Betting on stock going up but with downside protection in case of big move down or gap.</t>
  </si>
  <si>
    <t>Bullish. Max Loss = Premium.</t>
  </si>
  <si>
    <t>Bearish. Max Loss = Premium.</t>
  </si>
  <si>
    <t>Bullish. Max loss = Premium. Expecting limited upside from underlying.</t>
  </si>
  <si>
    <t>Bearish. Max loss = Premium. Expecting limited downside from underlying.</t>
  </si>
  <si>
    <t>Higher Volatility. Needs big move.</t>
  </si>
  <si>
    <t>•Long Stock + OTM put</t>
  </si>
  <si>
    <t>•Short Stock + OTM call</t>
  </si>
  <si>
    <t>Short Stock + OTM Call</t>
  </si>
  <si>
    <t>Stock Price Sold - Option Premium</t>
  </si>
  <si>
    <t>Strike Option - Stock Price Sold - Option Premium</t>
  </si>
  <si>
    <t>Stock Price Sold</t>
  </si>
  <si>
    <t>Betting on stock going down but with upside protection in case of big move up or gap.</t>
  </si>
  <si>
    <t>We are shorting the stock and buying an OTM put</t>
  </si>
  <si>
    <t>We are buying the stock and buying an OTM put</t>
  </si>
  <si>
    <t>"Limited" to Stock going to 0</t>
  </si>
  <si>
    <t>https://www.youtube.com/watch?v=HZ4ihoF5DE0&amp;t=22s</t>
  </si>
  <si>
    <t>Bullish stock + hedging against downside gap.</t>
  </si>
  <si>
    <t>Bearick stock + hedging against upside gap.</t>
  </si>
  <si>
    <t>Bullish. Expecting limited upside by collecting premium for higher return. Downside is stock going to 0.</t>
  </si>
  <si>
    <t>For Payoffs:</t>
  </si>
  <si>
    <t>Options Payoff</t>
  </si>
  <si>
    <t xml:space="preserve">* cells </t>
  </si>
  <si>
    <t>Cells to fill.</t>
  </si>
  <si>
    <t>Bear Put Spread</t>
  </si>
  <si>
    <t>Long Strangle</t>
  </si>
  <si>
    <t>We are buying a OTM call option A and Buying a OTM put option B on the same underlying asset with the same expiry.</t>
  </si>
  <si>
    <t>For execution, use a limit order as the bid-offer might be too wide. Watch:</t>
  </si>
  <si>
    <t xml:space="preserve">Increase return and/or reduce entry cost Vs Capping potential upside.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</si>
</sst>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494444"/>
      <name val="Calibri"/>
      <family val="2"/>
      <scheme val="minor"/>
    </font>
    <font>
      <sz val="11"/>
      <color rgb="FF494444"/>
      <name val="Arial"/>
      <family val="2"/>
    </font>
    <font>
      <b/>
      <sz val="11"/>
      <color rgb="FF00B0F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B0F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55">
    <xf numFmtId="0" fontId="0" fillId="0" borderId="0" xfId="0"/>
    <xf numFmtId="0" fontId="0" fillId="2" borderId="0" xfId="0" applyFill="1"/>
    <xf numFmtId="0" fontId="4" fillId="0" borderId="0" xfId="0" applyFont="1"/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/>
    </xf>
    <xf numFmtId="0" fontId="0" fillId="2" borderId="8" xfId="0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0" fillId="2" borderId="13" xfId="0" applyFill="1" applyBorder="1" applyAlignment="1">
      <alignment horizontal="center" wrapText="1"/>
    </xf>
    <xf numFmtId="0" fontId="0" fillId="2" borderId="14" xfId="0" applyFill="1" applyBorder="1" applyAlignment="1">
      <alignment horizontal="center" wrapText="1"/>
    </xf>
    <xf numFmtId="0" fontId="6" fillId="2" borderId="12" xfId="0" applyFont="1" applyFill="1" applyBorder="1" applyAlignment="1">
      <alignment horizontal="center" wrapText="1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7" fillId="2" borderId="0" xfId="0" applyFont="1" applyFill="1"/>
    <xf numFmtId="0" fontId="5" fillId="2" borderId="11" xfId="0" applyFont="1" applyFill="1" applyBorder="1" applyAlignment="1">
      <alignment horizontal="center"/>
    </xf>
    <xf numFmtId="0" fontId="5" fillId="2" borderId="16" xfId="0" applyFont="1" applyFill="1" applyBorder="1" applyAlignment="1">
      <alignment horizontal="center"/>
    </xf>
    <xf numFmtId="0" fontId="2" fillId="2" borderId="15" xfId="0" applyFont="1" applyFill="1" applyBorder="1"/>
    <xf numFmtId="0" fontId="2" fillId="2" borderId="16" xfId="0" applyFont="1" applyFill="1" applyBorder="1" applyAlignment="1">
      <alignment horizontal="center"/>
    </xf>
    <xf numFmtId="0" fontId="2" fillId="2" borderId="12" xfId="0" applyFont="1" applyFill="1" applyBorder="1"/>
    <xf numFmtId="0" fontId="2" fillId="2" borderId="14" xfId="0" applyFont="1" applyFill="1" applyBorder="1" applyAlignment="1">
      <alignment horizontal="center"/>
    </xf>
    <xf numFmtId="0" fontId="9" fillId="2" borderId="12" xfId="0" applyFont="1" applyFill="1" applyBorder="1" applyAlignment="1">
      <alignment horizontal="center" wrapText="1"/>
    </xf>
    <xf numFmtId="0" fontId="8" fillId="2" borderId="0" xfId="0" applyFont="1" applyFill="1" applyBorder="1"/>
    <xf numFmtId="0" fontId="2" fillId="2" borderId="15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10" fillId="2" borderId="11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0" fontId="2" fillId="2" borderId="18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 wrapText="1"/>
    </xf>
    <xf numFmtId="0" fontId="5" fillId="2" borderId="0" xfId="0" applyFont="1" applyFill="1"/>
    <xf numFmtId="0" fontId="2" fillId="2" borderId="9" xfId="0" applyFont="1" applyFill="1" applyBorder="1"/>
    <xf numFmtId="2" fontId="0" fillId="2" borderId="0" xfId="0" applyNumberFormat="1" applyFill="1"/>
    <xf numFmtId="0" fontId="2" fillId="2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11" fillId="2" borderId="0" xfId="1" applyFill="1" applyAlignment="1">
      <alignment wrapText="1"/>
    </xf>
    <xf numFmtId="0" fontId="0" fillId="2" borderId="0" xfId="0" applyFill="1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/>
    <xf numFmtId="0" fontId="2" fillId="2" borderId="0" xfId="0" applyFont="1" applyFill="1"/>
  </cellXfs>
  <cellStyles count="2">
    <cellStyle name="Hyperlink" xfId="1" builtinId="8"/>
    <cellStyle name="Normal" xfId="0" builtinId="0"/>
  </cellStyles>
  <dxfs count="38"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Long Call Option: Payoff at Expiration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'Long Call'!$S$17:$S$146</c:f>
              <c:numCache>
                <c:formatCode>0.00</c:formatCode>
                <c:ptCount val="130"/>
                <c:pt idx="0">
                  <c:v>63</c:v>
                </c:pt>
                <c:pt idx="1">
                  <c:v>63.63</c:v>
                </c:pt>
                <c:pt idx="2">
                  <c:v>64.266300000000001</c:v>
                </c:pt>
                <c:pt idx="3">
                  <c:v>64.908963</c:v>
                </c:pt>
                <c:pt idx="4">
                  <c:v>65.558052630000006</c:v>
                </c:pt>
                <c:pt idx="5">
                  <c:v>66.213633156300006</c:v>
                </c:pt>
                <c:pt idx="6">
                  <c:v>66.87576948786301</c:v>
                </c:pt>
                <c:pt idx="7">
                  <c:v>67.544527182741646</c:v>
                </c:pt>
                <c:pt idx="8">
                  <c:v>68.21997245456906</c:v>
                </c:pt>
                <c:pt idx="9">
                  <c:v>68.902172179114757</c:v>
                </c:pt>
                <c:pt idx="10">
                  <c:v>69.591193900905907</c:v>
                </c:pt>
                <c:pt idx="11">
                  <c:v>70.287105839914972</c:v>
                </c:pt>
                <c:pt idx="12">
                  <c:v>70.989976898314126</c:v>
                </c:pt>
                <c:pt idx="13">
                  <c:v>71.699876667297261</c:v>
                </c:pt>
                <c:pt idx="14">
                  <c:v>72.416875433970233</c:v>
                </c:pt>
                <c:pt idx="15">
                  <c:v>73.141044188309934</c:v>
                </c:pt>
                <c:pt idx="16">
                  <c:v>73.872454630193033</c:v>
                </c:pt>
                <c:pt idx="17">
                  <c:v>74.611179176494957</c:v>
                </c:pt>
                <c:pt idx="18">
                  <c:v>75.357290968259903</c:v>
                </c:pt>
                <c:pt idx="19">
                  <c:v>76.110863877942506</c:v>
                </c:pt>
                <c:pt idx="20">
                  <c:v>76.871972516721925</c:v>
                </c:pt>
                <c:pt idx="21">
                  <c:v>77.640692241889141</c:v>
                </c:pt>
                <c:pt idx="22">
                  <c:v>78.417099164308027</c:v>
                </c:pt>
                <c:pt idx="23">
                  <c:v>79.201270155951107</c:v>
                </c:pt>
                <c:pt idx="24">
                  <c:v>79.993282857510621</c:v>
                </c:pt>
                <c:pt idx="25">
                  <c:v>80.79321568608573</c:v>
                </c:pt>
                <c:pt idx="26">
                  <c:v>81.601147842946588</c:v>
                </c:pt>
                <c:pt idx="27">
                  <c:v>82.417159321376062</c:v>
                </c:pt>
                <c:pt idx="28">
                  <c:v>83.241330914589824</c:v>
                </c:pt>
                <c:pt idx="29">
                  <c:v>84.07374422373573</c:v>
                </c:pt>
                <c:pt idx="30">
                  <c:v>84.914481665973085</c:v>
                </c:pt>
                <c:pt idx="31">
                  <c:v>85.763626482632816</c:v>
                </c:pt>
                <c:pt idx="32">
                  <c:v>86.621262747459141</c:v>
                </c:pt>
                <c:pt idx="33">
                  <c:v>87.487475374933737</c:v>
                </c:pt>
                <c:pt idx="34">
                  <c:v>88.362350128683076</c:v>
                </c:pt>
                <c:pt idx="35">
                  <c:v>89.24597362996991</c:v>
                </c:pt>
                <c:pt idx="36">
                  <c:v>90.138433366269609</c:v>
                </c:pt>
                <c:pt idx="37">
                  <c:v>91.0398176999323</c:v>
                </c:pt>
                <c:pt idx="38">
                  <c:v>91.950215876931622</c:v>
                </c:pt>
                <c:pt idx="39">
                  <c:v>92.869718035700942</c:v>
                </c:pt>
                <c:pt idx="40">
                  <c:v>93.798415216057947</c:v>
                </c:pt>
                <c:pt idx="41">
                  <c:v>94.736399368218528</c:v>
                </c:pt>
                <c:pt idx="42">
                  <c:v>95.683763361900716</c:v>
                </c:pt>
                <c:pt idx="43">
                  <c:v>96.640600995519719</c:v>
                </c:pt>
                <c:pt idx="44">
                  <c:v>97.607007005474912</c:v>
                </c:pt>
                <c:pt idx="45">
                  <c:v>98.583077075529658</c:v>
                </c:pt>
                <c:pt idx="46">
                  <c:v>99.568907846284958</c:v>
                </c:pt>
                <c:pt idx="47">
                  <c:v>100.5645969247478</c:v>
                </c:pt>
                <c:pt idx="48">
                  <c:v>101.57024289399529</c:v>
                </c:pt>
                <c:pt idx="49">
                  <c:v>102.58594532293525</c:v>
                </c:pt>
                <c:pt idx="50">
                  <c:v>103.6118047761646</c:v>
                </c:pt>
                <c:pt idx="51">
                  <c:v>104.64792282392625</c:v>
                </c:pt>
                <c:pt idx="52">
                  <c:v>105.69440205216551</c:v>
                </c:pt>
                <c:pt idx="53">
                  <c:v>106.75134607268717</c:v>
                </c:pt>
                <c:pt idx="54">
                  <c:v>107.81885953341404</c:v>
                </c:pt>
                <c:pt idx="55">
                  <c:v>108.89704812874818</c:v>
                </c:pt>
                <c:pt idx="56">
                  <c:v>109.98601861003567</c:v>
                </c:pt>
                <c:pt idx="57">
                  <c:v>111.08587879613603</c:v>
                </c:pt>
                <c:pt idx="58">
                  <c:v>112.19673758409739</c:v>
                </c:pt>
                <c:pt idx="59">
                  <c:v>113.31870495993837</c:v>
                </c:pt>
                <c:pt idx="60">
                  <c:v>114.45189200953776</c:v>
                </c:pt>
                <c:pt idx="61">
                  <c:v>115.59641092963314</c:v>
                </c:pt>
                <c:pt idx="62">
                  <c:v>116.75237503892947</c:v>
                </c:pt>
                <c:pt idx="63">
                  <c:v>117.91989878931876</c:v>
                </c:pt>
                <c:pt idx="64">
                  <c:v>119.09909777721195</c:v>
                </c:pt>
                <c:pt idx="65">
                  <c:v>120.29008875498407</c:v>
                </c:pt>
                <c:pt idx="66">
                  <c:v>121.49298964253391</c:v>
                </c:pt>
                <c:pt idx="67">
                  <c:v>122.70791953895926</c:v>
                </c:pt>
                <c:pt idx="68">
                  <c:v>123.93499873434885</c:v>
                </c:pt>
                <c:pt idx="69">
                  <c:v>125.17434872169234</c:v>
                </c:pt>
                <c:pt idx="70">
                  <c:v>126.42609220890927</c:v>
                </c:pt>
                <c:pt idx="71">
                  <c:v>127.69035313099836</c:v>
                </c:pt>
                <c:pt idx="72">
                  <c:v>128.96725666230836</c:v>
                </c:pt>
                <c:pt idx="73">
                  <c:v>130.25692922893145</c:v>
                </c:pt>
                <c:pt idx="74">
                  <c:v>131.55949852122077</c:v>
                </c:pt>
                <c:pt idx="75">
                  <c:v>132.87509350643299</c:v>
                </c:pt>
                <c:pt idx="76">
                  <c:v>134.20384444149732</c:v>
                </c:pt>
                <c:pt idx="77">
                  <c:v>135.54588288591231</c:v>
                </c:pt>
                <c:pt idx="78">
                  <c:v>136.90134171477143</c:v>
                </c:pt>
                <c:pt idx="79">
                  <c:v>138.27035513191916</c:v>
                </c:pt>
                <c:pt idx="80">
                  <c:v>139.65305868323836</c:v>
                </c:pt>
                <c:pt idx="81">
                  <c:v>141.04958927007075</c:v>
                </c:pt>
                <c:pt idx="82">
                  <c:v>142.46008516277146</c:v>
                </c:pt>
                <c:pt idx="83">
                  <c:v>143.88468601439919</c:v>
                </c:pt>
                <c:pt idx="84">
                  <c:v>145.32353287454319</c:v>
                </c:pt>
                <c:pt idx="85">
                  <c:v>146.77676820328861</c:v>
                </c:pt>
                <c:pt idx="86">
                  <c:v>148.24453588532151</c:v>
                </c:pt>
                <c:pt idx="87">
                  <c:v>149.72698124417474</c:v>
                </c:pt>
                <c:pt idx="88">
                  <c:v>151.22425105661648</c:v>
                </c:pt>
                <c:pt idx="89">
                  <c:v>152.73649356718263</c:v>
                </c:pt>
                <c:pt idx="90">
                  <c:v>154.26385850285448</c:v>
                </c:pt>
                <c:pt idx="91">
                  <c:v>155.80649708788303</c:v>
                </c:pt>
                <c:pt idx="92">
                  <c:v>157.36456205876186</c:v>
                </c:pt>
                <c:pt idx="93">
                  <c:v>158.93820767934949</c:v>
                </c:pt>
                <c:pt idx="94">
                  <c:v>160.52758975614299</c:v>
                </c:pt>
                <c:pt idx="95">
                  <c:v>162.13286565370441</c:v>
                </c:pt>
                <c:pt idx="96">
                  <c:v>163.75419431024147</c:v>
                </c:pt>
                <c:pt idx="97">
                  <c:v>165.39173625334388</c:v>
                </c:pt>
                <c:pt idx="98">
                  <c:v>167.04565361587731</c:v>
                </c:pt>
                <c:pt idx="99">
                  <c:v>168.71611015203609</c:v>
                </c:pt>
                <c:pt idx="100">
                  <c:v>170.40327125355645</c:v>
                </c:pt>
                <c:pt idx="101">
                  <c:v>172.10730396609202</c:v>
                </c:pt>
                <c:pt idx="102">
                  <c:v>173.82837700575294</c:v>
                </c:pt>
                <c:pt idx="103">
                  <c:v>175.56666077581048</c:v>
                </c:pt>
                <c:pt idx="104">
                  <c:v>177.32232738356859</c:v>
                </c:pt>
                <c:pt idx="105">
                  <c:v>179.09555065740429</c:v>
                </c:pt>
                <c:pt idx="106">
                  <c:v>180.88650616397834</c:v>
                </c:pt>
                <c:pt idx="107">
                  <c:v>182.69537122561812</c:v>
                </c:pt>
                <c:pt idx="108">
                  <c:v>184.52232493787429</c:v>
                </c:pt>
                <c:pt idx="109">
                  <c:v>186.36754818725302</c:v>
                </c:pt>
                <c:pt idx="110">
                  <c:v>188.23122366912554</c:v>
                </c:pt>
                <c:pt idx="111">
                  <c:v>190.1135359058168</c:v>
                </c:pt>
                <c:pt idx="112">
                  <c:v>192.01467126487498</c:v>
                </c:pt>
                <c:pt idx="113">
                  <c:v>193.93481797752372</c:v>
                </c:pt>
                <c:pt idx="114">
                  <c:v>195.87416615729896</c:v>
                </c:pt>
                <c:pt idx="115">
                  <c:v>197.83290781887194</c:v>
                </c:pt>
                <c:pt idx="116">
                  <c:v>199.81123689706067</c:v>
                </c:pt>
                <c:pt idx="117">
                  <c:v>201.80934926603126</c:v>
                </c:pt>
                <c:pt idx="118">
                  <c:v>203.82744275869157</c:v>
                </c:pt>
                <c:pt idx="119">
                  <c:v>205.86571718627849</c:v>
                </c:pt>
                <c:pt idx="120">
                  <c:v>207.92437435814128</c:v>
                </c:pt>
                <c:pt idx="121">
                  <c:v>210.00361810172268</c:v>
                </c:pt>
                <c:pt idx="122">
                  <c:v>212.10365428273991</c:v>
                </c:pt>
                <c:pt idx="123">
                  <c:v>214.22469082556731</c:v>
                </c:pt>
                <c:pt idx="124">
                  <c:v>216.36693773382299</c:v>
                </c:pt>
                <c:pt idx="125">
                  <c:v>218.53060711116123</c:v>
                </c:pt>
                <c:pt idx="126">
                  <c:v>220.71591318227286</c:v>
                </c:pt>
                <c:pt idx="127">
                  <c:v>222.92307231409558</c:v>
                </c:pt>
                <c:pt idx="128">
                  <c:v>225.15230303723652</c:v>
                </c:pt>
                <c:pt idx="129">
                  <c:v>227.40382606760889</c:v>
                </c:pt>
              </c:numCache>
            </c:numRef>
          </c:cat>
          <c:val>
            <c:numRef>
              <c:f>'Long Call'!$T$17:$T$146</c:f>
              <c:numCache>
                <c:formatCode>General</c:formatCode>
                <c:ptCount val="1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A2-4F2B-AE11-7AD0466F250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'Long Call'!$S$17:$S$146</c:f>
              <c:numCache>
                <c:formatCode>0.00</c:formatCode>
                <c:ptCount val="130"/>
                <c:pt idx="0">
                  <c:v>63</c:v>
                </c:pt>
                <c:pt idx="1">
                  <c:v>63.63</c:v>
                </c:pt>
                <c:pt idx="2">
                  <c:v>64.266300000000001</c:v>
                </c:pt>
                <c:pt idx="3">
                  <c:v>64.908963</c:v>
                </c:pt>
                <c:pt idx="4">
                  <c:v>65.558052630000006</c:v>
                </c:pt>
                <c:pt idx="5">
                  <c:v>66.213633156300006</c:v>
                </c:pt>
                <c:pt idx="6">
                  <c:v>66.87576948786301</c:v>
                </c:pt>
                <c:pt idx="7">
                  <c:v>67.544527182741646</c:v>
                </c:pt>
                <c:pt idx="8">
                  <c:v>68.21997245456906</c:v>
                </c:pt>
                <c:pt idx="9">
                  <c:v>68.902172179114757</c:v>
                </c:pt>
                <c:pt idx="10">
                  <c:v>69.591193900905907</c:v>
                </c:pt>
                <c:pt idx="11">
                  <c:v>70.287105839914972</c:v>
                </c:pt>
                <c:pt idx="12">
                  <c:v>70.989976898314126</c:v>
                </c:pt>
                <c:pt idx="13">
                  <c:v>71.699876667297261</c:v>
                </c:pt>
                <c:pt idx="14">
                  <c:v>72.416875433970233</c:v>
                </c:pt>
                <c:pt idx="15">
                  <c:v>73.141044188309934</c:v>
                </c:pt>
                <c:pt idx="16">
                  <c:v>73.872454630193033</c:v>
                </c:pt>
                <c:pt idx="17">
                  <c:v>74.611179176494957</c:v>
                </c:pt>
                <c:pt idx="18">
                  <c:v>75.357290968259903</c:v>
                </c:pt>
                <c:pt idx="19">
                  <c:v>76.110863877942506</c:v>
                </c:pt>
                <c:pt idx="20">
                  <c:v>76.871972516721925</c:v>
                </c:pt>
                <c:pt idx="21">
                  <c:v>77.640692241889141</c:v>
                </c:pt>
                <c:pt idx="22">
                  <c:v>78.417099164308027</c:v>
                </c:pt>
                <c:pt idx="23">
                  <c:v>79.201270155951107</c:v>
                </c:pt>
                <c:pt idx="24">
                  <c:v>79.993282857510621</c:v>
                </c:pt>
                <c:pt idx="25">
                  <c:v>80.79321568608573</c:v>
                </c:pt>
                <c:pt idx="26">
                  <c:v>81.601147842946588</c:v>
                </c:pt>
                <c:pt idx="27">
                  <c:v>82.417159321376062</c:v>
                </c:pt>
                <c:pt idx="28">
                  <c:v>83.241330914589824</c:v>
                </c:pt>
                <c:pt idx="29">
                  <c:v>84.07374422373573</c:v>
                </c:pt>
                <c:pt idx="30">
                  <c:v>84.914481665973085</c:v>
                </c:pt>
                <c:pt idx="31">
                  <c:v>85.763626482632816</c:v>
                </c:pt>
                <c:pt idx="32">
                  <c:v>86.621262747459141</c:v>
                </c:pt>
                <c:pt idx="33">
                  <c:v>87.487475374933737</c:v>
                </c:pt>
                <c:pt idx="34">
                  <c:v>88.362350128683076</c:v>
                </c:pt>
                <c:pt idx="35">
                  <c:v>89.24597362996991</c:v>
                </c:pt>
                <c:pt idx="36">
                  <c:v>90.138433366269609</c:v>
                </c:pt>
                <c:pt idx="37">
                  <c:v>91.0398176999323</c:v>
                </c:pt>
                <c:pt idx="38">
                  <c:v>91.950215876931622</c:v>
                </c:pt>
                <c:pt idx="39">
                  <c:v>92.869718035700942</c:v>
                </c:pt>
                <c:pt idx="40">
                  <c:v>93.798415216057947</c:v>
                </c:pt>
                <c:pt idx="41">
                  <c:v>94.736399368218528</c:v>
                </c:pt>
                <c:pt idx="42">
                  <c:v>95.683763361900716</c:v>
                </c:pt>
                <c:pt idx="43">
                  <c:v>96.640600995519719</c:v>
                </c:pt>
                <c:pt idx="44">
                  <c:v>97.607007005474912</c:v>
                </c:pt>
                <c:pt idx="45">
                  <c:v>98.583077075529658</c:v>
                </c:pt>
                <c:pt idx="46">
                  <c:v>99.568907846284958</c:v>
                </c:pt>
                <c:pt idx="47">
                  <c:v>100.5645969247478</c:v>
                </c:pt>
                <c:pt idx="48">
                  <c:v>101.57024289399529</c:v>
                </c:pt>
                <c:pt idx="49">
                  <c:v>102.58594532293525</c:v>
                </c:pt>
                <c:pt idx="50">
                  <c:v>103.6118047761646</c:v>
                </c:pt>
                <c:pt idx="51">
                  <c:v>104.64792282392625</c:v>
                </c:pt>
                <c:pt idx="52">
                  <c:v>105.69440205216551</c:v>
                </c:pt>
                <c:pt idx="53">
                  <c:v>106.75134607268717</c:v>
                </c:pt>
                <c:pt idx="54">
                  <c:v>107.81885953341404</c:v>
                </c:pt>
                <c:pt idx="55">
                  <c:v>108.89704812874818</c:v>
                </c:pt>
                <c:pt idx="56">
                  <c:v>109.98601861003567</c:v>
                </c:pt>
                <c:pt idx="57">
                  <c:v>111.08587879613603</c:v>
                </c:pt>
                <c:pt idx="58">
                  <c:v>112.19673758409739</c:v>
                </c:pt>
                <c:pt idx="59">
                  <c:v>113.31870495993837</c:v>
                </c:pt>
                <c:pt idx="60">
                  <c:v>114.45189200953776</c:v>
                </c:pt>
                <c:pt idx="61">
                  <c:v>115.59641092963314</c:v>
                </c:pt>
                <c:pt idx="62">
                  <c:v>116.75237503892947</c:v>
                </c:pt>
                <c:pt idx="63">
                  <c:v>117.91989878931876</c:v>
                </c:pt>
                <c:pt idx="64">
                  <c:v>119.09909777721195</c:v>
                </c:pt>
                <c:pt idx="65">
                  <c:v>120.29008875498407</c:v>
                </c:pt>
                <c:pt idx="66">
                  <c:v>121.49298964253391</c:v>
                </c:pt>
                <c:pt idx="67">
                  <c:v>122.70791953895926</c:v>
                </c:pt>
                <c:pt idx="68">
                  <c:v>123.93499873434885</c:v>
                </c:pt>
                <c:pt idx="69">
                  <c:v>125.17434872169234</c:v>
                </c:pt>
                <c:pt idx="70">
                  <c:v>126.42609220890927</c:v>
                </c:pt>
                <c:pt idx="71">
                  <c:v>127.69035313099836</c:v>
                </c:pt>
                <c:pt idx="72">
                  <c:v>128.96725666230836</c:v>
                </c:pt>
                <c:pt idx="73">
                  <c:v>130.25692922893145</c:v>
                </c:pt>
                <c:pt idx="74">
                  <c:v>131.55949852122077</c:v>
                </c:pt>
                <c:pt idx="75">
                  <c:v>132.87509350643299</c:v>
                </c:pt>
                <c:pt idx="76">
                  <c:v>134.20384444149732</c:v>
                </c:pt>
                <c:pt idx="77">
                  <c:v>135.54588288591231</c:v>
                </c:pt>
                <c:pt idx="78">
                  <c:v>136.90134171477143</c:v>
                </c:pt>
                <c:pt idx="79">
                  <c:v>138.27035513191916</c:v>
                </c:pt>
                <c:pt idx="80">
                  <c:v>139.65305868323836</c:v>
                </c:pt>
                <c:pt idx="81">
                  <c:v>141.04958927007075</c:v>
                </c:pt>
                <c:pt idx="82">
                  <c:v>142.46008516277146</c:v>
                </c:pt>
                <c:pt idx="83">
                  <c:v>143.88468601439919</c:v>
                </c:pt>
                <c:pt idx="84">
                  <c:v>145.32353287454319</c:v>
                </c:pt>
                <c:pt idx="85">
                  <c:v>146.77676820328861</c:v>
                </c:pt>
                <c:pt idx="86">
                  <c:v>148.24453588532151</c:v>
                </c:pt>
                <c:pt idx="87">
                  <c:v>149.72698124417474</c:v>
                </c:pt>
                <c:pt idx="88">
                  <c:v>151.22425105661648</c:v>
                </c:pt>
                <c:pt idx="89">
                  <c:v>152.73649356718263</c:v>
                </c:pt>
                <c:pt idx="90">
                  <c:v>154.26385850285448</c:v>
                </c:pt>
                <c:pt idx="91">
                  <c:v>155.80649708788303</c:v>
                </c:pt>
                <c:pt idx="92">
                  <c:v>157.36456205876186</c:v>
                </c:pt>
                <c:pt idx="93">
                  <c:v>158.93820767934949</c:v>
                </c:pt>
                <c:pt idx="94">
                  <c:v>160.52758975614299</c:v>
                </c:pt>
                <c:pt idx="95">
                  <c:v>162.13286565370441</c:v>
                </c:pt>
                <c:pt idx="96">
                  <c:v>163.75419431024147</c:v>
                </c:pt>
                <c:pt idx="97">
                  <c:v>165.39173625334388</c:v>
                </c:pt>
                <c:pt idx="98">
                  <c:v>167.04565361587731</c:v>
                </c:pt>
                <c:pt idx="99">
                  <c:v>168.71611015203609</c:v>
                </c:pt>
                <c:pt idx="100">
                  <c:v>170.40327125355645</c:v>
                </c:pt>
                <c:pt idx="101">
                  <c:v>172.10730396609202</c:v>
                </c:pt>
                <c:pt idx="102">
                  <c:v>173.82837700575294</c:v>
                </c:pt>
                <c:pt idx="103">
                  <c:v>175.56666077581048</c:v>
                </c:pt>
                <c:pt idx="104">
                  <c:v>177.32232738356859</c:v>
                </c:pt>
                <c:pt idx="105">
                  <c:v>179.09555065740429</c:v>
                </c:pt>
                <c:pt idx="106">
                  <c:v>180.88650616397834</c:v>
                </c:pt>
                <c:pt idx="107">
                  <c:v>182.69537122561812</c:v>
                </c:pt>
                <c:pt idx="108">
                  <c:v>184.52232493787429</c:v>
                </c:pt>
                <c:pt idx="109">
                  <c:v>186.36754818725302</c:v>
                </c:pt>
                <c:pt idx="110">
                  <c:v>188.23122366912554</c:v>
                </c:pt>
                <c:pt idx="111">
                  <c:v>190.1135359058168</c:v>
                </c:pt>
                <c:pt idx="112">
                  <c:v>192.01467126487498</c:v>
                </c:pt>
                <c:pt idx="113">
                  <c:v>193.93481797752372</c:v>
                </c:pt>
                <c:pt idx="114">
                  <c:v>195.87416615729896</c:v>
                </c:pt>
                <c:pt idx="115">
                  <c:v>197.83290781887194</c:v>
                </c:pt>
                <c:pt idx="116">
                  <c:v>199.81123689706067</c:v>
                </c:pt>
                <c:pt idx="117">
                  <c:v>201.80934926603126</c:v>
                </c:pt>
                <c:pt idx="118">
                  <c:v>203.82744275869157</c:v>
                </c:pt>
                <c:pt idx="119">
                  <c:v>205.86571718627849</c:v>
                </c:pt>
                <c:pt idx="120">
                  <c:v>207.92437435814128</c:v>
                </c:pt>
                <c:pt idx="121">
                  <c:v>210.00361810172268</c:v>
                </c:pt>
                <c:pt idx="122">
                  <c:v>212.10365428273991</c:v>
                </c:pt>
                <c:pt idx="123">
                  <c:v>214.22469082556731</c:v>
                </c:pt>
                <c:pt idx="124">
                  <c:v>216.36693773382299</c:v>
                </c:pt>
                <c:pt idx="125">
                  <c:v>218.53060711116123</c:v>
                </c:pt>
                <c:pt idx="126">
                  <c:v>220.71591318227286</c:v>
                </c:pt>
                <c:pt idx="127">
                  <c:v>222.92307231409558</c:v>
                </c:pt>
                <c:pt idx="128">
                  <c:v>225.15230303723652</c:v>
                </c:pt>
                <c:pt idx="129">
                  <c:v>227.40382606760889</c:v>
                </c:pt>
              </c:numCache>
            </c:numRef>
          </c:cat>
          <c:val>
            <c:numRef>
              <c:f>'Long Call'!$U$17:$U$146</c:f>
              <c:numCache>
                <c:formatCode>General</c:formatCode>
                <c:ptCount val="130"/>
                <c:pt idx="0">
                  <c:v>-5</c:v>
                </c:pt>
                <c:pt idx="1">
                  <c:v>-5</c:v>
                </c:pt>
                <c:pt idx="2">
                  <c:v>-5</c:v>
                </c:pt>
                <c:pt idx="3">
                  <c:v>-5</c:v>
                </c:pt>
                <c:pt idx="4">
                  <c:v>-5</c:v>
                </c:pt>
                <c:pt idx="5">
                  <c:v>-5</c:v>
                </c:pt>
                <c:pt idx="6">
                  <c:v>-5</c:v>
                </c:pt>
                <c:pt idx="7">
                  <c:v>-5</c:v>
                </c:pt>
                <c:pt idx="8">
                  <c:v>-5</c:v>
                </c:pt>
                <c:pt idx="9">
                  <c:v>-5</c:v>
                </c:pt>
                <c:pt idx="10">
                  <c:v>-5</c:v>
                </c:pt>
                <c:pt idx="11">
                  <c:v>-5</c:v>
                </c:pt>
                <c:pt idx="12">
                  <c:v>-5</c:v>
                </c:pt>
                <c:pt idx="13">
                  <c:v>-5</c:v>
                </c:pt>
                <c:pt idx="14">
                  <c:v>-5</c:v>
                </c:pt>
                <c:pt idx="15">
                  <c:v>-5</c:v>
                </c:pt>
                <c:pt idx="16">
                  <c:v>-5</c:v>
                </c:pt>
                <c:pt idx="17">
                  <c:v>-5</c:v>
                </c:pt>
                <c:pt idx="18">
                  <c:v>-5</c:v>
                </c:pt>
                <c:pt idx="19">
                  <c:v>-5</c:v>
                </c:pt>
                <c:pt idx="20">
                  <c:v>-5</c:v>
                </c:pt>
                <c:pt idx="21">
                  <c:v>-5</c:v>
                </c:pt>
                <c:pt idx="22">
                  <c:v>-5</c:v>
                </c:pt>
                <c:pt idx="23">
                  <c:v>-5</c:v>
                </c:pt>
                <c:pt idx="24">
                  <c:v>-5</c:v>
                </c:pt>
                <c:pt idx="25">
                  <c:v>-5</c:v>
                </c:pt>
                <c:pt idx="26">
                  <c:v>-5</c:v>
                </c:pt>
                <c:pt idx="27">
                  <c:v>-5</c:v>
                </c:pt>
                <c:pt idx="28">
                  <c:v>-5</c:v>
                </c:pt>
                <c:pt idx="29">
                  <c:v>-5</c:v>
                </c:pt>
                <c:pt idx="30">
                  <c:v>-5</c:v>
                </c:pt>
                <c:pt idx="31">
                  <c:v>-5</c:v>
                </c:pt>
                <c:pt idx="32">
                  <c:v>-5</c:v>
                </c:pt>
                <c:pt idx="33">
                  <c:v>-5</c:v>
                </c:pt>
                <c:pt idx="34">
                  <c:v>-5</c:v>
                </c:pt>
                <c:pt idx="35">
                  <c:v>-5</c:v>
                </c:pt>
                <c:pt idx="36">
                  <c:v>-4.8615666337303907</c:v>
                </c:pt>
                <c:pt idx="37">
                  <c:v>-3.9601823000677001</c:v>
                </c:pt>
                <c:pt idx="38">
                  <c:v>-3.0497841230683775</c:v>
                </c:pt>
                <c:pt idx="39">
                  <c:v>-2.1302819642990585</c:v>
                </c:pt>
                <c:pt idx="40">
                  <c:v>-1.201584783942053</c:v>
                </c:pt>
                <c:pt idx="41">
                  <c:v>-0.26360063178147186</c:v>
                </c:pt>
                <c:pt idx="42">
                  <c:v>0.6837633619007164</c:v>
                </c:pt>
                <c:pt idx="43">
                  <c:v>1.6406009955197192</c:v>
                </c:pt>
                <c:pt idx="44">
                  <c:v>2.6070070054749124</c:v>
                </c:pt>
                <c:pt idx="45">
                  <c:v>3.5830770755296584</c:v>
                </c:pt>
                <c:pt idx="46">
                  <c:v>4.5689078462849579</c:v>
                </c:pt>
                <c:pt idx="47">
                  <c:v>5.5645969247478035</c:v>
                </c:pt>
                <c:pt idx="48">
                  <c:v>6.5702428939952853</c:v>
                </c:pt>
                <c:pt idx="49">
                  <c:v>7.5859453229352454</c:v>
                </c:pt>
                <c:pt idx="50">
                  <c:v>8.6118047761646039</c:v>
                </c:pt>
                <c:pt idx="51">
                  <c:v>9.6479228239262511</c:v>
                </c:pt>
                <c:pt idx="52">
                  <c:v>10.694402052165515</c:v>
                </c:pt>
                <c:pt idx="53">
                  <c:v>11.75134607268717</c:v>
                </c:pt>
                <c:pt idx="54">
                  <c:v>12.818859533414042</c:v>
                </c:pt>
                <c:pt idx="55">
                  <c:v>13.897048128748182</c:v>
                </c:pt>
                <c:pt idx="56">
                  <c:v>14.986018610035671</c:v>
                </c:pt>
                <c:pt idx="57">
                  <c:v>16.085878796136029</c:v>
                </c:pt>
                <c:pt idx="58">
                  <c:v>17.196737584097392</c:v>
                </c:pt>
                <c:pt idx="59">
                  <c:v>18.318704959938373</c:v>
                </c:pt>
                <c:pt idx="60">
                  <c:v>19.451892009537758</c:v>
                </c:pt>
                <c:pt idx="61">
                  <c:v>20.596410929633137</c:v>
                </c:pt>
                <c:pt idx="62">
                  <c:v>21.752375038929472</c:v>
                </c:pt>
                <c:pt idx="63">
                  <c:v>22.919898789318765</c:v>
                </c:pt>
                <c:pt idx="64">
                  <c:v>24.099097777211952</c:v>
                </c:pt>
                <c:pt idx="65">
                  <c:v>25.290088754984069</c:v>
                </c:pt>
                <c:pt idx="66">
                  <c:v>26.492989642533914</c:v>
                </c:pt>
                <c:pt idx="67">
                  <c:v>27.70791953895926</c:v>
                </c:pt>
                <c:pt idx="68">
                  <c:v>28.934998734348852</c:v>
                </c:pt>
                <c:pt idx="69">
                  <c:v>30.17434872169234</c:v>
                </c:pt>
                <c:pt idx="70">
                  <c:v>31.426092208909267</c:v>
                </c:pt>
                <c:pt idx="71">
                  <c:v>32.690353130998361</c:v>
                </c:pt>
                <c:pt idx="72">
                  <c:v>33.967256662308358</c:v>
                </c:pt>
                <c:pt idx="73">
                  <c:v>35.256929228931455</c:v>
                </c:pt>
                <c:pt idx="74">
                  <c:v>36.559498521220775</c:v>
                </c:pt>
                <c:pt idx="75">
                  <c:v>37.875093506432989</c:v>
                </c:pt>
                <c:pt idx="76">
                  <c:v>39.203844441497324</c:v>
                </c:pt>
                <c:pt idx="77">
                  <c:v>40.545882885912306</c:v>
                </c:pt>
                <c:pt idx="78">
                  <c:v>41.901341714771434</c:v>
                </c:pt>
                <c:pt idx="79">
                  <c:v>43.27035513191916</c:v>
                </c:pt>
                <c:pt idx="80">
                  <c:v>44.653058683238356</c:v>
                </c:pt>
                <c:pt idx="81">
                  <c:v>46.049589270070754</c:v>
                </c:pt>
                <c:pt idx="82">
                  <c:v>47.460085162771463</c:v>
                </c:pt>
                <c:pt idx="83">
                  <c:v>48.884686014399193</c:v>
                </c:pt>
                <c:pt idx="84">
                  <c:v>50.32353287454319</c:v>
                </c:pt>
                <c:pt idx="85">
                  <c:v>51.776768203288611</c:v>
                </c:pt>
                <c:pt idx="86">
                  <c:v>53.244535885321511</c:v>
                </c:pt>
                <c:pt idx="87">
                  <c:v>54.726981244174738</c:v>
                </c:pt>
                <c:pt idx="88">
                  <c:v>56.224251056616481</c:v>
                </c:pt>
                <c:pt idx="89">
                  <c:v>57.736493567182634</c:v>
                </c:pt>
                <c:pt idx="90">
                  <c:v>59.263858502854475</c:v>
                </c:pt>
                <c:pt idx="91">
                  <c:v>60.806497087883031</c:v>
                </c:pt>
                <c:pt idx="92">
                  <c:v>62.364562058761862</c:v>
                </c:pt>
                <c:pt idx="93">
                  <c:v>63.938207679349489</c:v>
                </c:pt>
                <c:pt idx="94">
                  <c:v>65.527589756142987</c:v>
                </c:pt>
                <c:pt idx="95">
                  <c:v>67.132865653704414</c:v>
                </c:pt>
                <c:pt idx="96">
                  <c:v>68.754194310241473</c:v>
                </c:pt>
                <c:pt idx="97">
                  <c:v>70.391736253343879</c:v>
                </c:pt>
                <c:pt idx="98">
                  <c:v>72.045653615877313</c:v>
                </c:pt>
                <c:pt idx="99">
                  <c:v>73.716110152036094</c:v>
                </c:pt>
                <c:pt idx="100">
                  <c:v>75.403271253556454</c:v>
                </c:pt>
                <c:pt idx="101">
                  <c:v>77.107303966092019</c:v>
                </c:pt>
                <c:pt idx="102">
                  <c:v>78.828377005752941</c:v>
                </c:pt>
                <c:pt idx="103">
                  <c:v>80.566660775810476</c:v>
                </c:pt>
                <c:pt idx="104">
                  <c:v>82.322327383568592</c:v>
                </c:pt>
                <c:pt idx="105">
                  <c:v>84.095550657404289</c:v>
                </c:pt>
                <c:pt idx="106">
                  <c:v>85.886506163978339</c:v>
                </c:pt>
                <c:pt idx="107">
                  <c:v>87.695371225618118</c:v>
                </c:pt>
                <c:pt idx="108">
                  <c:v>89.522324937874288</c:v>
                </c:pt>
                <c:pt idx="109">
                  <c:v>91.367548187253021</c:v>
                </c:pt>
                <c:pt idx="110">
                  <c:v>93.231223669125541</c:v>
                </c:pt>
                <c:pt idx="111">
                  <c:v>95.113535905816804</c:v>
                </c:pt>
                <c:pt idx="112">
                  <c:v>97.014671264874977</c:v>
                </c:pt>
                <c:pt idx="113">
                  <c:v>98.934817977523721</c:v>
                </c:pt>
                <c:pt idx="114">
                  <c:v>100.87416615729896</c:v>
                </c:pt>
                <c:pt idx="115">
                  <c:v>102.83290781887194</c:v>
                </c:pt>
                <c:pt idx="116">
                  <c:v>104.81123689706067</c:v>
                </c:pt>
                <c:pt idx="117">
                  <c:v>106.80934926603126</c:v>
                </c:pt>
                <c:pt idx="118">
                  <c:v>108.82744275869157</c:v>
                </c:pt>
                <c:pt idx="119">
                  <c:v>110.86571718627849</c:v>
                </c:pt>
                <c:pt idx="120">
                  <c:v>112.92437435814128</c:v>
                </c:pt>
                <c:pt idx="121">
                  <c:v>115.00361810172268</c:v>
                </c:pt>
                <c:pt idx="122">
                  <c:v>117.10365428273991</c:v>
                </c:pt>
                <c:pt idx="123">
                  <c:v>119.22469082556731</c:v>
                </c:pt>
                <c:pt idx="124">
                  <c:v>121.36693773382299</c:v>
                </c:pt>
                <c:pt idx="125">
                  <c:v>123.53060711116123</c:v>
                </c:pt>
                <c:pt idx="126">
                  <c:v>125.71591318227286</c:v>
                </c:pt>
                <c:pt idx="127">
                  <c:v>127.92307231409558</c:v>
                </c:pt>
                <c:pt idx="128">
                  <c:v>130.15230303723652</c:v>
                </c:pt>
                <c:pt idx="129">
                  <c:v>132.40382606760889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A2-4F2B-AE11-7AD0466F25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2115376"/>
        <c:axId val="1853899552"/>
      </c:lineChart>
      <c:catAx>
        <c:axId val="1742115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3899552"/>
        <c:crosses val="autoZero"/>
        <c:auto val="1"/>
        <c:lblAlgn val="ctr"/>
        <c:lblOffset val="100"/>
        <c:noMultiLvlLbl val="0"/>
      </c:catAx>
      <c:valAx>
        <c:axId val="185389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211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Long</a:t>
            </a:r>
            <a:r>
              <a:rPr lang="en-GB" b="1" baseline="0"/>
              <a:t> Put</a:t>
            </a:r>
            <a:r>
              <a:rPr lang="en-GB" b="1"/>
              <a:t> Option: Payoff at Expiration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'Long Put'!$S$17:$S$146</c:f>
              <c:numCache>
                <c:formatCode>0.00</c:formatCode>
                <c:ptCount val="130"/>
                <c:pt idx="0">
                  <c:v>70</c:v>
                </c:pt>
                <c:pt idx="1">
                  <c:v>70.7</c:v>
                </c:pt>
                <c:pt idx="2">
                  <c:v>71.406999999999996</c:v>
                </c:pt>
                <c:pt idx="3">
                  <c:v>72.121070000000003</c:v>
                </c:pt>
                <c:pt idx="4">
                  <c:v>72.842280700000003</c:v>
                </c:pt>
                <c:pt idx="5">
                  <c:v>73.570703507000005</c:v>
                </c:pt>
                <c:pt idx="6">
                  <c:v>74.306410542070012</c:v>
                </c:pt>
                <c:pt idx="7">
                  <c:v>75.049474647490712</c:v>
                </c:pt>
                <c:pt idx="8">
                  <c:v>75.799969393965625</c:v>
                </c:pt>
                <c:pt idx="9">
                  <c:v>76.557969087905278</c:v>
                </c:pt>
                <c:pt idx="10">
                  <c:v>77.323548778784328</c:v>
                </c:pt>
                <c:pt idx="11">
                  <c:v>78.096784266572172</c:v>
                </c:pt>
                <c:pt idx="12">
                  <c:v>78.877752109237889</c:v>
                </c:pt>
                <c:pt idx="13">
                  <c:v>79.666529630330274</c:v>
                </c:pt>
                <c:pt idx="14">
                  <c:v>80.463194926633577</c:v>
                </c:pt>
                <c:pt idx="15">
                  <c:v>81.267826875899914</c:v>
                </c:pt>
                <c:pt idx="16">
                  <c:v>82.080505144658915</c:v>
                </c:pt>
                <c:pt idx="17">
                  <c:v>82.901310196105499</c:v>
                </c:pt>
                <c:pt idx="18">
                  <c:v>83.730323298066551</c:v>
                </c:pt>
                <c:pt idx="19">
                  <c:v>84.567626531047225</c:v>
                </c:pt>
                <c:pt idx="20">
                  <c:v>85.413302796357698</c:v>
                </c:pt>
                <c:pt idx="21">
                  <c:v>86.267435824321282</c:v>
                </c:pt>
                <c:pt idx="22">
                  <c:v>87.130110182564493</c:v>
                </c:pt>
                <c:pt idx="23">
                  <c:v>88.001411284390144</c:v>
                </c:pt>
                <c:pt idx="24">
                  <c:v>88.88142539723404</c:v>
                </c:pt>
                <c:pt idx="25">
                  <c:v>89.770239651206381</c:v>
                </c:pt>
                <c:pt idx="26">
                  <c:v>90.667942047718441</c:v>
                </c:pt>
                <c:pt idx="27">
                  <c:v>91.57462146819563</c:v>
                </c:pt>
                <c:pt idx="28">
                  <c:v>92.49036768287759</c:v>
                </c:pt>
                <c:pt idx="29">
                  <c:v>93.415271359706367</c:v>
                </c:pt>
                <c:pt idx="30">
                  <c:v>94.349424073303425</c:v>
                </c:pt>
                <c:pt idx="31">
                  <c:v>95.292918314036456</c:v>
                </c:pt>
                <c:pt idx="32">
                  <c:v>96.245847497176825</c:v>
                </c:pt>
                <c:pt idx="33">
                  <c:v>97.208305972148594</c:v>
                </c:pt>
                <c:pt idx="34">
                  <c:v>98.180389031870078</c:v>
                </c:pt>
                <c:pt idx="35">
                  <c:v>99.16219292218878</c:v>
                </c:pt>
                <c:pt idx="36">
                  <c:v>100.15381485141067</c:v>
                </c:pt>
                <c:pt idx="37">
                  <c:v>101.15535299992477</c:v>
                </c:pt>
                <c:pt idx="38">
                  <c:v>102.16690652992402</c:v>
                </c:pt>
                <c:pt idx="39">
                  <c:v>103.18857559522326</c:v>
                </c:pt>
                <c:pt idx="40">
                  <c:v>104.22046135117549</c:v>
                </c:pt>
                <c:pt idx="41">
                  <c:v>105.26266596468724</c:v>
                </c:pt>
                <c:pt idx="42">
                  <c:v>106.31529262433412</c:v>
                </c:pt>
                <c:pt idx="43">
                  <c:v>107.37844555057747</c:v>
                </c:pt>
                <c:pt idx="44">
                  <c:v>108.45223000608324</c:v>
                </c:pt>
                <c:pt idx="45">
                  <c:v>109.53675230614408</c:v>
                </c:pt>
                <c:pt idx="46">
                  <c:v>110.63211982920552</c:v>
                </c:pt>
                <c:pt idx="47">
                  <c:v>111.73844102749757</c:v>
                </c:pt>
                <c:pt idx="48">
                  <c:v>112.85582543777255</c:v>
                </c:pt>
                <c:pt idx="49">
                  <c:v>113.98438369215027</c:v>
                </c:pt>
                <c:pt idx="50">
                  <c:v>115.12422752907177</c:v>
                </c:pt>
                <c:pt idx="51">
                  <c:v>116.27546980436249</c:v>
                </c:pt>
                <c:pt idx="52">
                  <c:v>117.43822450240611</c:v>
                </c:pt>
                <c:pt idx="53">
                  <c:v>118.61260674743018</c:v>
                </c:pt>
                <c:pt idx="54">
                  <c:v>119.79873281490448</c:v>
                </c:pt>
                <c:pt idx="55">
                  <c:v>120.99672014305352</c:v>
                </c:pt>
                <c:pt idx="56">
                  <c:v>122.20668734448405</c:v>
                </c:pt>
                <c:pt idx="57">
                  <c:v>123.4287542179289</c:v>
                </c:pt>
                <c:pt idx="58">
                  <c:v>124.66304176010819</c:v>
                </c:pt>
                <c:pt idx="59">
                  <c:v>125.90967217770927</c:v>
                </c:pt>
                <c:pt idx="60">
                  <c:v>127.16876889948637</c:v>
                </c:pt>
                <c:pt idx="61">
                  <c:v>128.44045658848123</c:v>
                </c:pt>
                <c:pt idx="62">
                  <c:v>129.72486115436604</c:v>
                </c:pt>
                <c:pt idx="63">
                  <c:v>131.0221097659097</c:v>
                </c:pt>
                <c:pt idx="64">
                  <c:v>132.33233086356881</c:v>
                </c:pt>
                <c:pt idx="65">
                  <c:v>133.65565417220449</c:v>
                </c:pt>
                <c:pt idx="66">
                  <c:v>134.99221071392654</c:v>
                </c:pt>
                <c:pt idx="67">
                  <c:v>136.3421328210658</c:v>
                </c:pt>
                <c:pt idx="68">
                  <c:v>137.70555414927645</c:v>
                </c:pt>
                <c:pt idx="69">
                  <c:v>139.08260969076923</c:v>
                </c:pt>
                <c:pt idx="70">
                  <c:v>140.47343578767692</c:v>
                </c:pt>
                <c:pt idx="71">
                  <c:v>141.8781701455537</c:v>
                </c:pt>
                <c:pt idx="72">
                  <c:v>143.29695184700924</c:v>
                </c:pt>
                <c:pt idx="73">
                  <c:v>144.72992136547933</c:v>
                </c:pt>
                <c:pt idx="74">
                  <c:v>146.17722057913412</c:v>
                </c:pt>
                <c:pt idx="75">
                  <c:v>147.63899278492545</c:v>
                </c:pt>
                <c:pt idx="76">
                  <c:v>149.1153827127747</c:v>
                </c:pt>
                <c:pt idx="77">
                  <c:v>150.60653653990246</c:v>
                </c:pt>
                <c:pt idx="78">
                  <c:v>152.11260190530149</c:v>
                </c:pt>
                <c:pt idx="79">
                  <c:v>153.6337279243545</c:v>
                </c:pt>
                <c:pt idx="80">
                  <c:v>155.17006520359806</c:v>
                </c:pt>
                <c:pt idx="81">
                  <c:v>156.72176585563403</c:v>
                </c:pt>
                <c:pt idx="82">
                  <c:v>158.28898351419036</c:v>
                </c:pt>
                <c:pt idx="83">
                  <c:v>159.87187334933228</c:v>
                </c:pt>
                <c:pt idx="84">
                  <c:v>161.47059208282559</c:v>
                </c:pt>
                <c:pt idx="85">
                  <c:v>163.08529800365386</c:v>
                </c:pt>
                <c:pt idx="86">
                  <c:v>164.7161509836904</c:v>
                </c:pt>
                <c:pt idx="87">
                  <c:v>166.3633124935273</c:v>
                </c:pt>
                <c:pt idx="88">
                  <c:v>168.02694561846258</c:v>
                </c:pt>
                <c:pt idx="89">
                  <c:v>169.70721507464719</c:v>
                </c:pt>
                <c:pt idx="90">
                  <c:v>171.40428722539366</c:v>
                </c:pt>
                <c:pt idx="91">
                  <c:v>173.1183300976476</c:v>
                </c:pt>
                <c:pt idx="92">
                  <c:v>174.84951339862408</c:v>
                </c:pt>
                <c:pt idx="93">
                  <c:v>176.59800853261032</c:v>
                </c:pt>
                <c:pt idx="94">
                  <c:v>178.36398861793643</c:v>
                </c:pt>
                <c:pt idx="95">
                  <c:v>180.1476285041158</c:v>
                </c:pt>
                <c:pt idx="96">
                  <c:v>181.94910478915696</c:v>
                </c:pt>
                <c:pt idx="97">
                  <c:v>183.76859583704854</c:v>
                </c:pt>
                <c:pt idx="98">
                  <c:v>185.60628179541902</c:v>
                </c:pt>
                <c:pt idx="99">
                  <c:v>187.4623446133732</c:v>
                </c:pt>
                <c:pt idx="100">
                  <c:v>189.33696805950694</c:v>
                </c:pt>
                <c:pt idx="101">
                  <c:v>191.23033774010202</c:v>
                </c:pt>
                <c:pt idx="102">
                  <c:v>193.14264111750305</c:v>
                </c:pt>
                <c:pt idx="103">
                  <c:v>195.07406752867809</c:v>
                </c:pt>
                <c:pt idx="104">
                  <c:v>197.02480820396488</c:v>
                </c:pt>
                <c:pt idx="105">
                  <c:v>198.99505628600454</c:v>
                </c:pt>
                <c:pt idx="106">
                  <c:v>200.9850068488646</c:v>
                </c:pt>
                <c:pt idx="107">
                  <c:v>202.99485691735325</c:v>
                </c:pt>
                <c:pt idx="108">
                  <c:v>205.02480548652679</c:v>
                </c:pt>
                <c:pt idx="109">
                  <c:v>207.07505354139207</c:v>
                </c:pt>
                <c:pt idx="110">
                  <c:v>209.145804076806</c:v>
                </c:pt>
                <c:pt idx="111">
                  <c:v>211.23726211757406</c:v>
                </c:pt>
                <c:pt idx="112">
                  <c:v>213.34963473874981</c:v>
                </c:pt>
                <c:pt idx="113">
                  <c:v>215.48313108613732</c:v>
                </c:pt>
                <c:pt idx="114">
                  <c:v>217.63796239699869</c:v>
                </c:pt>
                <c:pt idx="115">
                  <c:v>219.81434202096867</c:v>
                </c:pt>
                <c:pt idx="116">
                  <c:v>222.01248544117834</c:v>
                </c:pt>
                <c:pt idx="117">
                  <c:v>224.23261029559012</c:v>
                </c:pt>
                <c:pt idx="118">
                  <c:v>226.47493639854602</c:v>
                </c:pt>
                <c:pt idx="119">
                  <c:v>228.73968576253148</c:v>
                </c:pt>
                <c:pt idx="120">
                  <c:v>231.02708262015679</c:v>
                </c:pt>
                <c:pt idx="121">
                  <c:v>233.33735344635835</c:v>
                </c:pt>
                <c:pt idx="122">
                  <c:v>235.67072698082194</c:v>
                </c:pt>
                <c:pt idx="123">
                  <c:v>238.02743425063017</c:v>
                </c:pt>
                <c:pt idx="124">
                  <c:v>240.40770859313648</c:v>
                </c:pt>
                <c:pt idx="125">
                  <c:v>242.81178567906784</c:v>
                </c:pt>
                <c:pt idx="126">
                  <c:v>245.23990353585853</c:v>
                </c:pt>
                <c:pt idx="127">
                  <c:v>247.69230257121711</c:v>
                </c:pt>
                <c:pt idx="128">
                  <c:v>250.16922559692929</c:v>
                </c:pt>
                <c:pt idx="129">
                  <c:v>252.67091785289858</c:v>
                </c:pt>
              </c:numCache>
            </c:numRef>
          </c:cat>
          <c:val>
            <c:numRef>
              <c:f>'Long Call'!$T$17:$T$146</c:f>
              <c:numCache>
                <c:formatCode>General</c:formatCode>
                <c:ptCount val="1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61-4B94-AFDC-313AE8BA978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'Long Put'!$S$17:$S$146</c:f>
              <c:numCache>
                <c:formatCode>0.00</c:formatCode>
                <c:ptCount val="130"/>
                <c:pt idx="0">
                  <c:v>70</c:v>
                </c:pt>
                <c:pt idx="1">
                  <c:v>70.7</c:v>
                </c:pt>
                <c:pt idx="2">
                  <c:v>71.406999999999996</c:v>
                </c:pt>
                <c:pt idx="3">
                  <c:v>72.121070000000003</c:v>
                </c:pt>
                <c:pt idx="4">
                  <c:v>72.842280700000003</c:v>
                </c:pt>
                <c:pt idx="5">
                  <c:v>73.570703507000005</c:v>
                </c:pt>
                <c:pt idx="6">
                  <c:v>74.306410542070012</c:v>
                </c:pt>
                <c:pt idx="7">
                  <c:v>75.049474647490712</c:v>
                </c:pt>
                <c:pt idx="8">
                  <c:v>75.799969393965625</c:v>
                </c:pt>
                <c:pt idx="9">
                  <c:v>76.557969087905278</c:v>
                </c:pt>
                <c:pt idx="10">
                  <c:v>77.323548778784328</c:v>
                </c:pt>
                <c:pt idx="11">
                  <c:v>78.096784266572172</c:v>
                </c:pt>
                <c:pt idx="12">
                  <c:v>78.877752109237889</c:v>
                </c:pt>
                <c:pt idx="13">
                  <c:v>79.666529630330274</c:v>
                </c:pt>
                <c:pt idx="14">
                  <c:v>80.463194926633577</c:v>
                </c:pt>
                <c:pt idx="15">
                  <c:v>81.267826875899914</c:v>
                </c:pt>
                <c:pt idx="16">
                  <c:v>82.080505144658915</c:v>
                </c:pt>
                <c:pt idx="17">
                  <c:v>82.901310196105499</c:v>
                </c:pt>
                <c:pt idx="18">
                  <c:v>83.730323298066551</c:v>
                </c:pt>
                <c:pt idx="19">
                  <c:v>84.567626531047225</c:v>
                </c:pt>
                <c:pt idx="20">
                  <c:v>85.413302796357698</c:v>
                </c:pt>
                <c:pt idx="21">
                  <c:v>86.267435824321282</c:v>
                </c:pt>
                <c:pt idx="22">
                  <c:v>87.130110182564493</c:v>
                </c:pt>
                <c:pt idx="23">
                  <c:v>88.001411284390144</c:v>
                </c:pt>
                <c:pt idx="24">
                  <c:v>88.88142539723404</c:v>
                </c:pt>
                <c:pt idx="25">
                  <c:v>89.770239651206381</c:v>
                </c:pt>
                <c:pt idx="26">
                  <c:v>90.667942047718441</c:v>
                </c:pt>
                <c:pt idx="27">
                  <c:v>91.57462146819563</c:v>
                </c:pt>
                <c:pt idx="28">
                  <c:v>92.49036768287759</c:v>
                </c:pt>
                <c:pt idx="29">
                  <c:v>93.415271359706367</c:v>
                </c:pt>
                <c:pt idx="30">
                  <c:v>94.349424073303425</c:v>
                </c:pt>
                <c:pt idx="31">
                  <c:v>95.292918314036456</c:v>
                </c:pt>
                <c:pt idx="32">
                  <c:v>96.245847497176825</c:v>
                </c:pt>
                <c:pt idx="33">
                  <c:v>97.208305972148594</c:v>
                </c:pt>
                <c:pt idx="34">
                  <c:v>98.180389031870078</c:v>
                </c:pt>
                <c:pt idx="35">
                  <c:v>99.16219292218878</c:v>
                </c:pt>
                <c:pt idx="36">
                  <c:v>100.15381485141067</c:v>
                </c:pt>
                <c:pt idx="37">
                  <c:v>101.15535299992477</c:v>
                </c:pt>
                <c:pt idx="38">
                  <c:v>102.16690652992402</c:v>
                </c:pt>
                <c:pt idx="39">
                  <c:v>103.18857559522326</c:v>
                </c:pt>
                <c:pt idx="40">
                  <c:v>104.22046135117549</c:v>
                </c:pt>
                <c:pt idx="41">
                  <c:v>105.26266596468724</c:v>
                </c:pt>
                <c:pt idx="42">
                  <c:v>106.31529262433412</c:v>
                </c:pt>
                <c:pt idx="43">
                  <c:v>107.37844555057747</c:v>
                </c:pt>
                <c:pt idx="44">
                  <c:v>108.45223000608324</c:v>
                </c:pt>
                <c:pt idx="45">
                  <c:v>109.53675230614408</c:v>
                </c:pt>
                <c:pt idx="46">
                  <c:v>110.63211982920552</c:v>
                </c:pt>
                <c:pt idx="47">
                  <c:v>111.73844102749757</c:v>
                </c:pt>
                <c:pt idx="48">
                  <c:v>112.85582543777255</c:v>
                </c:pt>
                <c:pt idx="49">
                  <c:v>113.98438369215027</c:v>
                </c:pt>
                <c:pt idx="50">
                  <c:v>115.12422752907177</c:v>
                </c:pt>
                <c:pt idx="51">
                  <c:v>116.27546980436249</c:v>
                </c:pt>
                <c:pt idx="52">
                  <c:v>117.43822450240611</c:v>
                </c:pt>
                <c:pt idx="53">
                  <c:v>118.61260674743018</c:v>
                </c:pt>
                <c:pt idx="54">
                  <c:v>119.79873281490448</c:v>
                </c:pt>
                <c:pt idx="55">
                  <c:v>120.99672014305352</c:v>
                </c:pt>
                <c:pt idx="56">
                  <c:v>122.20668734448405</c:v>
                </c:pt>
                <c:pt idx="57">
                  <c:v>123.4287542179289</c:v>
                </c:pt>
                <c:pt idx="58">
                  <c:v>124.66304176010819</c:v>
                </c:pt>
                <c:pt idx="59">
                  <c:v>125.90967217770927</c:v>
                </c:pt>
                <c:pt idx="60">
                  <c:v>127.16876889948637</c:v>
                </c:pt>
                <c:pt idx="61">
                  <c:v>128.44045658848123</c:v>
                </c:pt>
                <c:pt idx="62">
                  <c:v>129.72486115436604</c:v>
                </c:pt>
                <c:pt idx="63">
                  <c:v>131.0221097659097</c:v>
                </c:pt>
                <c:pt idx="64">
                  <c:v>132.33233086356881</c:v>
                </c:pt>
                <c:pt idx="65">
                  <c:v>133.65565417220449</c:v>
                </c:pt>
                <c:pt idx="66">
                  <c:v>134.99221071392654</c:v>
                </c:pt>
                <c:pt idx="67">
                  <c:v>136.3421328210658</c:v>
                </c:pt>
                <c:pt idx="68">
                  <c:v>137.70555414927645</c:v>
                </c:pt>
                <c:pt idx="69">
                  <c:v>139.08260969076923</c:v>
                </c:pt>
                <c:pt idx="70">
                  <c:v>140.47343578767692</c:v>
                </c:pt>
                <c:pt idx="71">
                  <c:v>141.8781701455537</c:v>
                </c:pt>
                <c:pt idx="72">
                  <c:v>143.29695184700924</c:v>
                </c:pt>
                <c:pt idx="73">
                  <c:v>144.72992136547933</c:v>
                </c:pt>
                <c:pt idx="74">
                  <c:v>146.17722057913412</c:v>
                </c:pt>
                <c:pt idx="75">
                  <c:v>147.63899278492545</c:v>
                </c:pt>
                <c:pt idx="76">
                  <c:v>149.1153827127747</c:v>
                </c:pt>
                <c:pt idx="77">
                  <c:v>150.60653653990246</c:v>
                </c:pt>
                <c:pt idx="78">
                  <c:v>152.11260190530149</c:v>
                </c:pt>
                <c:pt idx="79">
                  <c:v>153.6337279243545</c:v>
                </c:pt>
                <c:pt idx="80">
                  <c:v>155.17006520359806</c:v>
                </c:pt>
                <c:pt idx="81">
                  <c:v>156.72176585563403</c:v>
                </c:pt>
                <c:pt idx="82">
                  <c:v>158.28898351419036</c:v>
                </c:pt>
                <c:pt idx="83">
                  <c:v>159.87187334933228</c:v>
                </c:pt>
                <c:pt idx="84">
                  <c:v>161.47059208282559</c:v>
                </c:pt>
                <c:pt idx="85">
                  <c:v>163.08529800365386</c:v>
                </c:pt>
                <c:pt idx="86">
                  <c:v>164.7161509836904</c:v>
                </c:pt>
                <c:pt idx="87">
                  <c:v>166.3633124935273</c:v>
                </c:pt>
                <c:pt idx="88">
                  <c:v>168.02694561846258</c:v>
                </c:pt>
                <c:pt idx="89">
                  <c:v>169.70721507464719</c:v>
                </c:pt>
                <c:pt idx="90">
                  <c:v>171.40428722539366</c:v>
                </c:pt>
                <c:pt idx="91">
                  <c:v>173.1183300976476</c:v>
                </c:pt>
                <c:pt idx="92">
                  <c:v>174.84951339862408</c:v>
                </c:pt>
                <c:pt idx="93">
                  <c:v>176.59800853261032</c:v>
                </c:pt>
                <c:pt idx="94">
                  <c:v>178.36398861793643</c:v>
                </c:pt>
                <c:pt idx="95">
                  <c:v>180.1476285041158</c:v>
                </c:pt>
                <c:pt idx="96">
                  <c:v>181.94910478915696</c:v>
                </c:pt>
                <c:pt idx="97">
                  <c:v>183.76859583704854</c:v>
                </c:pt>
                <c:pt idx="98">
                  <c:v>185.60628179541902</c:v>
                </c:pt>
                <c:pt idx="99">
                  <c:v>187.4623446133732</c:v>
                </c:pt>
                <c:pt idx="100">
                  <c:v>189.33696805950694</c:v>
                </c:pt>
                <c:pt idx="101">
                  <c:v>191.23033774010202</c:v>
                </c:pt>
                <c:pt idx="102">
                  <c:v>193.14264111750305</c:v>
                </c:pt>
                <c:pt idx="103">
                  <c:v>195.07406752867809</c:v>
                </c:pt>
                <c:pt idx="104">
                  <c:v>197.02480820396488</c:v>
                </c:pt>
                <c:pt idx="105">
                  <c:v>198.99505628600454</c:v>
                </c:pt>
                <c:pt idx="106">
                  <c:v>200.9850068488646</c:v>
                </c:pt>
                <c:pt idx="107">
                  <c:v>202.99485691735325</c:v>
                </c:pt>
                <c:pt idx="108">
                  <c:v>205.02480548652679</c:v>
                </c:pt>
                <c:pt idx="109">
                  <c:v>207.07505354139207</c:v>
                </c:pt>
                <c:pt idx="110">
                  <c:v>209.145804076806</c:v>
                </c:pt>
                <c:pt idx="111">
                  <c:v>211.23726211757406</c:v>
                </c:pt>
                <c:pt idx="112">
                  <c:v>213.34963473874981</c:v>
                </c:pt>
                <c:pt idx="113">
                  <c:v>215.48313108613732</c:v>
                </c:pt>
                <c:pt idx="114">
                  <c:v>217.63796239699869</c:v>
                </c:pt>
                <c:pt idx="115">
                  <c:v>219.81434202096867</c:v>
                </c:pt>
                <c:pt idx="116">
                  <c:v>222.01248544117834</c:v>
                </c:pt>
                <c:pt idx="117">
                  <c:v>224.23261029559012</c:v>
                </c:pt>
                <c:pt idx="118">
                  <c:v>226.47493639854602</c:v>
                </c:pt>
                <c:pt idx="119">
                  <c:v>228.73968576253148</c:v>
                </c:pt>
                <c:pt idx="120">
                  <c:v>231.02708262015679</c:v>
                </c:pt>
                <c:pt idx="121">
                  <c:v>233.33735344635835</c:v>
                </c:pt>
                <c:pt idx="122">
                  <c:v>235.67072698082194</c:v>
                </c:pt>
                <c:pt idx="123">
                  <c:v>238.02743425063017</c:v>
                </c:pt>
                <c:pt idx="124">
                  <c:v>240.40770859313648</c:v>
                </c:pt>
                <c:pt idx="125">
                  <c:v>242.81178567906784</c:v>
                </c:pt>
                <c:pt idx="126">
                  <c:v>245.23990353585853</c:v>
                </c:pt>
                <c:pt idx="127">
                  <c:v>247.69230257121711</c:v>
                </c:pt>
                <c:pt idx="128">
                  <c:v>250.16922559692929</c:v>
                </c:pt>
                <c:pt idx="129">
                  <c:v>252.67091785289858</c:v>
                </c:pt>
              </c:numCache>
            </c:numRef>
          </c:cat>
          <c:val>
            <c:numRef>
              <c:f>'Long Put'!$U$17:$U$146</c:f>
              <c:numCache>
                <c:formatCode>General</c:formatCode>
                <c:ptCount val="130"/>
                <c:pt idx="0">
                  <c:v>25</c:v>
                </c:pt>
                <c:pt idx="1">
                  <c:v>24.299999999999997</c:v>
                </c:pt>
                <c:pt idx="2">
                  <c:v>23.593000000000004</c:v>
                </c:pt>
                <c:pt idx="3">
                  <c:v>22.878929999999997</c:v>
                </c:pt>
                <c:pt idx="4">
                  <c:v>22.157719299999997</c:v>
                </c:pt>
                <c:pt idx="5">
                  <c:v>21.429296492999995</c:v>
                </c:pt>
                <c:pt idx="6">
                  <c:v>20.693589457929988</c:v>
                </c:pt>
                <c:pt idx="7">
                  <c:v>19.950525352509288</c:v>
                </c:pt>
                <c:pt idx="8">
                  <c:v>19.200030606034375</c:v>
                </c:pt>
                <c:pt idx="9">
                  <c:v>18.442030912094722</c:v>
                </c:pt>
                <c:pt idx="10">
                  <c:v>17.676451221215672</c:v>
                </c:pt>
                <c:pt idx="11">
                  <c:v>16.903215733427828</c:v>
                </c:pt>
                <c:pt idx="12">
                  <c:v>16.122247890762111</c:v>
                </c:pt>
                <c:pt idx="13">
                  <c:v>15.333470369669726</c:v>
                </c:pt>
                <c:pt idx="14">
                  <c:v>14.536805073366423</c:v>
                </c:pt>
                <c:pt idx="15">
                  <c:v>13.732173124100086</c:v>
                </c:pt>
                <c:pt idx="16">
                  <c:v>12.919494855341085</c:v>
                </c:pt>
                <c:pt idx="17">
                  <c:v>12.098689803894501</c:v>
                </c:pt>
                <c:pt idx="18">
                  <c:v>11.269676701933449</c:v>
                </c:pt>
                <c:pt idx="19">
                  <c:v>10.432373468952775</c:v>
                </c:pt>
                <c:pt idx="20">
                  <c:v>9.5866972036423022</c:v>
                </c:pt>
                <c:pt idx="21">
                  <c:v>8.7325641756787178</c:v>
                </c:pt>
                <c:pt idx="22">
                  <c:v>7.8698898174355065</c:v>
                </c:pt>
                <c:pt idx="23">
                  <c:v>6.9985887156098556</c:v>
                </c:pt>
                <c:pt idx="24">
                  <c:v>6.1185746027659604</c:v>
                </c:pt>
                <c:pt idx="25">
                  <c:v>5.2297603487936186</c:v>
                </c:pt>
                <c:pt idx="26">
                  <c:v>4.3320579522815592</c:v>
                </c:pt>
                <c:pt idx="27">
                  <c:v>3.4253785318043697</c:v>
                </c:pt>
                <c:pt idx="28">
                  <c:v>2.50963231712241</c:v>
                </c:pt>
                <c:pt idx="29">
                  <c:v>1.5847286402936334</c:v>
                </c:pt>
                <c:pt idx="30">
                  <c:v>0.65057592669657538</c:v>
                </c:pt>
                <c:pt idx="31">
                  <c:v>-0.29291831403645574</c:v>
                </c:pt>
                <c:pt idx="32">
                  <c:v>-1.2458474971768254</c:v>
                </c:pt>
                <c:pt idx="33">
                  <c:v>-2.2083059721485938</c:v>
                </c:pt>
                <c:pt idx="34">
                  <c:v>-3.180389031870078</c:v>
                </c:pt>
                <c:pt idx="35">
                  <c:v>-4.1621929221887797</c:v>
                </c:pt>
                <c:pt idx="36">
                  <c:v>-5</c:v>
                </c:pt>
                <c:pt idx="37">
                  <c:v>-5</c:v>
                </c:pt>
                <c:pt idx="38">
                  <c:v>-5</c:v>
                </c:pt>
                <c:pt idx="39">
                  <c:v>-5</c:v>
                </c:pt>
                <c:pt idx="40">
                  <c:v>-5</c:v>
                </c:pt>
                <c:pt idx="41">
                  <c:v>-5</c:v>
                </c:pt>
                <c:pt idx="42">
                  <c:v>-5</c:v>
                </c:pt>
                <c:pt idx="43">
                  <c:v>-5</c:v>
                </c:pt>
                <c:pt idx="44">
                  <c:v>-5</c:v>
                </c:pt>
                <c:pt idx="45">
                  <c:v>-5</c:v>
                </c:pt>
                <c:pt idx="46">
                  <c:v>-5</c:v>
                </c:pt>
                <c:pt idx="47">
                  <c:v>-5</c:v>
                </c:pt>
                <c:pt idx="48">
                  <c:v>-5</c:v>
                </c:pt>
                <c:pt idx="49">
                  <c:v>-5</c:v>
                </c:pt>
                <c:pt idx="50">
                  <c:v>-5</c:v>
                </c:pt>
                <c:pt idx="51">
                  <c:v>-5</c:v>
                </c:pt>
                <c:pt idx="52">
                  <c:v>-5</c:v>
                </c:pt>
                <c:pt idx="53">
                  <c:v>-5</c:v>
                </c:pt>
                <c:pt idx="54">
                  <c:v>-5</c:v>
                </c:pt>
                <c:pt idx="55">
                  <c:v>-5</c:v>
                </c:pt>
                <c:pt idx="56">
                  <c:v>-5</c:v>
                </c:pt>
                <c:pt idx="57">
                  <c:v>-5</c:v>
                </c:pt>
                <c:pt idx="58">
                  <c:v>-5</c:v>
                </c:pt>
                <c:pt idx="59">
                  <c:v>-5</c:v>
                </c:pt>
                <c:pt idx="60">
                  <c:v>-5</c:v>
                </c:pt>
                <c:pt idx="61">
                  <c:v>-5</c:v>
                </c:pt>
                <c:pt idx="62">
                  <c:v>-5</c:v>
                </c:pt>
                <c:pt idx="63">
                  <c:v>-5</c:v>
                </c:pt>
                <c:pt idx="64">
                  <c:v>-5</c:v>
                </c:pt>
                <c:pt idx="65">
                  <c:v>-5</c:v>
                </c:pt>
                <c:pt idx="66">
                  <c:v>-5</c:v>
                </c:pt>
                <c:pt idx="67">
                  <c:v>-5</c:v>
                </c:pt>
                <c:pt idx="68">
                  <c:v>-5</c:v>
                </c:pt>
                <c:pt idx="69">
                  <c:v>-5</c:v>
                </c:pt>
                <c:pt idx="70">
                  <c:v>-5</c:v>
                </c:pt>
                <c:pt idx="71">
                  <c:v>-5</c:v>
                </c:pt>
                <c:pt idx="72">
                  <c:v>-5</c:v>
                </c:pt>
                <c:pt idx="73">
                  <c:v>-5</c:v>
                </c:pt>
                <c:pt idx="74">
                  <c:v>-5</c:v>
                </c:pt>
                <c:pt idx="75">
                  <c:v>-5</c:v>
                </c:pt>
                <c:pt idx="76">
                  <c:v>-5</c:v>
                </c:pt>
                <c:pt idx="77">
                  <c:v>-5</c:v>
                </c:pt>
                <c:pt idx="78">
                  <c:v>-5</c:v>
                </c:pt>
                <c:pt idx="79">
                  <c:v>-5</c:v>
                </c:pt>
                <c:pt idx="80">
                  <c:v>-5</c:v>
                </c:pt>
                <c:pt idx="81">
                  <c:v>-5</c:v>
                </c:pt>
                <c:pt idx="82">
                  <c:v>-5</c:v>
                </c:pt>
                <c:pt idx="83">
                  <c:v>-5</c:v>
                </c:pt>
                <c:pt idx="84">
                  <c:v>-5</c:v>
                </c:pt>
                <c:pt idx="85">
                  <c:v>-5</c:v>
                </c:pt>
                <c:pt idx="86">
                  <c:v>-5</c:v>
                </c:pt>
                <c:pt idx="87">
                  <c:v>-5</c:v>
                </c:pt>
                <c:pt idx="88">
                  <c:v>-5</c:v>
                </c:pt>
                <c:pt idx="89">
                  <c:v>-5</c:v>
                </c:pt>
                <c:pt idx="90">
                  <c:v>-5</c:v>
                </c:pt>
                <c:pt idx="91">
                  <c:v>-5</c:v>
                </c:pt>
                <c:pt idx="92">
                  <c:v>-5</c:v>
                </c:pt>
                <c:pt idx="93">
                  <c:v>-5</c:v>
                </c:pt>
                <c:pt idx="94">
                  <c:v>-5</c:v>
                </c:pt>
                <c:pt idx="95">
                  <c:v>-5</c:v>
                </c:pt>
                <c:pt idx="96">
                  <c:v>-5</c:v>
                </c:pt>
                <c:pt idx="97">
                  <c:v>-5</c:v>
                </c:pt>
                <c:pt idx="98">
                  <c:v>-5</c:v>
                </c:pt>
                <c:pt idx="99">
                  <c:v>-5</c:v>
                </c:pt>
                <c:pt idx="100">
                  <c:v>-5</c:v>
                </c:pt>
                <c:pt idx="101">
                  <c:v>-5</c:v>
                </c:pt>
                <c:pt idx="102">
                  <c:v>-5</c:v>
                </c:pt>
                <c:pt idx="103">
                  <c:v>-5</c:v>
                </c:pt>
                <c:pt idx="104">
                  <c:v>-5</c:v>
                </c:pt>
                <c:pt idx="105">
                  <c:v>-5</c:v>
                </c:pt>
                <c:pt idx="106">
                  <c:v>-5</c:v>
                </c:pt>
                <c:pt idx="107">
                  <c:v>-5</c:v>
                </c:pt>
                <c:pt idx="108">
                  <c:v>-5</c:v>
                </c:pt>
                <c:pt idx="109">
                  <c:v>-5</c:v>
                </c:pt>
                <c:pt idx="110">
                  <c:v>-5</c:v>
                </c:pt>
                <c:pt idx="111">
                  <c:v>-5</c:v>
                </c:pt>
                <c:pt idx="112">
                  <c:v>-5</c:v>
                </c:pt>
                <c:pt idx="113">
                  <c:v>-5</c:v>
                </c:pt>
                <c:pt idx="114">
                  <c:v>-5</c:v>
                </c:pt>
                <c:pt idx="115">
                  <c:v>-5</c:v>
                </c:pt>
                <c:pt idx="116">
                  <c:v>-5</c:v>
                </c:pt>
                <c:pt idx="117">
                  <c:v>-5</c:v>
                </c:pt>
                <c:pt idx="118">
                  <c:v>-5</c:v>
                </c:pt>
                <c:pt idx="119">
                  <c:v>-5</c:v>
                </c:pt>
                <c:pt idx="120">
                  <c:v>-5</c:v>
                </c:pt>
                <c:pt idx="121">
                  <c:v>-5</c:v>
                </c:pt>
                <c:pt idx="122">
                  <c:v>-5</c:v>
                </c:pt>
                <c:pt idx="123">
                  <c:v>-5</c:v>
                </c:pt>
                <c:pt idx="124">
                  <c:v>-5</c:v>
                </c:pt>
                <c:pt idx="125">
                  <c:v>-5</c:v>
                </c:pt>
                <c:pt idx="126">
                  <c:v>-5</c:v>
                </c:pt>
                <c:pt idx="127">
                  <c:v>-5</c:v>
                </c:pt>
                <c:pt idx="128">
                  <c:v>-5</c:v>
                </c:pt>
                <c:pt idx="129">
                  <c:v>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61-4B94-AFDC-313AE8BA97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2115376"/>
        <c:axId val="1853899552"/>
      </c:lineChart>
      <c:catAx>
        <c:axId val="1742115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3899552"/>
        <c:crosses val="autoZero"/>
        <c:auto val="1"/>
        <c:lblAlgn val="ctr"/>
        <c:lblOffset val="100"/>
        <c:noMultiLvlLbl val="0"/>
      </c:catAx>
      <c:valAx>
        <c:axId val="185389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211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Long Covered Call Option: Payoff at Expiration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'Covered Call'!$S$17:$S$146</c:f>
              <c:numCache>
                <c:formatCode>0.00</c:formatCode>
                <c:ptCount val="130"/>
                <c:pt idx="0">
                  <c:v>67</c:v>
                </c:pt>
                <c:pt idx="1">
                  <c:v>67.67</c:v>
                </c:pt>
                <c:pt idx="2">
                  <c:v>68.346699999999998</c:v>
                </c:pt>
                <c:pt idx="3">
                  <c:v>69.030167000000006</c:v>
                </c:pt>
                <c:pt idx="4">
                  <c:v>69.720468670000002</c:v>
                </c:pt>
                <c:pt idx="5">
                  <c:v>70.417673356700007</c:v>
                </c:pt>
                <c:pt idx="6">
                  <c:v>71.121850090267003</c:v>
                </c:pt>
                <c:pt idx="7">
                  <c:v>71.833068591169678</c:v>
                </c:pt>
                <c:pt idx="8">
                  <c:v>72.551399277081373</c:v>
                </c:pt>
                <c:pt idx="9">
                  <c:v>73.276913269852187</c:v>
                </c:pt>
                <c:pt idx="10">
                  <c:v>74.009682402550709</c:v>
                </c:pt>
                <c:pt idx="11">
                  <c:v>74.749779226576223</c:v>
                </c:pt>
                <c:pt idx="12">
                  <c:v>75.497277018841984</c:v>
                </c:pt>
                <c:pt idx="13">
                  <c:v>76.252249789030401</c:v>
                </c:pt>
                <c:pt idx="14">
                  <c:v>77.014772286920703</c:v>
                </c:pt>
                <c:pt idx="15">
                  <c:v>77.784920009789914</c:v>
                </c:pt>
                <c:pt idx="16">
                  <c:v>78.562769209887819</c:v>
                </c:pt>
                <c:pt idx="17">
                  <c:v>79.348396901986703</c:v>
                </c:pt>
                <c:pt idx="18">
                  <c:v>80.141880871006578</c:v>
                </c:pt>
                <c:pt idx="19">
                  <c:v>80.943299679716645</c:v>
                </c:pt>
                <c:pt idx="20">
                  <c:v>81.752732676513816</c:v>
                </c:pt>
                <c:pt idx="21">
                  <c:v>82.57026000327896</c:v>
                </c:pt>
                <c:pt idx="22">
                  <c:v>83.395962603311744</c:v>
                </c:pt>
                <c:pt idx="23">
                  <c:v>84.229922229344865</c:v>
                </c:pt>
                <c:pt idx="24">
                  <c:v>85.072221451638313</c:v>
                </c:pt>
                <c:pt idx="25">
                  <c:v>85.922943666154694</c:v>
                </c:pt>
                <c:pt idx="26">
                  <c:v>86.782173102816245</c:v>
                </c:pt>
                <c:pt idx="27">
                  <c:v>87.649994833844403</c:v>
                </c:pt>
                <c:pt idx="28">
                  <c:v>88.526494782182851</c:v>
                </c:pt>
                <c:pt idx="29">
                  <c:v>89.411759730004675</c:v>
                </c:pt>
                <c:pt idx="30">
                  <c:v>90.305877327304728</c:v>
                </c:pt>
                <c:pt idx="31">
                  <c:v>91.208936100577773</c:v>
                </c:pt>
                <c:pt idx="32">
                  <c:v>92.121025461583557</c:v>
                </c:pt>
                <c:pt idx="33">
                  <c:v>93.0422357161994</c:v>
                </c:pt>
                <c:pt idx="34">
                  <c:v>93.972658073361401</c:v>
                </c:pt>
                <c:pt idx="35">
                  <c:v>94.912384654095021</c:v>
                </c:pt>
                <c:pt idx="36">
                  <c:v>95.861508500635978</c:v>
                </c:pt>
                <c:pt idx="37">
                  <c:v>96.820123585642335</c:v>
                </c:pt>
                <c:pt idx="38">
                  <c:v>97.788324821498762</c:v>
                </c:pt>
                <c:pt idx="39">
                  <c:v>98.766208069713755</c:v>
                </c:pt>
                <c:pt idx="40">
                  <c:v>99.75387015041089</c:v>
                </c:pt>
                <c:pt idx="41">
                  <c:v>100.751408851915</c:v>
                </c:pt>
                <c:pt idx="42">
                  <c:v>101.75892294043415</c:v>
                </c:pt>
                <c:pt idx="43">
                  <c:v>102.77651216983848</c:v>
                </c:pt>
                <c:pt idx="44">
                  <c:v>103.80427729153686</c:v>
                </c:pt>
                <c:pt idx="45">
                  <c:v>104.84232006445224</c:v>
                </c:pt>
                <c:pt idx="46">
                  <c:v>105.89074326509676</c:v>
                </c:pt>
                <c:pt idx="47">
                  <c:v>106.94965069774773</c:v>
                </c:pt>
                <c:pt idx="48">
                  <c:v>108.0191472047252</c:v>
                </c:pt>
                <c:pt idx="49">
                  <c:v>109.09933867677245</c:v>
                </c:pt>
                <c:pt idx="50">
                  <c:v>110.19033206354017</c:v>
                </c:pt>
                <c:pt idx="51">
                  <c:v>111.29223538417557</c:v>
                </c:pt>
                <c:pt idx="52">
                  <c:v>112.40515773801732</c:v>
                </c:pt>
                <c:pt idx="53">
                  <c:v>113.52920931539749</c:v>
                </c:pt>
                <c:pt idx="54">
                  <c:v>114.66450140855147</c:v>
                </c:pt>
                <c:pt idx="55">
                  <c:v>115.81114642263699</c:v>
                </c:pt>
                <c:pt idx="56">
                  <c:v>116.96925788686336</c:v>
                </c:pt>
                <c:pt idx="57">
                  <c:v>118.13895046573199</c:v>
                </c:pt>
                <c:pt idx="58">
                  <c:v>119.32033997038931</c:v>
                </c:pt>
                <c:pt idx="59">
                  <c:v>120.5135433700932</c:v>
                </c:pt>
                <c:pt idx="60">
                  <c:v>121.71867880379413</c:v>
                </c:pt>
                <c:pt idx="61">
                  <c:v>122.93586559183208</c:v>
                </c:pt>
                <c:pt idx="62">
                  <c:v>124.1652242477504</c:v>
                </c:pt>
                <c:pt idx="63">
                  <c:v>125.4068764902279</c:v>
                </c:pt>
                <c:pt idx="64">
                  <c:v>126.66094525513019</c:v>
                </c:pt>
                <c:pt idx="65">
                  <c:v>127.92755470768149</c:v>
                </c:pt>
                <c:pt idx="66">
                  <c:v>129.2068302547583</c:v>
                </c:pt>
                <c:pt idx="67">
                  <c:v>130.49889855730589</c:v>
                </c:pt>
                <c:pt idx="68">
                  <c:v>131.80388754287895</c:v>
                </c:pt>
                <c:pt idx="69">
                  <c:v>133.12192641830774</c:v>
                </c:pt>
                <c:pt idx="70">
                  <c:v>134.45314568249083</c:v>
                </c:pt>
                <c:pt idx="71">
                  <c:v>135.79767713931574</c:v>
                </c:pt>
                <c:pt idx="72">
                  <c:v>137.15565391070891</c:v>
                </c:pt>
                <c:pt idx="73">
                  <c:v>138.52721044981601</c:v>
                </c:pt>
                <c:pt idx="74">
                  <c:v>139.91248255431418</c:v>
                </c:pt>
                <c:pt idx="75">
                  <c:v>141.31160737985732</c:v>
                </c:pt>
                <c:pt idx="76">
                  <c:v>142.72472345365588</c:v>
                </c:pt>
                <c:pt idx="77">
                  <c:v>144.15197068819245</c:v>
                </c:pt>
                <c:pt idx="78">
                  <c:v>145.59349039507438</c:v>
                </c:pt>
                <c:pt idx="79">
                  <c:v>147.04942529902513</c:v>
                </c:pt>
                <c:pt idx="80">
                  <c:v>148.51991955201538</c:v>
                </c:pt>
                <c:pt idx="81">
                  <c:v>150.00511874753553</c:v>
                </c:pt>
                <c:pt idx="82">
                  <c:v>151.50516993501088</c:v>
                </c:pt>
                <c:pt idx="83">
                  <c:v>153.02022163436101</c:v>
                </c:pt>
                <c:pt idx="84">
                  <c:v>154.55042385070462</c:v>
                </c:pt>
                <c:pt idx="85">
                  <c:v>156.09592808921167</c:v>
                </c:pt>
                <c:pt idx="86">
                  <c:v>157.65688737010379</c:v>
                </c:pt>
                <c:pt idx="87">
                  <c:v>159.23345624380482</c:v>
                </c:pt>
                <c:pt idx="88">
                  <c:v>160.82579080624288</c:v>
                </c:pt>
                <c:pt idx="89">
                  <c:v>162.43404871430531</c:v>
                </c:pt>
                <c:pt idx="90">
                  <c:v>164.05838920144836</c:v>
                </c:pt>
                <c:pt idx="91">
                  <c:v>165.69897309346285</c:v>
                </c:pt>
                <c:pt idx="92">
                  <c:v>167.35596282439749</c:v>
                </c:pt>
                <c:pt idx="93">
                  <c:v>169.02952245264146</c:v>
                </c:pt>
                <c:pt idx="94">
                  <c:v>170.71981767716787</c:v>
                </c:pt>
                <c:pt idx="95">
                  <c:v>172.42701585393954</c:v>
                </c:pt>
                <c:pt idx="96">
                  <c:v>174.15128601247892</c:v>
                </c:pt>
                <c:pt idx="97">
                  <c:v>175.89279887260372</c:v>
                </c:pt>
                <c:pt idx="98">
                  <c:v>177.65172686132976</c:v>
                </c:pt>
                <c:pt idx="99">
                  <c:v>179.42824412994307</c:v>
                </c:pt>
                <c:pt idx="100">
                  <c:v>181.2225265712425</c:v>
                </c:pt>
                <c:pt idx="101">
                  <c:v>183.03475183695491</c:v>
                </c:pt>
                <c:pt idx="102">
                  <c:v>184.86509935532447</c:v>
                </c:pt>
                <c:pt idx="103">
                  <c:v>186.71375034887771</c:v>
                </c:pt>
                <c:pt idx="104">
                  <c:v>188.58088785236649</c:v>
                </c:pt>
                <c:pt idx="105">
                  <c:v>190.46669673089016</c:v>
                </c:pt>
                <c:pt idx="106">
                  <c:v>192.37136369819908</c:v>
                </c:pt>
                <c:pt idx="107">
                  <c:v>194.29507733518108</c:v>
                </c:pt>
                <c:pt idx="108">
                  <c:v>196.23802810853289</c:v>
                </c:pt>
                <c:pt idx="109">
                  <c:v>198.20040838961822</c:v>
                </c:pt>
                <c:pt idx="110">
                  <c:v>200.1824124735144</c:v>
                </c:pt>
                <c:pt idx="111">
                  <c:v>202.18423659824956</c:v>
                </c:pt>
                <c:pt idx="112">
                  <c:v>204.20607896423206</c:v>
                </c:pt>
                <c:pt idx="113">
                  <c:v>206.2481397538744</c:v>
                </c:pt>
                <c:pt idx="114">
                  <c:v>208.31062115141313</c:v>
                </c:pt>
                <c:pt idx="115">
                  <c:v>210.39372736292725</c:v>
                </c:pt>
                <c:pt idx="116">
                  <c:v>212.49766463655652</c:v>
                </c:pt>
                <c:pt idx="117">
                  <c:v>214.62264128292207</c:v>
                </c:pt>
                <c:pt idx="118">
                  <c:v>216.76886769575131</c:v>
                </c:pt>
                <c:pt idx="119">
                  <c:v>218.93655637270882</c:v>
                </c:pt>
                <c:pt idx="120">
                  <c:v>221.1259219364359</c:v>
                </c:pt>
                <c:pt idx="121">
                  <c:v>223.33718115580027</c:v>
                </c:pt>
                <c:pt idx="122">
                  <c:v>225.57055296735828</c:v>
                </c:pt>
                <c:pt idx="123">
                  <c:v>227.82625849703186</c:v>
                </c:pt>
                <c:pt idx="124">
                  <c:v>230.10452108200218</c:v>
                </c:pt>
                <c:pt idx="125">
                  <c:v>232.40556629282221</c:v>
                </c:pt>
                <c:pt idx="126">
                  <c:v>234.72962195575045</c:v>
                </c:pt>
                <c:pt idx="127">
                  <c:v>237.07691817530795</c:v>
                </c:pt>
                <c:pt idx="128">
                  <c:v>239.44768735706103</c:v>
                </c:pt>
                <c:pt idx="129">
                  <c:v>241.84216423063165</c:v>
                </c:pt>
              </c:numCache>
            </c:numRef>
          </c:cat>
          <c:val>
            <c:numRef>
              <c:f>'Long Call'!$T$17:$T$146</c:f>
              <c:numCache>
                <c:formatCode>General</c:formatCode>
                <c:ptCount val="1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6D-4FB4-960C-FD9A30A87914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'Covered Call'!$S$17:$S$146</c:f>
              <c:numCache>
                <c:formatCode>0.00</c:formatCode>
                <c:ptCount val="130"/>
                <c:pt idx="0">
                  <c:v>67</c:v>
                </c:pt>
                <c:pt idx="1">
                  <c:v>67.67</c:v>
                </c:pt>
                <c:pt idx="2">
                  <c:v>68.346699999999998</c:v>
                </c:pt>
                <c:pt idx="3">
                  <c:v>69.030167000000006</c:v>
                </c:pt>
                <c:pt idx="4">
                  <c:v>69.720468670000002</c:v>
                </c:pt>
                <c:pt idx="5">
                  <c:v>70.417673356700007</c:v>
                </c:pt>
                <c:pt idx="6">
                  <c:v>71.121850090267003</c:v>
                </c:pt>
                <c:pt idx="7">
                  <c:v>71.833068591169678</c:v>
                </c:pt>
                <c:pt idx="8">
                  <c:v>72.551399277081373</c:v>
                </c:pt>
                <c:pt idx="9">
                  <c:v>73.276913269852187</c:v>
                </c:pt>
                <c:pt idx="10">
                  <c:v>74.009682402550709</c:v>
                </c:pt>
                <c:pt idx="11">
                  <c:v>74.749779226576223</c:v>
                </c:pt>
                <c:pt idx="12">
                  <c:v>75.497277018841984</c:v>
                </c:pt>
                <c:pt idx="13">
                  <c:v>76.252249789030401</c:v>
                </c:pt>
                <c:pt idx="14">
                  <c:v>77.014772286920703</c:v>
                </c:pt>
                <c:pt idx="15">
                  <c:v>77.784920009789914</c:v>
                </c:pt>
                <c:pt idx="16">
                  <c:v>78.562769209887819</c:v>
                </c:pt>
                <c:pt idx="17">
                  <c:v>79.348396901986703</c:v>
                </c:pt>
                <c:pt idx="18">
                  <c:v>80.141880871006578</c:v>
                </c:pt>
                <c:pt idx="19">
                  <c:v>80.943299679716645</c:v>
                </c:pt>
                <c:pt idx="20">
                  <c:v>81.752732676513816</c:v>
                </c:pt>
                <c:pt idx="21">
                  <c:v>82.57026000327896</c:v>
                </c:pt>
                <c:pt idx="22">
                  <c:v>83.395962603311744</c:v>
                </c:pt>
                <c:pt idx="23">
                  <c:v>84.229922229344865</c:v>
                </c:pt>
                <c:pt idx="24">
                  <c:v>85.072221451638313</c:v>
                </c:pt>
                <c:pt idx="25">
                  <c:v>85.922943666154694</c:v>
                </c:pt>
                <c:pt idx="26">
                  <c:v>86.782173102816245</c:v>
                </c:pt>
                <c:pt idx="27">
                  <c:v>87.649994833844403</c:v>
                </c:pt>
                <c:pt idx="28">
                  <c:v>88.526494782182851</c:v>
                </c:pt>
                <c:pt idx="29">
                  <c:v>89.411759730004675</c:v>
                </c:pt>
                <c:pt idx="30">
                  <c:v>90.305877327304728</c:v>
                </c:pt>
                <c:pt idx="31">
                  <c:v>91.208936100577773</c:v>
                </c:pt>
                <c:pt idx="32">
                  <c:v>92.121025461583557</c:v>
                </c:pt>
                <c:pt idx="33">
                  <c:v>93.0422357161994</c:v>
                </c:pt>
                <c:pt idx="34">
                  <c:v>93.972658073361401</c:v>
                </c:pt>
                <c:pt idx="35">
                  <c:v>94.912384654095021</c:v>
                </c:pt>
                <c:pt idx="36">
                  <c:v>95.861508500635978</c:v>
                </c:pt>
                <c:pt idx="37">
                  <c:v>96.820123585642335</c:v>
                </c:pt>
                <c:pt idx="38">
                  <c:v>97.788324821498762</c:v>
                </c:pt>
                <c:pt idx="39">
                  <c:v>98.766208069713755</c:v>
                </c:pt>
                <c:pt idx="40">
                  <c:v>99.75387015041089</c:v>
                </c:pt>
                <c:pt idx="41">
                  <c:v>100.751408851915</c:v>
                </c:pt>
                <c:pt idx="42">
                  <c:v>101.75892294043415</c:v>
                </c:pt>
                <c:pt idx="43">
                  <c:v>102.77651216983848</c:v>
                </c:pt>
                <c:pt idx="44">
                  <c:v>103.80427729153686</c:v>
                </c:pt>
                <c:pt idx="45">
                  <c:v>104.84232006445224</c:v>
                </c:pt>
                <c:pt idx="46">
                  <c:v>105.89074326509676</c:v>
                </c:pt>
                <c:pt idx="47">
                  <c:v>106.94965069774773</c:v>
                </c:pt>
                <c:pt idx="48">
                  <c:v>108.0191472047252</c:v>
                </c:pt>
                <c:pt idx="49">
                  <c:v>109.09933867677245</c:v>
                </c:pt>
                <c:pt idx="50">
                  <c:v>110.19033206354017</c:v>
                </c:pt>
                <c:pt idx="51">
                  <c:v>111.29223538417557</c:v>
                </c:pt>
                <c:pt idx="52">
                  <c:v>112.40515773801732</c:v>
                </c:pt>
                <c:pt idx="53">
                  <c:v>113.52920931539749</c:v>
                </c:pt>
                <c:pt idx="54">
                  <c:v>114.66450140855147</c:v>
                </c:pt>
                <c:pt idx="55">
                  <c:v>115.81114642263699</c:v>
                </c:pt>
                <c:pt idx="56">
                  <c:v>116.96925788686336</c:v>
                </c:pt>
                <c:pt idx="57">
                  <c:v>118.13895046573199</c:v>
                </c:pt>
                <c:pt idx="58">
                  <c:v>119.32033997038931</c:v>
                </c:pt>
                <c:pt idx="59">
                  <c:v>120.5135433700932</c:v>
                </c:pt>
                <c:pt idx="60">
                  <c:v>121.71867880379413</c:v>
                </c:pt>
                <c:pt idx="61">
                  <c:v>122.93586559183208</c:v>
                </c:pt>
                <c:pt idx="62">
                  <c:v>124.1652242477504</c:v>
                </c:pt>
                <c:pt idx="63">
                  <c:v>125.4068764902279</c:v>
                </c:pt>
                <c:pt idx="64">
                  <c:v>126.66094525513019</c:v>
                </c:pt>
                <c:pt idx="65">
                  <c:v>127.92755470768149</c:v>
                </c:pt>
                <c:pt idx="66">
                  <c:v>129.2068302547583</c:v>
                </c:pt>
                <c:pt idx="67">
                  <c:v>130.49889855730589</c:v>
                </c:pt>
                <c:pt idx="68">
                  <c:v>131.80388754287895</c:v>
                </c:pt>
                <c:pt idx="69">
                  <c:v>133.12192641830774</c:v>
                </c:pt>
                <c:pt idx="70">
                  <c:v>134.45314568249083</c:v>
                </c:pt>
                <c:pt idx="71">
                  <c:v>135.79767713931574</c:v>
                </c:pt>
                <c:pt idx="72">
                  <c:v>137.15565391070891</c:v>
                </c:pt>
                <c:pt idx="73">
                  <c:v>138.52721044981601</c:v>
                </c:pt>
                <c:pt idx="74">
                  <c:v>139.91248255431418</c:v>
                </c:pt>
                <c:pt idx="75">
                  <c:v>141.31160737985732</c:v>
                </c:pt>
                <c:pt idx="76">
                  <c:v>142.72472345365588</c:v>
                </c:pt>
                <c:pt idx="77">
                  <c:v>144.15197068819245</c:v>
                </c:pt>
                <c:pt idx="78">
                  <c:v>145.59349039507438</c:v>
                </c:pt>
                <c:pt idx="79">
                  <c:v>147.04942529902513</c:v>
                </c:pt>
                <c:pt idx="80">
                  <c:v>148.51991955201538</c:v>
                </c:pt>
                <c:pt idx="81">
                  <c:v>150.00511874753553</c:v>
                </c:pt>
                <c:pt idx="82">
                  <c:v>151.50516993501088</c:v>
                </c:pt>
                <c:pt idx="83">
                  <c:v>153.02022163436101</c:v>
                </c:pt>
                <c:pt idx="84">
                  <c:v>154.55042385070462</c:v>
                </c:pt>
                <c:pt idx="85">
                  <c:v>156.09592808921167</c:v>
                </c:pt>
                <c:pt idx="86">
                  <c:v>157.65688737010379</c:v>
                </c:pt>
                <c:pt idx="87">
                  <c:v>159.23345624380482</c:v>
                </c:pt>
                <c:pt idx="88">
                  <c:v>160.82579080624288</c:v>
                </c:pt>
                <c:pt idx="89">
                  <c:v>162.43404871430531</c:v>
                </c:pt>
                <c:pt idx="90">
                  <c:v>164.05838920144836</c:v>
                </c:pt>
                <c:pt idx="91">
                  <c:v>165.69897309346285</c:v>
                </c:pt>
                <c:pt idx="92">
                  <c:v>167.35596282439749</c:v>
                </c:pt>
                <c:pt idx="93">
                  <c:v>169.02952245264146</c:v>
                </c:pt>
                <c:pt idx="94">
                  <c:v>170.71981767716787</c:v>
                </c:pt>
                <c:pt idx="95">
                  <c:v>172.42701585393954</c:v>
                </c:pt>
                <c:pt idx="96">
                  <c:v>174.15128601247892</c:v>
                </c:pt>
                <c:pt idx="97">
                  <c:v>175.89279887260372</c:v>
                </c:pt>
                <c:pt idx="98">
                  <c:v>177.65172686132976</c:v>
                </c:pt>
                <c:pt idx="99">
                  <c:v>179.42824412994307</c:v>
                </c:pt>
                <c:pt idx="100">
                  <c:v>181.2225265712425</c:v>
                </c:pt>
                <c:pt idx="101">
                  <c:v>183.03475183695491</c:v>
                </c:pt>
                <c:pt idx="102">
                  <c:v>184.86509935532447</c:v>
                </c:pt>
                <c:pt idx="103">
                  <c:v>186.71375034887771</c:v>
                </c:pt>
                <c:pt idx="104">
                  <c:v>188.58088785236649</c:v>
                </c:pt>
                <c:pt idx="105">
                  <c:v>190.46669673089016</c:v>
                </c:pt>
                <c:pt idx="106">
                  <c:v>192.37136369819908</c:v>
                </c:pt>
                <c:pt idx="107">
                  <c:v>194.29507733518108</c:v>
                </c:pt>
                <c:pt idx="108">
                  <c:v>196.23802810853289</c:v>
                </c:pt>
                <c:pt idx="109">
                  <c:v>198.20040838961822</c:v>
                </c:pt>
                <c:pt idx="110">
                  <c:v>200.1824124735144</c:v>
                </c:pt>
                <c:pt idx="111">
                  <c:v>202.18423659824956</c:v>
                </c:pt>
                <c:pt idx="112">
                  <c:v>204.20607896423206</c:v>
                </c:pt>
                <c:pt idx="113">
                  <c:v>206.2481397538744</c:v>
                </c:pt>
                <c:pt idx="114">
                  <c:v>208.31062115141313</c:v>
                </c:pt>
                <c:pt idx="115">
                  <c:v>210.39372736292725</c:v>
                </c:pt>
                <c:pt idx="116">
                  <c:v>212.49766463655652</c:v>
                </c:pt>
                <c:pt idx="117">
                  <c:v>214.62264128292207</c:v>
                </c:pt>
                <c:pt idx="118">
                  <c:v>216.76886769575131</c:v>
                </c:pt>
                <c:pt idx="119">
                  <c:v>218.93655637270882</c:v>
                </c:pt>
                <c:pt idx="120">
                  <c:v>221.1259219364359</c:v>
                </c:pt>
                <c:pt idx="121">
                  <c:v>223.33718115580027</c:v>
                </c:pt>
                <c:pt idx="122">
                  <c:v>225.57055296735828</c:v>
                </c:pt>
                <c:pt idx="123">
                  <c:v>227.82625849703186</c:v>
                </c:pt>
                <c:pt idx="124">
                  <c:v>230.10452108200218</c:v>
                </c:pt>
                <c:pt idx="125">
                  <c:v>232.40556629282221</c:v>
                </c:pt>
                <c:pt idx="126">
                  <c:v>234.72962195575045</c:v>
                </c:pt>
                <c:pt idx="127">
                  <c:v>237.07691817530795</c:v>
                </c:pt>
                <c:pt idx="128">
                  <c:v>239.44768735706103</c:v>
                </c:pt>
                <c:pt idx="129">
                  <c:v>241.84216423063165</c:v>
                </c:pt>
              </c:numCache>
            </c:numRef>
          </c:cat>
          <c:val>
            <c:numRef>
              <c:f>'Covered Call'!$U$17:$U$146</c:f>
              <c:numCache>
                <c:formatCode>General</c:formatCode>
                <c:ptCount val="130"/>
                <c:pt idx="0">
                  <c:v>-23</c:v>
                </c:pt>
                <c:pt idx="1">
                  <c:v>-22.33</c:v>
                </c:pt>
                <c:pt idx="2">
                  <c:v>-21.653300000000002</c:v>
                </c:pt>
                <c:pt idx="3">
                  <c:v>-20.969832999999994</c:v>
                </c:pt>
                <c:pt idx="4">
                  <c:v>-20.279531329999998</c:v>
                </c:pt>
                <c:pt idx="5">
                  <c:v>-19.582326643299993</c:v>
                </c:pt>
                <c:pt idx="6">
                  <c:v>-18.878149909732997</c:v>
                </c:pt>
                <c:pt idx="7">
                  <c:v>-18.166931408830322</c:v>
                </c:pt>
                <c:pt idx="8">
                  <c:v>-17.448600722918627</c:v>
                </c:pt>
                <c:pt idx="9">
                  <c:v>-16.723086730147813</c:v>
                </c:pt>
                <c:pt idx="10">
                  <c:v>-15.990317597449291</c:v>
                </c:pt>
                <c:pt idx="11">
                  <c:v>-15.250220773423777</c:v>
                </c:pt>
                <c:pt idx="12">
                  <c:v>-14.502722981158016</c:v>
                </c:pt>
                <c:pt idx="13">
                  <c:v>-13.747750210969599</c:v>
                </c:pt>
                <c:pt idx="14">
                  <c:v>-12.985227713079297</c:v>
                </c:pt>
                <c:pt idx="15">
                  <c:v>-12.215079990210086</c:v>
                </c:pt>
                <c:pt idx="16">
                  <c:v>-11.437230790112181</c:v>
                </c:pt>
                <c:pt idx="17">
                  <c:v>-10.651603098013297</c:v>
                </c:pt>
                <c:pt idx="18">
                  <c:v>-9.8581191289934225</c:v>
                </c:pt>
                <c:pt idx="19">
                  <c:v>-9.0567003202833547</c:v>
                </c:pt>
                <c:pt idx="20">
                  <c:v>-8.2472673234861844</c:v>
                </c:pt>
                <c:pt idx="21">
                  <c:v>-7.4297399967210396</c:v>
                </c:pt>
                <c:pt idx="22">
                  <c:v>-6.6040373966882555</c:v>
                </c:pt>
                <c:pt idx="23">
                  <c:v>-5.7700777706551349</c:v>
                </c:pt>
                <c:pt idx="24">
                  <c:v>-4.9277785483616867</c:v>
                </c:pt>
                <c:pt idx="25">
                  <c:v>-4.0770563338453059</c:v>
                </c:pt>
                <c:pt idx="26">
                  <c:v>-3.2178268971837554</c:v>
                </c:pt>
                <c:pt idx="27">
                  <c:v>-2.3500051661555972</c:v>
                </c:pt>
                <c:pt idx="28">
                  <c:v>-1.4735052178171486</c:v>
                </c:pt>
                <c:pt idx="29">
                  <c:v>-0.58824026999532464</c:v>
                </c:pt>
                <c:pt idx="30">
                  <c:v>0.30587732730472794</c:v>
                </c:pt>
                <c:pt idx="31">
                  <c:v>1.2089361005777732</c:v>
                </c:pt>
                <c:pt idx="32">
                  <c:v>2.1210254615835566</c:v>
                </c:pt>
                <c:pt idx="33">
                  <c:v>3.0422357161994</c:v>
                </c:pt>
                <c:pt idx="34">
                  <c:v>3.9726580733614014</c:v>
                </c:pt>
                <c:pt idx="35">
                  <c:v>4.9123846540950211</c:v>
                </c:pt>
                <c:pt idx="36">
                  <c:v>5.8615085006359777</c:v>
                </c:pt>
                <c:pt idx="37">
                  <c:v>6.8201235856423352</c:v>
                </c:pt>
                <c:pt idx="38">
                  <c:v>7.7883248214987617</c:v>
                </c:pt>
                <c:pt idx="39">
                  <c:v>8.7662080697137554</c:v>
                </c:pt>
                <c:pt idx="40">
                  <c:v>9.75387015041089</c:v>
                </c:pt>
                <c:pt idx="41">
                  <c:v>10.751408851915002</c:v>
                </c:pt>
                <c:pt idx="42">
                  <c:v>11.758922940434147</c:v>
                </c:pt>
                <c:pt idx="43">
                  <c:v>12.776512169838483</c:v>
                </c:pt>
                <c:pt idx="44">
                  <c:v>13.804277291536863</c:v>
                </c:pt>
                <c:pt idx="45">
                  <c:v>14.842320064452238</c:v>
                </c:pt>
                <c:pt idx="46">
                  <c:v>15.890743265096759</c:v>
                </c:pt>
                <c:pt idx="47">
                  <c:v>16.949650697747728</c:v>
                </c:pt>
                <c:pt idx="48">
                  <c:v>18.019147204725201</c:v>
                </c:pt>
                <c:pt idx="49">
                  <c:v>19.099338676772447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20</c:v>
                </c:pt>
                <c:pt idx="106">
                  <c:v>20</c:v>
                </c:pt>
                <c:pt idx="107">
                  <c:v>20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20</c:v>
                </c:pt>
                <c:pt idx="115">
                  <c:v>20</c:v>
                </c:pt>
                <c:pt idx="116">
                  <c:v>20</c:v>
                </c:pt>
                <c:pt idx="117">
                  <c:v>20</c:v>
                </c:pt>
                <c:pt idx="118">
                  <c:v>20</c:v>
                </c:pt>
                <c:pt idx="119">
                  <c:v>20</c:v>
                </c:pt>
                <c:pt idx="120">
                  <c:v>20</c:v>
                </c:pt>
                <c:pt idx="121">
                  <c:v>20</c:v>
                </c:pt>
                <c:pt idx="122">
                  <c:v>20</c:v>
                </c:pt>
                <c:pt idx="123">
                  <c:v>20</c:v>
                </c:pt>
                <c:pt idx="124">
                  <c:v>20</c:v>
                </c:pt>
                <c:pt idx="125">
                  <c:v>20</c:v>
                </c:pt>
                <c:pt idx="126">
                  <c:v>20</c:v>
                </c:pt>
                <c:pt idx="127">
                  <c:v>20</c:v>
                </c:pt>
                <c:pt idx="128">
                  <c:v>20</c:v>
                </c:pt>
                <c:pt idx="129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6D-4FB4-960C-FD9A30A87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2115376"/>
        <c:axId val="1853899552"/>
      </c:lineChart>
      <c:catAx>
        <c:axId val="1742115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3899552"/>
        <c:crosses val="autoZero"/>
        <c:auto val="1"/>
        <c:lblAlgn val="ctr"/>
        <c:lblOffset val="100"/>
        <c:noMultiLvlLbl val="0"/>
      </c:catAx>
      <c:valAx>
        <c:axId val="185389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211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Long Bull Call Spread Option: Payoff at Expiration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'Bull Call Spread'!$S$17:$S$146</c:f>
              <c:strCache>
                <c:ptCount val="130"/>
                <c:pt idx="0">
                  <c:v>Price at expiry</c:v>
                </c:pt>
                <c:pt idx="1">
                  <c:v>84.00</c:v>
                </c:pt>
                <c:pt idx="2">
                  <c:v>84.84</c:v>
                </c:pt>
                <c:pt idx="3">
                  <c:v>85.69</c:v>
                </c:pt>
                <c:pt idx="4">
                  <c:v>86.55</c:v>
                </c:pt>
                <c:pt idx="5">
                  <c:v>87.41</c:v>
                </c:pt>
                <c:pt idx="6">
                  <c:v>88.28</c:v>
                </c:pt>
                <c:pt idx="7">
                  <c:v>89.17</c:v>
                </c:pt>
                <c:pt idx="8">
                  <c:v>90.06</c:v>
                </c:pt>
                <c:pt idx="9">
                  <c:v>90.96</c:v>
                </c:pt>
                <c:pt idx="10">
                  <c:v>91.87</c:v>
                </c:pt>
                <c:pt idx="11">
                  <c:v>92.79</c:v>
                </c:pt>
                <c:pt idx="12">
                  <c:v>93.72</c:v>
                </c:pt>
                <c:pt idx="13">
                  <c:v>94.65</c:v>
                </c:pt>
                <c:pt idx="14">
                  <c:v>95.60</c:v>
                </c:pt>
                <c:pt idx="15">
                  <c:v>96.56</c:v>
                </c:pt>
                <c:pt idx="16">
                  <c:v>97.52</c:v>
                </c:pt>
                <c:pt idx="17">
                  <c:v>98.50</c:v>
                </c:pt>
                <c:pt idx="18">
                  <c:v>99.48</c:v>
                </c:pt>
                <c:pt idx="19">
                  <c:v>100.48</c:v>
                </c:pt>
                <c:pt idx="20">
                  <c:v>101.48</c:v>
                </c:pt>
                <c:pt idx="21">
                  <c:v>102.50</c:v>
                </c:pt>
                <c:pt idx="22">
                  <c:v>103.52</c:v>
                </c:pt>
                <c:pt idx="23">
                  <c:v>104.56</c:v>
                </c:pt>
                <c:pt idx="24">
                  <c:v>105.60</c:v>
                </c:pt>
                <c:pt idx="25">
                  <c:v>106.66</c:v>
                </c:pt>
                <c:pt idx="26">
                  <c:v>107.72</c:v>
                </c:pt>
                <c:pt idx="27">
                  <c:v>108.80</c:v>
                </c:pt>
                <c:pt idx="28">
                  <c:v>109.89</c:v>
                </c:pt>
                <c:pt idx="29">
                  <c:v>110.99</c:v>
                </c:pt>
                <c:pt idx="30">
                  <c:v>112.10</c:v>
                </c:pt>
                <c:pt idx="31">
                  <c:v>113.22</c:v>
                </c:pt>
                <c:pt idx="32">
                  <c:v>114.35</c:v>
                </c:pt>
                <c:pt idx="33">
                  <c:v>115.50</c:v>
                </c:pt>
                <c:pt idx="34">
                  <c:v>116.65</c:v>
                </c:pt>
                <c:pt idx="35">
                  <c:v>117.82</c:v>
                </c:pt>
                <c:pt idx="36">
                  <c:v>118.99</c:v>
                </c:pt>
                <c:pt idx="37">
                  <c:v>120.18</c:v>
                </c:pt>
                <c:pt idx="38">
                  <c:v>121.39</c:v>
                </c:pt>
                <c:pt idx="39">
                  <c:v>122.60</c:v>
                </c:pt>
                <c:pt idx="40">
                  <c:v>123.83</c:v>
                </c:pt>
                <c:pt idx="41">
                  <c:v>125.06</c:v>
                </c:pt>
                <c:pt idx="42">
                  <c:v>126.32</c:v>
                </c:pt>
                <c:pt idx="43">
                  <c:v>127.58</c:v>
                </c:pt>
                <c:pt idx="44">
                  <c:v>128.85</c:v>
                </c:pt>
                <c:pt idx="45">
                  <c:v>130.14</c:v>
                </c:pt>
                <c:pt idx="46">
                  <c:v>131.44</c:v>
                </c:pt>
                <c:pt idx="47">
                  <c:v>132.76</c:v>
                </c:pt>
                <c:pt idx="48">
                  <c:v>134.09</c:v>
                </c:pt>
                <c:pt idx="49">
                  <c:v>135.43</c:v>
                </c:pt>
                <c:pt idx="50">
                  <c:v>136.78</c:v>
                </c:pt>
                <c:pt idx="51">
                  <c:v>138.15</c:v>
                </c:pt>
                <c:pt idx="52">
                  <c:v>139.53</c:v>
                </c:pt>
                <c:pt idx="53">
                  <c:v>140.93</c:v>
                </c:pt>
                <c:pt idx="54">
                  <c:v>142.34</c:v>
                </c:pt>
                <c:pt idx="55">
                  <c:v>143.76</c:v>
                </c:pt>
                <c:pt idx="56">
                  <c:v>145.20</c:v>
                </c:pt>
                <c:pt idx="57">
                  <c:v>146.65</c:v>
                </c:pt>
                <c:pt idx="58">
                  <c:v>148.11</c:v>
                </c:pt>
                <c:pt idx="59">
                  <c:v>149.60</c:v>
                </c:pt>
                <c:pt idx="60">
                  <c:v>151.09</c:v>
                </c:pt>
                <c:pt idx="61">
                  <c:v>152.60</c:v>
                </c:pt>
                <c:pt idx="62">
                  <c:v>154.13</c:v>
                </c:pt>
                <c:pt idx="63">
                  <c:v>155.67</c:v>
                </c:pt>
                <c:pt idx="64">
                  <c:v>157.23</c:v>
                </c:pt>
                <c:pt idx="65">
                  <c:v>158.80</c:v>
                </c:pt>
                <c:pt idx="66">
                  <c:v>160.39</c:v>
                </c:pt>
                <c:pt idx="67">
                  <c:v>161.99</c:v>
                </c:pt>
                <c:pt idx="68">
                  <c:v>163.61</c:v>
                </c:pt>
                <c:pt idx="69">
                  <c:v>165.25</c:v>
                </c:pt>
                <c:pt idx="70">
                  <c:v>166.90</c:v>
                </c:pt>
                <c:pt idx="71">
                  <c:v>168.57</c:v>
                </c:pt>
                <c:pt idx="72">
                  <c:v>170.25</c:v>
                </c:pt>
                <c:pt idx="73">
                  <c:v>171.96</c:v>
                </c:pt>
                <c:pt idx="74">
                  <c:v>173.68</c:v>
                </c:pt>
                <c:pt idx="75">
                  <c:v>175.41</c:v>
                </c:pt>
                <c:pt idx="76">
                  <c:v>177.17</c:v>
                </c:pt>
                <c:pt idx="77">
                  <c:v>178.94</c:v>
                </c:pt>
                <c:pt idx="78">
                  <c:v>180.73</c:v>
                </c:pt>
                <c:pt idx="79">
                  <c:v>182.54</c:v>
                </c:pt>
                <c:pt idx="80">
                  <c:v>184.36</c:v>
                </c:pt>
                <c:pt idx="81">
                  <c:v>186.20</c:v>
                </c:pt>
                <c:pt idx="82">
                  <c:v>188.07</c:v>
                </c:pt>
                <c:pt idx="83">
                  <c:v>189.95</c:v>
                </c:pt>
                <c:pt idx="84">
                  <c:v>191.85</c:v>
                </c:pt>
                <c:pt idx="85">
                  <c:v>193.76</c:v>
                </c:pt>
                <c:pt idx="86">
                  <c:v>195.70</c:v>
                </c:pt>
                <c:pt idx="87">
                  <c:v>197.66</c:v>
                </c:pt>
                <c:pt idx="88">
                  <c:v>199.64</c:v>
                </c:pt>
                <c:pt idx="89">
                  <c:v>201.63</c:v>
                </c:pt>
                <c:pt idx="90">
                  <c:v>203.65</c:v>
                </c:pt>
                <c:pt idx="91">
                  <c:v>205.69</c:v>
                </c:pt>
                <c:pt idx="92">
                  <c:v>207.74</c:v>
                </c:pt>
                <c:pt idx="93">
                  <c:v>209.82</c:v>
                </c:pt>
                <c:pt idx="94">
                  <c:v>211.92</c:v>
                </c:pt>
                <c:pt idx="95">
                  <c:v>214.04</c:v>
                </c:pt>
                <c:pt idx="96">
                  <c:v>216.18</c:v>
                </c:pt>
                <c:pt idx="97">
                  <c:v>218.34</c:v>
                </c:pt>
                <c:pt idx="98">
                  <c:v>220.52</c:v>
                </c:pt>
                <c:pt idx="99">
                  <c:v>222.73</c:v>
                </c:pt>
                <c:pt idx="100">
                  <c:v>224.95</c:v>
                </c:pt>
                <c:pt idx="101">
                  <c:v>227.20</c:v>
                </c:pt>
                <c:pt idx="102">
                  <c:v>229.48</c:v>
                </c:pt>
                <c:pt idx="103">
                  <c:v>231.77</c:v>
                </c:pt>
                <c:pt idx="104">
                  <c:v>234.09</c:v>
                </c:pt>
                <c:pt idx="105">
                  <c:v>236.43</c:v>
                </c:pt>
                <c:pt idx="106">
                  <c:v>238.79</c:v>
                </c:pt>
                <c:pt idx="107">
                  <c:v>241.18</c:v>
                </c:pt>
                <c:pt idx="108">
                  <c:v>243.59</c:v>
                </c:pt>
                <c:pt idx="109">
                  <c:v>246.03</c:v>
                </c:pt>
                <c:pt idx="110">
                  <c:v>248.49</c:v>
                </c:pt>
                <c:pt idx="111">
                  <c:v>250.97</c:v>
                </c:pt>
                <c:pt idx="112">
                  <c:v>253.48</c:v>
                </c:pt>
                <c:pt idx="113">
                  <c:v>256.02</c:v>
                </c:pt>
                <c:pt idx="114">
                  <c:v>258.58</c:v>
                </c:pt>
                <c:pt idx="115">
                  <c:v>261.17</c:v>
                </c:pt>
                <c:pt idx="116">
                  <c:v>263.78</c:v>
                </c:pt>
                <c:pt idx="117">
                  <c:v>266.41</c:v>
                </c:pt>
                <c:pt idx="118">
                  <c:v>269.08</c:v>
                </c:pt>
                <c:pt idx="119">
                  <c:v>271.77</c:v>
                </c:pt>
                <c:pt idx="120">
                  <c:v>274.49</c:v>
                </c:pt>
                <c:pt idx="121">
                  <c:v>277.23</c:v>
                </c:pt>
                <c:pt idx="122">
                  <c:v>280.00</c:v>
                </c:pt>
                <c:pt idx="123">
                  <c:v>282.80</c:v>
                </c:pt>
                <c:pt idx="124">
                  <c:v>285.63</c:v>
                </c:pt>
                <c:pt idx="125">
                  <c:v>288.49</c:v>
                </c:pt>
                <c:pt idx="126">
                  <c:v>291.37</c:v>
                </c:pt>
                <c:pt idx="127">
                  <c:v>294.29</c:v>
                </c:pt>
                <c:pt idx="128">
                  <c:v>297.23</c:v>
                </c:pt>
                <c:pt idx="129">
                  <c:v>300.20</c:v>
                </c:pt>
              </c:strCache>
            </c:strRef>
          </c:cat>
          <c:val>
            <c:numRef>
              <c:f>'Long Call'!$T$17:$T$146</c:f>
              <c:numCache>
                <c:formatCode>General</c:formatCode>
                <c:ptCount val="1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CA-4193-A8D8-65DCC3BC218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'Bull Call Spread'!$S$17:$S$146</c:f>
              <c:strCache>
                <c:ptCount val="130"/>
                <c:pt idx="0">
                  <c:v>Price at expiry</c:v>
                </c:pt>
                <c:pt idx="1">
                  <c:v>84.00</c:v>
                </c:pt>
                <c:pt idx="2">
                  <c:v>84.84</c:v>
                </c:pt>
                <c:pt idx="3">
                  <c:v>85.69</c:v>
                </c:pt>
                <c:pt idx="4">
                  <c:v>86.55</c:v>
                </c:pt>
                <c:pt idx="5">
                  <c:v>87.41</c:v>
                </c:pt>
                <c:pt idx="6">
                  <c:v>88.28</c:v>
                </c:pt>
                <c:pt idx="7">
                  <c:v>89.17</c:v>
                </c:pt>
                <c:pt idx="8">
                  <c:v>90.06</c:v>
                </c:pt>
                <c:pt idx="9">
                  <c:v>90.96</c:v>
                </c:pt>
                <c:pt idx="10">
                  <c:v>91.87</c:v>
                </c:pt>
                <c:pt idx="11">
                  <c:v>92.79</c:v>
                </c:pt>
                <c:pt idx="12">
                  <c:v>93.72</c:v>
                </c:pt>
                <c:pt idx="13">
                  <c:v>94.65</c:v>
                </c:pt>
                <c:pt idx="14">
                  <c:v>95.60</c:v>
                </c:pt>
                <c:pt idx="15">
                  <c:v>96.56</c:v>
                </c:pt>
                <c:pt idx="16">
                  <c:v>97.52</c:v>
                </c:pt>
                <c:pt idx="17">
                  <c:v>98.50</c:v>
                </c:pt>
                <c:pt idx="18">
                  <c:v>99.48</c:v>
                </c:pt>
                <c:pt idx="19">
                  <c:v>100.48</c:v>
                </c:pt>
                <c:pt idx="20">
                  <c:v>101.48</c:v>
                </c:pt>
                <c:pt idx="21">
                  <c:v>102.50</c:v>
                </c:pt>
                <c:pt idx="22">
                  <c:v>103.52</c:v>
                </c:pt>
                <c:pt idx="23">
                  <c:v>104.56</c:v>
                </c:pt>
                <c:pt idx="24">
                  <c:v>105.60</c:v>
                </c:pt>
                <c:pt idx="25">
                  <c:v>106.66</c:v>
                </c:pt>
                <c:pt idx="26">
                  <c:v>107.72</c:v>
                </c:pt>
                <c:pt idx="27">
                  <c:v>108.80</c:v>
                </c:pt>
                <c:pt idx="28">
                  <c:v>109.89</c:v>
                </c:pt>
                <c:pt idx="29">
                  <c:v>110.99</c:v>
                </c:pt>
                <c:pt idx="30">
                  <c:v>112.10</c:v>
                </c:pt>
                <c:pt idx="31">
                  <c:v>113.22</c:v>
                </c:pt>
                <c:pt idx="32">
                  <c:v>114.35</c:v>
                </c:pt>
                <c:pt idx="33">
                  <c:v>115.50</c:v>
                </c:pt>
                <c:pt idx="34">
                  <c:v>116.65</c:v>
                </c:pt>
                <c:pt idx="35">
                  <c:v>117.82</c:v>
                </c:pt>
                <c:pt idx="36">
                  <c:v>118.99</c:v>
                </c:pt>
                <c:pt idx="37">
                  <c:v>120.18</c:v>
                </c:pt>
                <c:pt idx="38">
                  <c:v>121.39</c:v>
                </c:pt>
                <c:pt idx="39">
                  <c:v>122.60</c:v>
                </c:pt>
                <c:pt idx="40">
                  <c:v>123.83</c:v>
                </c:pt>
                <c:pt idx="41">
                  <c:v>125.06</c:v>
                </c:pt>
                <c:pt idx="42">
                  <c:v>126.32</c:v>
                </c:pt>
                <c:pt idx="43">
                  <c:v>127.58</c:v>
                </c:pt>
                <c:pt idx="44">
                  <c:v>128.85</c:v>
                </c:pt>
                <c:pt idx="45">
                  <c:v>130.14</c:v>
                </c:pt>
                <c:pt idx="46">
                  <c:v>131.44</c:v>
                </c:pt>
                <c:pt idx="47">
                  <c:v>132.76</c:v>
                </c:pt>
                <c:pt idx="48">
                  <c:v>134.09</c:v>
                </c:pt>
                <c:pt idx="49">
                  <c:v>135.43</c:v>
                </c:pt>
                <c:pt idx="50">
                  <c:v>136.78</c:v>
                </c:pt>
                <c:pt idx="51">
                  <c:v>138.15</c:v>
                </c:pt>
                <c:pt idx="52">
                  <c:v>139.53</c:v>
                </c:pt>
                <c:pt idx="53">
                  <c:v>140.93</c:v>
                </c:pt>
                <c:pt idx="54">
                  <c:v>142.34</c:v>
                </c:pt>
                <c:pt idx="55">
                  <c:v>143.76</c:v>
                </c:pt>
                <c:pt idx="56">
                  <c:v>145.20</c:v>
                </c:pt>
                <c:pt idx="57">
                  <c:v>146.65</c:v>
                </c:pt>
                <c:pt idx="58">
                  <c:v>148.11</c:v>
                </c:pt>
                <c:pt idx="59">
                  <c:v>149.60</c:v>
                </c:pt>
                <c:pt idx="60">
                  <c:v>151.09</c:v>
                </c:pt>
                <c:pt idx="61">
                  <c:v>152.60</c:v>
                </c:pt>
                <c:pt idx="62">
                  <c:v>154.13</c:v>
                </c:pt>
                <c:pt idx="63">
                  <c:v>155.67</c:v>
                </c:pt>
                <c:pt idx="64">
                  <c:v>157.23</c:v>
                </c:pt>
                <c:pt idx="65">
                  <c:v>158.80</c:v>
                </c:pt>
                <c:pt idx="66">
                  <c:v>160.39</c:v>
                </c:pt>
                <c:pt idx="67">
                  <c:v>161.99</c:v>
                </c:pt>
                <c:pt idx="68">
                  <c:v>163.61</c:v>
                </c:pt>
                <c:pt idx="69">
                  <c:v>165.25</c:v>
                </c:pt>
                <c:pt idx="70">
                  <c:v>166.90</c:v>
                </c:pt>
                <c:pt idx="71">
                  <c:v>168.57</c:v>
                </c:pt>
                <c:pt idx="72">
                  <c:v>170.25</c:v>
                </c:pt>
                <c:pt idx="73">
                  <c:v>171.96</c:v>
                </c:pt>
                <c:pt idx="74">
                  <c:v>173.68</c:v>
                </c:pt>
                <c:pt idx="75">
                  <c:v>175.41</c:v>
                </c:pt>
                <c:pt idx="76">
                  <c:v>177.17</c:v>
                </c:pt>
                <c:pt idx="77">
                  <c:v>178.94</c:v>
                </c:pt>
                <c:pt idx="78">
                  <c:v>180.73</c:v>
                </c:pt>
                <c:pt idx="79">
                  <c:v>182.54</c:v>
                </c:pt>
                <c:pt idx="80">
                  <c:v>184.36</c:v>
                </c:pt>
                <c:pt idx="81">
                  <c:v>186.20</c:v>
                </c:pt>
                <c:pt idx="82">
                  <c:v>188.07</c:v>
                </c:pt>
                <c:pt idx="83">
                  <c:v>189.95</c:v>
                </c:pt>
                <c:pt idx="84">
                  <c:v>191.85</c:v>
                </c:pt>
                <c:pt idx="85">
                  <c:v>193.76</c:v>
                </c:pt>
                <c:pt idx="86">
                  <c:v>195.70</c:v>
                </c:pt>
                <c:pt idx="87">
                  <c:v>197.66</c:v>
                </c:pt>
                <c:pt idx="88">
                  <c:v>199.64</c:v>
                </c:pt>
                <c:pt idx="89">
                  <c:v>201.63</c:v>
                </c:pt>
                <c:pt idx="90">
                  <c:v>203.65</c:v>
                </c:pt>
                <c:pt idx="91">
                  <c:v>205.69</c:v>
                </c:pt>
                <c:pt idx="92">
                  <c:v>207.74</c:v>
                </c:pt>
                <c:pt idx="93">
                  <c:v>209.82</c:v>
                </c:pt>
                <c:pt idx="94">
                  <c:v>211.92</c:v>
                </c:pt>
                <c:pt idx="95">
                  <c:v>214.04</c:v>
                </c:pt>
                <c:pt idx="96">
                  <c:v>216.18</c:v>
                </c:pt>
                <c:pt idx="97">
                  <c:v>218.34</c:v>
                </c:pt>
                <c:pt idx="98">
                  <c:v>220.52</c:v>
                </c:pt>
                <c:pt idx="99">
                  <c:v>222.73</c:v>
                </c:pt>
                <c:pt idx="100">
                  <c:v>224.95</c:v>
                </c:pt>
                <c:pt idx="101">
                  <c:v>227.20</c:v>
                </c:pt>
                <c:pt idx="102">
                  <c:v>229.48</c:v>
                </c:pt>
                <c:pt idx="103">
                  <c:v>231.77</c:v>
                </c:pt>
                <c:pt idx="104">
                  <c:v>234.09</c:v>
                </c:pt>
                <c:pt idx="105">
                  <c:v>236.43</c:v>
                </c:pt>
                <c:pt idx="106">
                  <c:v>238.79</c:v>
                </c:pt>
                <c:pt idx="107">
                  <c:v>241.18</c:v>
                </c:pt>
                <c:pt idx="108">
                  <c:v>243.59</c:v>
                </c:pt>
                <c:pt idx="109">
                  <c:v>246.03</c:v>
                </c:pt>
                <c:pt idx="110">
                  <c:v>248.49</c:v>
                </c:pt>
                <c:pt idx="111">
                  <c:v>250.97</c:v>
                </c:pt>
                <c:pt idx="112">
                  <c:v>253.48</c:v>
                </c:pt>
                <c:pt idx="113">
                  <c:v>256.02</c:v>
                </c:pt>
                <c:pt idx="114">
                  <c:v>258.58</c:v>
                </c:pt>
                <c:pt idx="115">
                  <c:v>261.17</c:v>
                </c:pt>
                <c:pt idx="116">
                  <c:v>263.78</c:v>
                </c:pt>
                <c:pt idx="117">
                  <c:v>266.41</c:v>
                </c:pt>
                <c:pt idx="118">
                  <c:v>269.08</c:v>
                </c:pt>
                <c:pt idx="119">
                  <c:v>271.77</c:v>
                </c:pt>
                <c:pt idx="120">
                  <c:v>274.49</c:v>
                </c:pt>
                <c:pt idx="121">
                  <c:v>277.23</c:v>
                </c:pt>
                <c:pt idx="122">
                  <c:v>280.00</c:v>
                </c:pt>
                <c:pt idx="123">
                  <c:v>282.80</c:v>
                </c:pt>
                <c:pt idx="124">
                  <c:v>285.63</c:v>
                </c:pt>
                <c:pt idx="125">
                  <c:v>288.49</c:v>
                </c:pt>
                <c:pt idx="126">
                  <c:v>291.37</c:v>
                </c:pt>
                <c:pt idx="127">
                  <c:v>294.29</c:v>
                </c:pt>
                <c:pt idx="128">
                  <c:v>297.23</c:v>
                </c:pt>
                <c:pt idx="129">
                  <c:v>300.20</c:v>
                </c:pt>
              </c:strCache>
            </c:strRef>
          </c:cat>
          <c:val>
            <c:numRef>
              <c:f>'Bull Call Spread'!$U$17:$U$146</c:f>
              <c:numCache>
                <c:formatCode>General</c:formatCode>
                <c:ptCount val="130"/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-1.5236120423201243</c:v>
                </c:pt>
                <c:pt idx="20">
                  <c:v>-0.51884816274332479</c:v>
                </c:pt>
                <c:pt idx="21">
                  <c:v>0.4959633556292431</c:v>
                </c:pt>
                <c:pt idx="22">
                  <c:v>1.5209229891855358</c:v>
                </c:pt>
                <c:pt idx="23">
                  <c:v>2.5561322190773978</c:v>
                </c:pt>
                <c:pt idx="24">
                  <c:v>3.6016935412681761</c:v>
                </c:pt>
                <c:pt idx="25">
                  <c:v>4.6577104766808617</c:v>
                </c:pt>
                <c:pt idx="26">
                  <c:v>5.724287581447669</c:v>
                </c:pt>
                <c:pt idx="27">
                  <c:v>6.801530457262146</c:v>
                </c:pt>
                <c:pt idx="28">
                  <c:v>7.8895457618347677</c:v>
                </c:pt>
                <c:pt idx="29">
                  <c:v>8.9884412194531222</c:v>
                </c:pt>
                <c:pt idx="30">
                  <c:v>10.098325631647654</c:v>
                </c:pt>
                <c:pt idx="31">
                  <c:v>11.219308887964132</c:v>
                </c:pt>
                <c:pt idx="32">
                  <c:v>12.351501976843778</c:v>
                </c:pt>
                <c:pt idx="33">
                  <c:v>13.495016996612222</c:v>
                </c:pt>
                <c:pt idx="34">
                  <c:v>14.64996716657835</c:v>
                </c:pt>
                <c:pt idx="35">
                  <c:v>15.816466838244139</c:v>
                </c:pt>
                <c:pt idx="36">
                  <c:v>16.994631506626575</c:v>
                </c:pt>
                <c:pt idx="37">
                  <c:v>18</c:v>
                </c:pt>
                <c:pt idx="38">
                  <c:v>18</c:v>
                </c:pt>
                <c:pt idx="39">
                  <c:v>18</c:v>
                </c:pt>
                <c:pt idx="40">
                  <c:v>18</c:v>
                </c:pt>
                <c:pt idx="41">
                  <c:v>18</c:v>
                </c:pt>
                <c:pt idx="42">
                  <c:v>18</c:v>
                </c:pt>
                <c:pt idx="43">
                  <c:v>18</c:v>
                </c:pt>
                <c:pt idx="44">
                  <c:v>18</c:v>
                </c:pt>
                <c:pt idx="45">
                  <c:v>18</c:v>
                </c:pt>
                <c:pt idx="46">
                  <c:v>18</c:v>
                </c:pt>
                <c:pt idx="47">
                  <c:v>18</c:v>
                </c:pt>
                <c:pt idx="48">
                  <c:v>18</c:v>
                </c:pt>
                <c:pt idx="49">
                  <c:v>18</c:v>
                </c:pt>
                <c:pt idx="50">
                  <c:v>18</c:v>
                </c:pt>
                <c:pt idx="51">
                  <c:v>18</c:v>
                </c:pt>
                <c:pt idx="52">
                  <c:v>18</c:v>
                </c:pt>
                <c:pt idx="53">
                  <c:v>18</c:v>
                </c:pt>
                <c:pt idx="54">
                  <c:v>18</c:v>
                </c:pt>
                <c:pt idx="55">
                  <c:v>18</c:v>
                </c:pt>
                <c:pt idx="56">
                  <c:v>18</c:v>
                </c:pt>
                <c:pt idx="57">
                  <c:v>18</c:v>
                </c:pt>
                <c:pt idx="58">
                  <c:v>18</c:v>
                </c:pt>
                <c:pt idx="59">
                  <c:v>18</c:v>
                </c:pt>
                <c:pt idx="60">
                  <c:v>18</c:v>
                </c:pt>
                <c:pt idx="61">
                  <c:v>18</c:v>
                </c:pt>
                <c:pt idx="62">
                  <c:v>18</c:v>
                </c:pt>
                <c:pt idx="63">
                  <c:v>18</c:v>
                </c:pt>
                <c:pt idx="64">
                  <c:v>18</c:v>
                </c:pt>
                <c:pt idx="65">
                  <c:v>18</c:v>
                </c:pt>
                <c:pt idx="66">
                  <c:v>18</c:v>
                </c:pt>
                <c:pt idx="67">
                  <c:v>18</c:v>
                </c:pt>
                <c:pt idx="68">
                  <c:v>18</c:v>
                </c:pt>
                <c:pt idx="69">
                  <c:v>18</c:v>
                </c:pt>
                <c:pt idx="70">
                  <c:v>18</c:v>
                </c:pt>
                <c:pt idx="71">
                  <c:v>18</c:v>
                </c:pt>
                <c:pt idx="72">
                  <c:v>18</c:v>
                </c:pt>
                <c:pt idx="73">
                  <c:v>18</c:v>
                </c:pt>
                <c:pt idx="74">
                  <c:v>18</c:v>
                </c:pt>
                <c:pt idx="75">
                  <c:v>18</c:v>
                </c:pt>
                <c:pt idx="76">
                  <c:v>18</c:v>
                </c:pt>
                <c:pt idx="77">
                  <c:v>18</c:v>
                </c:pt>
                <c:pt idx="78">
                  <c:v>18</c:v>
                </c:pt>
                <c:pt idx="79">
                  <c:v>18</c:v>
                </c:pt>
                <c:pt idx="80">
                  <c:v>18</c:v>
                </c:pt>
                <c:pt idx="81">
                  <c:v>18</c:v>
                </c:pt>
                <c:pt idx="82">
                  <c:v>18</c:v>
                </c:pt>
                <c:pt idx="83">
                  <c:v>18</c:v>
                </c:pt>
                <c:pt idx="84">
                  <c:v>18</c:v>
                </c:pt>
                <c:pt idx="85">
                  <c:v>18</c:v>
                </c:pt>
                <c:pt idx="86">
                  <c:v>18</c:v>
                </c:pt>
                <c:pt idx="87">
                  <c:v>18</c:v>
                </c:pt>
                <c:pt idx="88">
                  <c:v>18</c:v>
                </c:pt>
                <c:pt idx="89">
                  <c:v>18</c:v>
                </c:pt>
                <c:pt idx="90">
                  <c:v>18</c:v>
                </c:pt>
                <c:pt idx="91">
                  <c:v>18</c:v>
                </c:pt>
                <c:pt idx="92">
                  <c:v>18</c:v>
                </c:pt>
                <c:pt idx="93">
                  <c:v>18</c:v>
                </c:pt>
                <c:pt idx="94">
                  <c:v>18</c:v>
                </c:pt>
                <c:pt idx="95">
                  <c:v>18</c:v>
                </c:pt>
                <c:pt idx="96">
                  <c:v>18</c:v>
                </c:pt>
                <c:pt idx="97">
                  <c:v>18</c:v>
                </c:pt>
                <c:pt idx="98">
                  <c:v>18</c:v>
                </c:pt>
                <c:pt idx="99">
                  <c:v>18</c:v>
                </c:pt>
                <c:pt idx="100">
                  <c:v>18</c:v>
                </c:pt>
                <c:pt idx="101">
                  <c:v>18</c:v>
                </c:pt>
                <c:pt idx="102">
                  <c:v>18</c:v>
                </c:pt>
                <c:pt idx="103">
                  <c:v>18</c:v>
                </c:pt>
                <c:pt idx="104">
                  <c:v>18</c:v>
                </c:pt>
                <c:pt idx="105">
                  <c:v>18</c:v>
                </c:pt>
                <c:pt idx="106">
                  <c:v>18</c:v>
                </c:pt>
                <c:pt idx="107">
                  <c:v>18</c:v>
                </c:pt>
                <c:pt idx="108">
                  <c:v>18</c:v>
                </c:pt>
                <c:pt idx="109">
                  <c:v>18</c:v>
                </c:pt>
                <c:pt idx="110">
                  <c:v>18</c:v>
                </c:pt>
                <c:pt idx="111">
                  <c:v>18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18</c:v>
                </c:pt>
                <c:pt idx="116">
                  <c:v>18</c:v>
                </c:pt>
                <c:pt idx="117">
                  <c:v>18</c:v>
                </c:pt>
                <c:pt idx="118">
                  <c:v>18</c:v>
                </c:pt>
                <c:pt idx="119">
                  <c:v>18</c:v>
                </c:pt>
                <c:pt idx="120">
                  <c:v>18</c:v>
                </c:pt>
                <c:pt idx="121">
                  <c:v>18</c:v>
                </c:pt>
                <c:pt idx="122">
                  <c:v>18</c:v>
                </c:pt>
                <c:pt idx="123">
                  <c:v>18</c:v>
                </c:pt>
                <c:pt idx="124">
                  <c:v>18</c:v>
                </c:pt>
                <c:pt idx="125">
                  <c:v>18</c:v>
                </c:pt>
                <c:pt idx="126">
                  <c:v>18</c:v>
                </c:pt>
                <c:pt idx="127">
                  <c:v>18</c:v>
                </c:pt>
                <c:pt idx="128">
                  <c:v>18</c:v>
                </c:pt>
                <c:pt idx="129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CA-4193-A8D8-65DCC3BC21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2115376"/>
        <c:axId val="1853899552"/>
      </c:lineChart>
      <c:catAx>
        <c:axId val="1742115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3899552"/>
        <c:crosses val="autoZero"/>
        <c:auto val="1"/>
        <c:lblAlgn val="ctr"/>
        <c:lblOffset val="100"/>
        <c:noMultiLvlLbl val="0"/>
      </c:catAx>
      <c:valAx>
        <c:axId val="185389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211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Long Put Spread Option: Payoff at Expiration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'Bear Put Spread'!$S$17:$S$146</c:f>
              <c:strCache>
                <c:ptCount val="130"/>
                <c:pt idx="0">
                  <c:v>Price at expiry</c:v>
                </c:pt>
                <c:pt idx="1">
                  <c:v>4.00</c:v>
                </c:pt>
                <c:pt idx="2">
                  <c:v>4.04</c:v>
                </c:pt>
                <c:pt idx="3">
                  <c:v>4.08</c:v>
                </c:pt>
                <c:pt idx="4">
                  <c:v>4.12</c:v>
                </c:pt>
                <c:pt idx="5">
                  <c:v>4.16</c:v>
                </c:pt>
                <c:pt idx="6">
                  <c:v>4.20</c:v>
                </c:pt>
                <c:pt idx="7">
                  <c:v>4.25</c:v>
                </c:pt>
                <c:pt idx="8">
                  <c:v>4.29</c:v>
                </c:pt>
                <c:pt idx="9">
                  <c:v>4.33</c:v>
                </c:pt>
                <c:pt idx="10">
                  <c:v>4.37</c:v>
                </c:pt>
                <c:pt idx="11">
                  <c:v>4.42</c:v>
                </c:pt>
                <c:pt idx="12">
                  <c:v>4.46</c:v>
                </c:pt>
                <c:pt idx="13">
                  <c:v>4.51</c:v>
                </c:pt>
                <c:pt idx="14">
                  <c:v>4.55</c:v>
                </c:pt>
                <c:pt idx="15">
                  <c:v>4.60</c:v>
                </c:pt>
                <c:pt idx="16">
                  <c:v>4.64</c:v>
                </c:pt>
                <c:pt idx="17">
                  <c:v>4.69</c:v>
                </c:pt>
                <c:pt idx="18">
                  <c:v>4.74</c:v>
                </c:pt>
                <c:pt idx="19">
                  <c:v>4.78</c:v>
                </c:pt>
                <c:pt idx="20">
                  <c:v>4.83</c:v>
                </c:pt>
                <c:pt idx="21">
                  <c:v>4.88</c:v>
                </c:pt>
                <c:pt idx="22">
                  <c:v>4.93</c:v>
                </c:pt>
                <c:pt idx="23">
                  <c:v>4.98</c:v>
                </c:pt>
                <c:pt idx="24">
                  <c:v>5.03</c:v>
                </c:pt>
                <c:pt idx="25">
                  <c:v>5.08</c:v>
                </c:pt>
                <c:pt idx="26">
                  <c:v>5.13</c:v>
                </c:pt>
                <c:pt idx="27">
                  <c:v>5.18</c:v>
                </c:pt>
                <c:pt idx="28">
                  <c:v>5.23</c:v>
                </c:pt>
                <c:pt idx="29">
                  <c:v>5.29</c:v>
                </c:pt>
                <c:pt idx="30">
                  <c:v>5.34</c:v>
                </c:pt>
                <c:pt idx="31">
                  <c:v>5.39</c:v>
                </c:pt>
                <c:pt idx="32">
                  <c:v>5.45</c:v>
                </c:pt>
                <c:pt idx="33">
                  <c:v>5.50</c:v>
                </c:pt>
                <c:pt idx="34">
                  <c:v>5.55</c:v>
                </c:pt>
                <c:pt idx="35">
                  <c:v>5.61</c:v>
                </c:pt>
                <c:pt idx="36">
                  <c:v>5.67</c:v>
                </c:pt>
                <c:pt idx="37">
                  <c:v>5.72</c:v>
                </c:pt>
                <c:pt idx="38">
                  <c:v>5.78</c:v>
                </c:pt>
                <c:pt idx="39">
                  <c:v>5.84</c:v>
                </c:pt>
                <c:pt idx="40">
                  <c:v>5.90</c:v>
                </c:pt>
                <c:pt idx="41">
                  <c:v>5.96</c:v>
                </c:pt>
                <c:pt idx="42">
                  <c:v>6.02</c:v>
                </c:pt>
                <c:pt idx="43">
                  <c:v>6.08</c:v>
                </c:pt>
                <c:pt idx="44">
                  <c:v>6.14</c:v>
                </c:pt>
                <c:pt idx="45">
                  <c:v>6.20</c:v>
                </c:pt>
                <c:pt idx="46">
                  <c:v>6.26</c:v>
                </c:pt>
                <c:pt idx="47">
                  <c:v>6.32</c:v>
                </c:pt>
                <c:pt idx="48">
                  <c:v>6.39</c:v>
                </c:pt>
                <c:pt idx="49">
                  <c:v>6.45</c:v>
                </c:pt>
                <c:pt idx="50">
                  <c:v>6.51</c:v>
                </c:pt>
                <c:pt idx="51">
                  <c:v>6.58</c:v>
                </c:pt>
                <c:pt idx="52">
                  <c:v>6.64</c:v>
                </c:pt>
                <c:pt idx="53">
                  <c:v>6.71</c:v>
                </c:pt>
                <c:pt idx="54">
                  <c:v>6.78</c:v>
                </c:pt>
                <c:pt idx="55">
                  <c:v>6.85</c:v>
                </c:pt>
                <c:pt idx="56">
                  <c:v>6.91</c:v>
                </c:pt>
                <c:pt idx="57">
                  <c:v>6.98</c:v>
                </c:pt>
                <c:pt idx="58">
                  <c:v>7.05</c:v>
                </c:pt>
                <c:pt idx="59">
                  <c:v>7.12</c:v>
                </c:pt>
                <c:pt idx="60">
                  <c:v>7.19</c:v>
                </c:pt>
                <c:pt idx="61">
                  <c:v>7.27</c:v>
                </c:pt>
                <c:pt idx="62">
                  <c:v>7.34</c:v>
                </c:pt>
                <c:pt idx="63">
                  <c:v>7.41</c:v>
                </c:pt>
                <c:pt idx="64">
                  <c:v>7.49</c:v>
                </c:pt>
                <c:pt idx="65">
                  <c:v>7.56</c:v>
                </c:pt>
                <c:pt idx="66">
                  <c:v>7.64</c:v>
                </c:pt>
                <c:pt idx="67">
                  <c:v>7.71</c:v>
                </c:pt>
                <c:pt idx="68">
                  <c:v>7.79</c:v>
                </c:pt>
                <c:pt idx="69">
                  <c:v>7.87</c:v>
                </c:pt>
                <c:pt idx="70">
                  <c:v>7.95</c:v>
                </c:pt>
                <c:pt idx="71">
                  <c:v>8.03</c:v>
                </c:pt>
                <c:pt idx="72">
                  <c:v>8.11</c:v>
                </c:pt>
                <c:pt idx="73">
                  <c:v>8.19</c:v>
                </c:pt>
                <c:pt idx="74">
                  <c:v>8.27</c:v>
                </c:pt>
                <c:pt idx="75">
                  <c:v>8.35</c:v>
                </c:pt>
                <c:pt idx="76">
                  <c:v>8.44</c:v>
                </c:pt>
                <c:pt idx="77">
                  <c:v>8.52</c:v>
                </c:pt>
                <c:pt idx="78">
                  <c:v>8.61</c:v>
                </c:pt>
                <c:pt idx="79">
                  <c:v>8.69</c:v>
                </c:pt>
                <c:pt idx="80">
                  <c:v>8.78</c:v>
                </c:pt>
                <c:pt idx="81">
                  <c:v>8.87</c:v>
                </c:pt>
                <c:pt idx="82">
                  <c:v>8.96</c:v>
                </c:pt>
                <c:pt idx="83">
                  <c:v>9.05</c:v>
                </c:pt>
                <c:pt idx="84">
                  <c:v>9.14</c:v>
                </c:pt>
                <c:pt idx="85">
                  <c:v>9.23</c:v>
                </c:pt>
                <c:pt idx="86">
                  <c:v>9.32</c:v>
                </c:pt>
                <c:pt idx="87">
                  <c:v>9.41</c:v>
                </c:pt>
                <c:pt idx="88">
                  <c:v>9.51</c:v>
                </c:pt>
                <c:pt idx="89">
                  <c:v>9.60</c:v>
                </c:pt>
                <c:pt idx="90">
                  <c:v>9.70</c:v>
                </c:pt>
                <c:pt idx="91">
                  <c:v>9.79</c:v>
                </c:pt>
                <c:pt idx="92">
                  <c:v>9.89</c:v>
                </c:pt>
                <c:pt idx="93">
                  <c:v>9.99</c:v>
                </c:pt>
                <c:pt idx="94">
                  <c:v>10.09</c:v>
                </c:pt>
                <c:pt idx="95">
                  <c:v>10.19</c:v>
                </c:pt>
                <c:pt idx="96">
                  <c:v>10.29</c:v>
                </c:pt>
                <c:pt idx="97">
                  <c:v>10.40</c:v>
                </c:pt>
                <c:pt idx="98">
                  <c:v>10.50</c:v>
                </c:pt>
                <c:pt idx="99">
                  <c:v>10.61</c:v>
                </c:pt>
                <c:pt idx="100">
                  <c:v>10.71</c:v>
                </c:pt>
                <c:pt idx="101">
                  <c:v>10.82</c:v>
                </c:pt>
                <c:pt idx="102">
                  <c:v>10.93</c:v>
                </c:pt>
                <c:pt idx="103">
                  <c:v>11.04</c:v>
                </c:pt>
                <c:pt idx="104">
                  <c:v>11.15</c:v>
                </c:pt>
                <c:pt idx="105">
                  <c:v>11.26</c:v>
                </c:pt>
                <c:pt idx="106">
                  <c:v>11.37</c:v>
                </c:pt>
                <c:pt idx="107">
                  <c:v>11.48</c:v>
                </c:pt>
                <c:pt idx="108">
                  <c:v>11.60</c:v>
                </c:pt>
                <c:pt idx="109">
                  <c:v>11.72</c:v>
                </c:pt>
                <c:pt idx="110">
                  <c:v>11.83</c:v>
                </c:pt>
                <c:pt idx="111">
                  <c:v>11.95</c:v>
                </c:pt>
                <c:pt idx="112">
                  <c:v>12.07</c:v>
                </c:pt>
                <c:pt idx="113">
                  <c:v>12.19</c:v>
                </c:pt>
                <c:pt idx="114">
                  <c:v>12.31</c:v>
                </c:pt>
                <c:pt idx="115">
                  <c:v>12.44</c:v>
                </c:pt>
                <c:pt idx="116">
                  <c:v>12.56</c:v>
                </c:pt>
                <c:pt idx="117">
                  <c:v>12.69</c:v>
                </c:pt>
                <c:pt idx="118">
                  <c:v>12.81</c:v>
                </c:pt>
                <c:pt idx="119">
                  <c:v>12.94</c:v>
                </c:pt>
                <c:pt idx="120">
                  <c:v>13.07</c:v>
                </c:pt>
                <c:pt idx="121">
                  <c:v>13.20</c:v>
                </c:pt>
                <c:pt idx="122">
                  <c:v>13.33</c:v>
                </c:pt>
                <c:pt idx="123">
                  <c:v>13.47</c:v>
                </c:pt>
                <c:pt idx="124">
                  <c:v>13.60</c:v>
                </c:pt>
                <c:pt idx="125">
                  <c:v>13.74</c:v>
                </c:pt>
                <c:pt idx="126">
                  <c:v>13.87</c:v>
                </c:pt>
                <c:pt idx="127">
                  <c:v>14.01</c:v>
                </c:pt>
                <c:pt idx="128">
                  <c:v>14.15</c:v>
                </c:pt>
                <c:pt idx="129">
                  <c:v>14.30</c:v>
                </c:pt>
              </c:strCache>
            </c:strRef>
          </c:cat>
          <c:val>
            <c:numRef>
              <c:f>'Long Call'!$T$17:$T$146</c:f>
              <c:numCache>
                <c:formatCode>General</c:formatCode>
                <c:ptCount val="1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C4-464C-ABDB-5F238AF8CF4B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'Bear Put Spread'!$S$17:$S$146</c:f>
              <c:strCache>
                <c:ptCount val="130"/>
                <c:pt idx="0">
                  <c:v>Price at expiry</c:v>
                </c:pt>
                <c:pt idx="1">
                  <c:v>4.00</c:v>
                </c:pt>
                <c:pt idx="2">
                  <c:v>4.04</c:v>
                </c:pt>
                <c:pt idx="3">
                  <c:v>4.08</c:v>
                </c:pt>
                <c:pt idx="4">
                  <c:v>4.12</c:v>
                </c:pt>
                <c:pt idx="5">
                  <c:v>4.16</c:v>
                </c:pt>
                <c:pt idx="6">
                  <c:v>4.20</c:v>
                </c:pt>
                <c:pt idx="7">
                  <c:v>4.25</c:v>
                </c:pt>
                <c:pt idx="8">
                  <c:v>4.29</c:v>
                </c:pt>
                <c:pt idx="9">
                  <c:v>4.33</c:v>
                </c:pt>
                <c:pt idx="10">
                  <c:v>4.37</c:v>
                </c:pt>
                <c:pt idx="11">
                  <c:v>4.42</c:v>
                </c:pt>
                <c:pt idx="12">
                  <c:v>4.46</c:v>
                </c:pt>
                <c:pt idx="13">
                  <c:v>4.51</c:v>
                </c:pt>
                <c:pt idx="14">
                  <c:v>4.55</c:v>
                </c:pt>
                <c:pt idx="15">
                  <c:v>4.60</c:v>
                </c:pt>
                <c:pt idx="16">
                  <c:v>4.64</c:v>
                </c:pt>
                <c:pt idx="17">
                  <c:v>4.69</c:v>
                </c:pt>
                <c:pt idx="18">
                  <c:v>4.74</c:v>
                </c:pt>
                <c:pt idx="19">
                  <c:v>4.78</c:v>
                </c:pt>
                <c:pt idx="20">
                  <c:v>4.83</c:v>
                </c:pt>
                <c:pt idx="21">
                  <c:v>4.88</c:v>
                </c:pt>
                <c:pt idx="22">
                  <c:v>4.93</c:v>
                </c:pt>
                <c:pt idx="23">
                  <c:v>4.98</c:v>
                </c:pt>
                <c:pt idx="24">
                  <c:v>5.03</c:v>
                </c:pt>
                <c:pt idx="25">
                  <c:v>5.08</c:v>
                </c:pt>
                <c:pt idx="26">
                  <c:v>5.13</c:v>
                </c:pt>
                <c:pt idx="27">
                  <c:v>5.18</c:v>
                </c:pt>
                <c:pt idx="28">
                  <c:v>5.23</c:v>
                </c:pt>
                <c:pt idx="29">
                  <c:v>5.29</c:v>
                </c:pt>
                <c:pt idx="30">
                  <c:v>5.34</c:v>
                </c:pt>
                <c:pt idx="31">
                  <c:v>5.39</c:v>
                </c:pt>
                <c:pt idx="32">
                  <c:v>5.45</c:v>
                </c:pt>
                <c:pt idx="33">
                  <c:v>5.50</c:v>
                </c:pt>
                <c:pt idx="34">
                  <c:v>5.55</c:v>
                </c:pt>
                <c:pt idx="35">
                  <c:v>5.61</c:v>
                </c:pt>
                <c:pt idx="36">
                  <c:v>5.67</c:v>
                </c:pt>
                <c:pt idx="37">
                  <c:v>5.72</c:v>
                </c:pt>
                <c:pt idx="38">
                  <c:v>5.78</c:v>
                </c:pt>
                <c:pt idx="39">
                  <c:v>5.84</c:v>
                </c:pt>
                <c:pt idx="40">
                  <c:v>5.90</c:v>
                </c:pt>
                <c:pt idx="41">
                  <c:v>5.96</c:v>
                </c:pt>
                <c:pt idx="42">
                  <c:v>6.02</c:v>
                </c:pt>
                <c:pt idx="43">
                  <c:v>6.08</c:v>
                </c:pt>
                <c:pt idx="44">
                  <c:v>6.14</c:v>
                </c:pt>
                <c:pt idx="45">
                  <c:v>6.20</c:v>
                </c:pt>
                <c:pt idx="46">
                  <c:v>6.26</c:v>
                </c:pt>
                <c:pt idx="47">
                  <c:v>6.32</c:v>
                </c:pt>
                <c:pt idx="48">
                  <c:v>6.39</c:v>
                </c:pt>
                <c:pt idx="49">
                  <c:v>6.45</c:v>
                </c:pt>
                <c:pt idx="50">
                  <c:v>6.51</c:v>
                </c:pt>
                <c:pt idx="51">
                  <c:v>6.58</c:v>
                </c:pt>
                <c:pt idx="52">
                  <c:v>6.64</c:v>
                </c:pt>
                <c:pt idx="53">
                  <c:v>6.71</c:v>
                </c:pt>
                <c:pt idx="54">
                  <c:v>6.78</c:v>
                </c:pt>
                <c:pt idx="55">
                  <c:v>6.85</c:v>
                </c:pt>
                <c:pt idx="56">
                  <c:v>6.91</c:v>
                </c:pt>
                <c:pt idx="57">
                  <c:v>6.98</c:v>
                </c:pt>
                <c:pt idx="58">
                  <c:v>7.05</c:v>
                </c:pt>
                <c:pt idx="59">
                  <c:v>7.12</c:v>
                </c:pt>
                <c:pt idx="60">
                  <c:v>7.19</c:v>
                </c:pt>
                <c:pt idx="61">
                  <c:v>7.27</c:v>
                </c:pt>
                <c:pt idx="62">
                  <c:v>7.34</c:v>
                </c:pt>
                <c:pt idx="63">
                  <c:v>7.41</c:v>
                </c:pt>
                <c:pt idx="64">
                  <c:v>7.49</c:v>
                </c:pt>
                <c:pt idx="65">
                  <c:v>7.56</c:v>
                </c:pt>
                <c:pt idx="66">
                  <c:v>7.64</c:v>
                </c:pt>
                <c:pt idx="67">
                  <c:v>7.71</c:v>
                </c:pt>
                <c:pt idx="68">
                  <c:v>7.79</c:v>
                </c:pt>
                <c:pt idx="69">
                  <c:v>7.87</c:v>
                </c:pt>
                <c:pt idx="70">
                  <c:v>7.95</c:v>
                </c:pt>
                <c:pt idx="71">
                  <c:v>8.03</c:v>
                </c:pt>
                <c:pt idx="72">
                  <c:v>8.11</c:v>
                </c:pt>
                <c:pt idx="73">
                  <c:v>8.19</c:v>
                </c:pt>
                <c:pt idx="74">
                  <c:v>8.27</c:v>
                </c:pt>
                <c:pt idx="75">
                  <c:v>8.35</c:v>
                </c:pt>
                <c:pt idx="76">
                  <c:v>8.44</c:v>
                </c:pt>
                <c:pt idx="77">
                  <c:v>8.52</c:v>
                </c:pt>
                <c:pt idx="78">
                  <c:v>8.61</c:v>
                </c:pt>
                <c:pt idx="79">
                  <c:v>8.69</c:v>
                </c:pt>
                <c:pt idx="80">
                  <c:v>8.78</c:v>
                </c:pt>
                <c:pt idx="81">
                  <c:v>8.87</c:v>
                </c:pt>
                <c:pt idx="82">
                  <c:v>8.96</c:v>
                </c:pt>
                <c:pt idx="83">
                  <c:v>9.05</c:v>
                </c:pt>
                <c:pt idx="84">
                  <c:v>9.14</c:v>
                </c:pt>
                <c:pt idx="85">
                  <c:v>9.23</c:v>
                </c:pt>
                <c:pt idx="86">
                  <c:v>9.32</c:v>
                </c:pt>
                <c:pt idx="87">
                  <c:v>9.41</c:v>
                </c:pt>
                <c:pt idx="88">
                  <c:v>9.51</c:v>
                </c:pt>
                <c:pt idx="89">
                  <c:v>9.60</c:v>
                </c:pt>
                <c:pt idx="90">
                  <c:v>9.70</c:v>
                </c:pt>
                <c:pt idx="91">
                  <c:v>9.79</c:v>
                </c:pt>
                <c:pt idx="92">
                  <c:v>9.89</c:v>
                </c:pt>
                <c:pt idx="93">
                  <c:v>9.99</c:v>
                </c:pt>
                <c:pt idx="94">
                  <c:v>10.09</c:v>
                </c:pt>
                <c:pt idx="95">
                  <c:v>10.19</c:v>
                </c:pt>
                <c:pt idx="96">
                  <c:v>10.29</c:v>
                </c:pt>
                <c:pt idx="97">
                  <c:v>10.40</c:v>
                </c:pt>
                <c:pt idx="98">
                  <c:v>10.50</c:v>
                </c:pt>
                <c:pt idx="99">
                  <c:v>10.61</c:v>
                </c:pt>
                <c:pt idx="100">
                  <c:v>10.71</c:v>
                </c:pt>
                <c:pt idx="101">
                  <c:v>10.82</c:v>
                </c:pt>
                <c:pt idx="102">
                  <c:v>10.93</c:v>
                </c:pt>
                <c:pt idx="103">
                  <c:v>11.04</c:v>
                </c:pt>
                <c:pt idx="104">
                  <c:v>11.15</c:v>
                </c:pt>
                <c:pt idx="105">
                  <c:v>11.26</c:v>
                </c:pt>
                <c:pt idx="106">
                  <c:v>11.37</c:v>
                </c:pt>
                <c:pt idx="107">
                  <c:v>11.48</c:v>
                </c:pt>
                <c:pt idx="108">
                  <c:v>11.60</c:v>
                </c:pt>
                <c:pt idx="109">
                  <c:v>11.72</c:v>
                </c:pt>
                <c:pt idx="110">
                  <c:v>11.83</c:v>
                </c:pt>
                <c:pt idx="111">
                  <c:v>11.95</c:v>
                </c:pt>
                <c:pt idx="112">
                  <c:v>12.07</c:v>
                </c:pt>
                <c:pt idx="113">
                  <c:v>12.19</c:v>
                </c:pt>
                <c:pt idx="114">
                  <c:v>12.31</c:v>
                </c:pt>
                <c:pt idx="115">
                  <c:v>12.44</c:v>
                </c:pt>
                <c:pt idx="116">
                  <c:v>12.56</c:v>
                </c:pt>
                <c:pt idx="117">
                  <c:v>12.69</c:v>
                </c:pt>
                <c:pt idx="118">
                  <c:v>12.81</c:v>
                </c:pt>
                <c:pt idx="119">
                  <c:v>12.94</c:v>
                </c:pt>
                <c:pt idx="120">
                  <c:v>13.07</c:v>
                </c:pt>
                <c:pt idx="121">
                  <c:v>13.20</c:v>
                </c:pt>
                <c:pt idx="122">
                  <c:v>13.33</c:v>
                </c:pt>
                <c:pt idx="123">
                  <c:v>13.47</c:v>
                </c:pt>
                <c:pt idx="124">
                  <c:v>13.60</c:v>
                </c:pt>
                <c:pt idx="125">
                  <c:v>13.74</c:v>
                </c:pt>
                <c:pt idx="126">
                  <c:v>13.87</c:v>
                </c:pt>
                <c:pt idx="127">
                  <c:v>14.01</c:v>
                </c:pt>
                <c:pt idx="128">
                  <c:v>14.15</c:v>
                </c:pt>
                <c:pt idx="129">
                  <c:v>14.30</c:v>
                </c:pt>
              </c:strCache>
            </c:strRef>
          </c:cat>
          <c:val>
            <c:numRef>
              <c:f>'Bear Put Spread'!$U$17:$U$146</c:f>
              <c:numCache>
                <c:formatCode>General</c:formatCode>
                <c:ptCount val="130"/>
                <c:pt idx="1">
                  <c:v>1.5973999999999999</c:v>
                </c:pt>
                <c:pt idx="2">
                  <c:v>1.5973999999999999</c:v>
                </c:pt>
                <c:pt idx="3">
                  <c:v>1.5973999999999999</c:v>
                </c:pt>
                <c:pt idx="4">
                  <c:v>1.5973999999999999</c:v>
                </c:pt>
                <c:pt idx="5">
                  <c:v>1.5973999999999999</c:v>
                </c:pt>
                <c:pt idx="6">
                  <c:v>1.5973999999999999</c:v>
                </c:pt>
                <c:pt idx="7">
                  <c:v>1.5973999999999999</c:v>
                </c:pt>
                <c:pt idx="8">
                  <c:v>1.5973999999999999</c:v>
                </c:pt>
                <c:pt idx="9">
                  <c:v>1.5973999999999999</c:v>
                </c:pt>
                <c:pt idx="10">
                  <c:v>1.5973999999999999</c:v>
                </c:pt>
                <c:pt idx="11">
                  <c:v>1.5973999999999999</c:v>
                </c:pt>
                <c:pt idx="12">
                  <c:v>1.5973999999999999</c:v>
                </c:pt>
                <c:pt idx="13">
                  <c:v>1.5973999999999999</c:v>
                </c:pt>
                <c:pt idx="14">
                  <c:v>1.5973999999999999</c:v>
                </c:pt>
                <c:pt idx="15">
                  <c:v>1.5973999999999999</c:v>
                </c:pt>
                <c:pt idx="16">
                  <c:v>1.5973999999999999</c:v>
                </c:pt>
                <c:pt idx="17">
                  <c:v>1.5973999999999999</c:v>
                </c:pt>
                <c:pt idx="18">
                  <c:v>1.5973999999999999</c:v>
                </c:pt>
                <c:pt idx="19">
                  <c:v>1.5973999999999999</c:v>
                </c:pt>
                <c:pt idx="20">
                  <c:v>1.5973999999999999</c:v>
                </c:pt>
                <c:pt idx="21">
                  <c:v>1.5973999999999999</c:v>
                </c:pt>
                <c:pt idx="22">
                  <c:v>1.5973999999999999</c:v>
                </c:pt>
                <c:pt idx="23">
                  <c:v>1.5973999999999999</c:v>
                </c:pt>
                <c:pt idx="24">
                  <c:v>1.5687479266062776</c:v>
                </c:pt>
                <c:pt idx="25">
                  <c:v>1.51846140587234</c:v>
                </c:pt>
                <c:pt idx="26">
                  <c:v>1.4676720199310638</c:v>
                </c:pt>
                <c:pt idx="27">
                  <c:v>1.4163747401303746</c:v>
                </c:pt>
                <c:pt idx="28">
                  <c:v>1.3645644875316782</c:v>
                </c:pt>
                <c:pt idx="29">
                  <c:v>1.3122361324069947</c:v>
                </c:pt>
                <c:pt idx="30">
                  <c:v>1.2593844937310643</c:v>
                </c:pt>
                <c:pt idx="31">
                  <c:v>1.2060043386683748</c:v>
                </c:pt>
                <c:pt idx="32">
                  <c:v>1.1520903820550585</c:v>
                </c:pt>
                <c:pt idx="33">
                  <c:v>1.0976372858756087</c:v>
                </c:pt>
                <c:pt idx="34">
                  <c:v>1.0426396587343647</c:v>
                </c:pt>
                <c:pt idx="35">
                  <c:v>0.98709205532170818</c:v>
                </c:pt>
                <c:pt idx="36">
                  <c:v>0.93098897587492546</c:v>
                </c:pt>
                <c:pt idx="37">
                  <c:v>0.87432486563367506</c:v>
                </c:pt>
                <c:pt idx="38">
                  <c:v>0.81709411429001166</c:v>
                </c:pt>
                <c:pt idx="39">
                  <c:v>0.75929105543291131</c:v>
                </c:pt>
                <c:pt idx="40">
                  <c:v>0.7009099659872402</c:v>
                </c:pt>
                <c:pt idx="41">
                  <c:v>0.64194506564711284</c:v>
                </c:pt>
                <c:pt idx="42">
                  <c:v>0.58239051630358363</c:v>
                </c:pt>
                <c:pt idx="43">
                  <c:v>0.52224042146661942</c:v>
                </c:pt>
                <c:pt idx="44">
                  <c:v>0.46148882568128574</c:v>
                </c:pt>
                <c:pt idx="45">
                  <c:v>0.40012971393809821</c:v>
                </c:pt>
                <c:pt idx="46">
                  <c:v>0.33815701107747881</c:v>
                </c:pt>
                <c:pt idx="47">
                  <c:v>0.27556458118825372</c:v>
                </c:pt>
                <c:pt idx="48">
                  <c:v>0.21234622700013578</c:v>
                </c:pt>
                <c:pt idx="49">
                  <c:v>0.14849568927013707</c:v>
                </c:pt>
                <c:pt idx="50">
                  <c:v>8.4006646162837983E-2</c:v>
                </c:pt>
                <c:pt idx="51">
                  <c:v>1.8872712624466603E-2</c:v>
                </c:pt>
                <c:pt idx="52">
                  <c:v>-4.691256024928897E-2</c:v>
                </c:pt>
                <c:pt idx="53">
                  <c:v>-0.1133556858517823</c:v>
                </c:pt>
                <c:pt idx="54">
                  <c:v>-0.18046324271029984</c:v>
                </c:pt>
                <c:pt idx="55">
                  <c:v>-0.24824187513740309</c:v>
                </c:pt>
                <c:pt idx="56">
                  <c:v>-0.3166982938887774</c:v>
                </c:pt>
                <c:pt idx="57">
                  <c:v>-0.385839276827665</c:v>
                </c:pt>
                <c:pt idx="58">
                  <c:v>-0.40260000000000001</c:v>
                </c:pt>
                <c:pt idx="59">
                  <c:v>-0.40260000000000001</c:v>
                </c:pt>
                <c:pt idx="60">
                  <c:v>-0.40260000000000001</c:v>
                </c:pt>
                <c:pt idx="61">
                  <c:v>-0.40260000000000001</c:v>
                </c:pt>
                <c:pt idx="62">
                  <c:v>-0.40260000000000001</c:v>
                </c:pt>
                <c:pt idx="63">
                  <c:v>-0.40260000000000001</c:v>
                </c:pt>
                <c:pt idx="64">
                  <c:v>-0.40260000000000001</c:v>
                </c:pt>
                <c:pt idx="65">
                  <c:v>-0.40260000000000001</c:v>
                </c:pt>
                <c:pt idx="66">
                  <c:v>-0.40260000000000001</c:v>
                </c:pt>
                <c:pt idx="67">
                  <c:v>-0.40260000000000001</c:v>
                </c:pt>
                <c:pt idx="68">
                  <c:v>-0.40260000000000001</c:v>
                </c:pt>
                <c:pt idx="69">
                  <c:v>-0.40260000000000001</c:v>
                </c:pt>
                <c:pt idx="70">
                  <c:v>-0.40260000000000001</c:v>
                </c:pt>
                <c:pt idx="71">
                  <c:v>-0.40260000000000001</c:v>
                </c:pt>
                <c:pt idx="72">
                  <c:v>-0.40260000000000001</c:v>
                </c:pt>
                <c:pt idx="73">
                  <c:v>-0.40260000000000001</c:v>
                </c:pt>
                <c:pt idx="74">
                  <c:v>-0.40260000000000001</c:v>
                </c:pt>
                <c:pt idx="75">
                  <c:v>-0.40260000000000001</c:v>
                </c:pt>
                <c:pt idx="76">
                  <c:v>-0.40260000000000001</c:v>
                </c:pt>
                <c:pt idx="77">
                  <c:v>-0.40260000000000001</c:v>
                </c:pt>
                <c:pt idx="78">
                  <c:v>-0.40260000000000001</c:v>
                </c:pt>
                <c:pt idx="79">
                  <c:v>-0.40260000000000001</c:v>
                </c:pt>
                <c:pt idx="80">
                  <c:v>-0.40260000000000001</c:v>
                </c:pt>
                <c:pt idx="81">
                  <c:v>-0.40260000000000001</c:v>
                </c:pt>
                <c:pt idx="82">
                  <c:v>-0.40260000000000001</c:v>
                </c:pt>
                <c:pt idx="83">
                  <c:v>-0.40260000000000001</c:v>
                </c:pt>
                <c:pt idx="84">
                  <c:v>-0.40260000000000001</c:v>
                </c:pt>
                <c:pt idx="85">
                  <c:v>-0.40260000000000001</c:v>
                </c:pt>
                <c:pt idx="86">
                  <c:v>-0.40260000000000001</c:v>
                </c:pt>
                <c:pt idx="87">
                  <c:v>-0.40260000000000001</c:v>
                </c:pt>
                <c:pt idx="88">
                  <c:v>-0.40260000000000001</c:v>
                </c:pt>
                <c:pt idx="89">
                  <c:v>-0.40260000000000001</c:v>
                </c:pt>
                <c:pt idx="90">
                  <c:v>-0.40260000000000001</c:v>
                </c:pt>
                <c:pt idx="91">
                  <c:v>-0.40260000000000001</c:v>
                </c:pt>
                <c:pt idx="92">
                  <c:v>-0.40260000000000001</c:v>
                </c:pt>
                <c:pt idx="93">
                  <c:v>-0.40260000000000001</c:v>
                </c:pt>
                <c:pt idx="94">
                  <c:v>-0.40260000000000001</c:v>
                </c:pt>
                <c:pt idx="95">
                  <c:v>-0.40260000000000001</c:v>
                </c:pt>
                <c:pt idx="96">
                  <c:v>-0.40260000000000001</c:v>
                </c:pt>
                <c:pt idx="97">
                  <c:v>-0.40260000000000001</c:v>
                </c:pt>
                <c:pt idx="98">
                  <c:v>-0.40260000000000001</c:v>
                </c:pt>
                <c:pt idx="99">
                  <c:v>-0.40260000000000001</c:v>
                </c:pt>
                <c:pt idx="100">
                  <c:v>-0.40260000000000001</c:v>
                </c:pt>
                <c:pt idx="101">
                  <c:v>-0.40260000000000001</c:v>
                </c:pt>
                <c:pt idx="102">
                  <c:v>-0.40260000000000001</c:v>
                </c:pt>
                <c:pt idx="103">
                  <c:v>-0.40260000000000001</c:v>
                </c:pt>
                <c:pt idx="104">
                  <c:v>-0.40260000000000001</c:v>
                </c:pt>
                <c:pt idx="105">
                  <c:v>-0.40260000000000001</c:v>
                </c:pt>
                <c:pt idx="106">
                  <c:v>-0.40260000000000001</c:v>
                </c:pt>
                <c:pt idx="107">
                  <c:v>-0.40260000000000001</c:v>
                </c:pt>
                <c:pt idx="108">
                  <c:v>-0.40260000000000001</c:v>
                </c:pt>
                <c:pt idx="109">
                  <c:v>-0.40260000000000001</c:v>
                </c:pt>
                <c:pt idx="110">
                  <c:v>-0.40260000000000001</c:v>
                </c:pt>
                <c:pt idx="111">
                  <c:v>-0.40260000000000001</c:v>
                </c:pt>
                <c:pt idx="112">
                  <c:v>-0.40260000000000001</c:v>
                </c:pt>
                <c:pt idx="113">
                  <c:v>-0.40260000000000001</c:v>
                </c:pt>
                <c:pt idx="114">
                  <c:v>-0.40260000000000001</c:v>
                </c:pt>
                <c:pt idx="115">
                  <c:v>-0.40260000000000001</c:v>
                </c:pt>
                <c:pt idx="116">
                  <c:v>-0.40260000000000001</c:v>
                </c:pt>
                <c:pt idx="117">
                  <c:v>-0.40260000000000001</c:v>
                </c:pt>
                <c:pt idx="118">
                  <c:v>-0.40260000000000001</c:v>
                </c:pt>
                <c:pt idx="119">
                  <c:v>-0.40260000000000001</c:v>
                </c:pt>
                <c:pt idx="120">
                  <c:v>-0.40260000000000001</c:v>
                </c:pt>
                <c:pt idx="121">
                  <c:v>-0.40260000000000001</c:v>
                </c:pt>
                <c:pt idx="122">
                  <c:v>-0.40260000000000001</c:v>
                </c:pt>
                <c:pt idx="123">
                  <c:v>-0.40260000000000001</c:v>
                </c:pt>
                <c:pt idx="124">
                  <c:v>-0.40260000000000001</c:v>
                </c:pt>
                <c:pt idx="125">
                  <c:v>-0.40260000000000001</c:v>
                </c:pt>
                <c:pt idx="126">
                  <c:v>-0.40260000000000001</c:v>
                </c:pt>
                <c:pt idx="127">
                  <c:v>-0.40260000000000001</c:v>
                </c:pt>
                <c:pt idx="128">
                  <c:v>-0.40260000000000001</c:v>
                </c:pt>
                <c:pt idx="129">
                  <c:v>-0.40260000000000001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C4-464C-ABDB-5F238AF8CF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2115376"/>
        <c:axId val="1853899552"/>
      </c:lineChart>
      <c:catAx>
        <c:axId val="1742115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3899552"/>
        <c:crosses val="autoZero"/>
        <c:auto val="1"/>
        <c:lblAlgn val="ctr"/>
        <c:lblOffset val="100"/>
        <c:noMultiLvlLbl val="0"/>
      </c:catAx>
      <c:valAx>
        <c:axId val="185389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211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Long Straddle: Payoff at Expiration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'Long Straddle'!$S$17:$S$146</c:f>
              <c:strCache>
                <c:ptCount val="130"/>
                <c:pt idx="1">
                  <c:v>Price at expiry</c:v>
                </c:pt>
                <c:pt idx="2">
                  <c:v>95.00</c:v>
                </c:pt>
                <c:pt idx="3">
                  <c:v>95.95</c:v>
                </c:pt>
                <c:pt idx="4">
                  <c:v>96.91</c:v>
                </c:pt>
                <c:pt idx="5">
                  <c:v>97.88</c:v>
                </c:pt>
                <c:pt idx="6">
                  <c:v>98.86</c:v>
                </c:pt>
                <c:pt idx="7">
                  <c:v>99.85</c:v>
                </c:pt>
                <c:pt idx="8">
                  <c:v>100.84</c:v>
                </c:pt>
                <c:pt idx="9">
                  <c:v>101.85</c:v>
                </c:pt>
                <c:pt idx="10">
                  <c:v>102.87</c:v>
                </c:pt>
                <c:pt idx="11">
                  <c:v>103.90</c:v>
                </c:pt>
                <c:pt idx="12">
                  <c:v>104.94</c:v>
                </c:pt>
                <c:pt idx="13">
                  <c:v>105.99</c:v>
                </c:pt>
                <c:pt idx="14">
                  <c:v>107.05</c:v>
                </c:pt>
                <c:pt idx="15">
                  <c:v>108.12</c:v>
                </c:pt>
                <c:pt idx="16">
                  <c:v>109.20</c:v>
                </c:pt>
                <c:pt idx="17">
                  <c:v>110.29</c:v>
                </c:pt>
                <c:pt idx="18">
                  <c:v>111.39</c:v>
                </c:pt>
                <c:pt idx="19">
                  <c:v>112.51</c:v>
                </c:pt>
                <c:pt idx="20">
                  <c:v>113.63</c:v>
                </c:pt>
                <c:pt idx="21">
                  <c:v>114.77</c:v>
                </c:pt>
                <c:pt idx="22">
                  <c:v>115.92</c:v>
                </c:pt>
                <c:pt idx="23">
                  <c:v>117.08</c:v>
                </c:pt>
                <c:pt idx="24">
                  <c:v>118.25</c:v>
                </c:pt>
                <c:pt idx="25">
                  <c:v>119.43</c:v>
                </c:pt>
                <c:pt idx="26">
                  <c:v>120.62</c:v>
                </c:pt>
                <c:pt idx="27">
                  <c:v>121.83</c:v>
                </c:pt>
                <c:pt idx="28">
                  <c:v>123.05</c:v>
                </c:pt>
                <c:pt idx="29">
                  <c:v>124.28</c:v>
                </c:pt>
                <c:pt idx="30">
                  <c:v>125.52</c:v>
                </c:pt>
                <c:pt idx="31">
                  <c:v>126.78</c:v>
                </c:pt>
                <c:pt idx="32">
                  <c:v>128.05</c:v>
                </c:pt>
                <c:pt idx="33">
                  <c:v>129.33</c:v>
                </c:pt>
                <c:pt idx="34">
                  <c:v>130.62</c:v>
                </c:pt>
                <c:pt idx="35">
                  <c:v>131.93</c:v>
                </c:pt>
                <c:pt idx="36">
                  <c:v>133.24</c:v>
                </c:pt>
                <c:pt idx="37">
                  <c:v>134.58</c:v>
                </c:pt>
                <c:pt idx="38">
                  <c:v>135.92</c:v>
                </c:pt>
                <c:pt idx="39">
                  <c:v>137.28</c:v>
                </c:pt>
                <c:pt idx="40">
                  <c:v>138.66</c:v>
                </c:pt>
                <c:pt idx="41">
                  <c:v>140.04</c:v>
                </c:pt>
                <c:pt idx="42">
                  <c:v>141.44</c:v>
                </c:pt>
                <c:pt idx="43">
                  <c:v>142.86</c:v>
                </c:pt>
                <c:pt idx="44">
                  <c:v>144.29</c:v>
                </c:pt>
                <c:pt idx="45">
                  <c:v>145.73</c:v>
                </c:pt>
                <c:pt idx="46">
                  <c:v>147.19</c:v>
                </c:pt>
                <c:pt idx="47">
                  <c:v>148.66</c:v>
                </c:pt>
                <c:pt idx="48">
                  <c:v>150.14</c:v>
                </c:pt>
                <c:pt idx="49">
                  <c:v>151.65</c:v>
                </c:pt>
                <c:pt idx="50">
                  <c:v>153.16</c:v>
                </c:pt>
                <c:pt idx="51">
                  <c:v>154.69</c:v>
                </c:pt>
                <c:pt idx="52">
                  <c:v>156.24</c:v>
                </c:pt>
                <c:pt idx="53">
                  <c:v>157.80</c:v>
                </c:pt>
                <c:pt idx="54">
                  <c:v>159.38</c:v>
                </c:pt>
                <c:pt idx="55">
                  <c:v>160.97</c:v>
                </c:pt>
                <c:pt idx="56">
                  <c:v>162.58</c:v>
                </c:pt>
                <c:pt idx="57">
                  <c:v>164.21</c:v>
                </c:pt>
                <c:pt idx="58">
                  <c:v>165.85</c:v>
                </c:pt>
                <c:pt idx="59">
                  <c:v>167.51</c:v>
                </c:pt>
                <c:pt idx="60">
                  <c:v>169.19</c:v>
                </c:pt>
                <c:pt idx="61">
                  <c:v>170.88</c:v>
                </c:pt>
                <c:pt idx="62">
                  <c:v>172.59</c:v>
                </c:pt>
                <c:pt idx="63">
                  <c:v>174.31</c:v>
                </c:pt>
                <c:pt idx="64">
                  <c:v>176.06</c:v>
                </c:pt>
                <c:pt idx="65">
                  <c:v>177.82</c:v>
                </c:pt>
                <c:pt idx="66">
                  <c:v>179.59</c:v>
                </c:pt>
                <c:pt idx="67">
                  <c:v>181.39</c:v>
                </c:pt>
                <c:pt idx="68">
                  <c:v>183.20</c:v>
                </c:pt>
                <c:pt idx="69">
                  <c:v>185.04</c:v>
                </c:pt>
                <c:pt idx="70">
                  <c:v>186.89</c:v>
                </c:pt>
                <c:pt idx="71">
                  <c:v>188.75</c:v>
                </c:pt>
                <c:pt idx="72">
                  <c:v>190.64</c:v>
                </c:pt>
                <c:pt idx="73">
                  <c:v>192.55</c:v>
                </c:pt>
                <c:pt idx="74">
                  <c:v>194.47</c:v>
                </c:pt>
                <c:pt idx="75">
                  <c:v>196.42</c:v>
                </c:pt>
                <c:pt idx="76">
                  <c:v>198.38</c:v>
                </c:pt>
                <c:pt idx="77">
                  <c:v>200.37</c:v>
                </c:pt>
                <c:pt idx="78">
                  <c:v>202.37</c:v>
                </c:pt>
                <c:pt idx="79">
                  <c:v>204.39</c:v>
                </c:pt>
                <c:pt idx="80">
                  <c:v>206.44</c:v>
                </c:pt>
                <c:pt idx="81">
                  <c:v>208.50</c:v>
                </c:pt>
                <c:pt idx="82">
                  <c:v>210.59</c:v>
                </c:pt>
                <c:pt idx="83">
                  <c:v>212.69</c:v>
                </c:pt>
                <c:pt idx="84">
                  <c:v>214.82</c:v>
                </c:pt>
                <c:pt idx="85">
                  <c:v>216.97</c:v>
                </c:pt>
                <c:pt idx="86">
                  <c:v>219.14</c:v>
                </c:pt>
                <c:pt idx="87">
                  <c:v>221.33</c:v>
                </c:pt>
                <c:pt idx="88">
                  <c:v>223.54</c:v>
                </c:pt>
                <c:pt idx="89">
                  <c:v>225.78</c:v>
                </c:pt>
                <c:pt idx="90">
                  <c:v>228.04</c:v>
                </c:pt>
                <c:pt idx="91">
                  <c:v>230.32</c:v>
                </c:pt>
                <c:pt idx="92">
                  <c:v>232.62</c:v>
                </c:pt>
                <c:pt idx="93">
                  <c:v>234.95</c:v>
                </c:pt>
                <c:pt idx="94">
                  <c:v>237.30</c:v>
                </c:pt>
                <c:pt idx="95">
                  <c:v>239.67</c:v>
                </c:pt>
                <c:pt idx="96">
                  <c:v>242.07</c:v>
                </c:pt>
                <c:pt idx="97">
                  <c:v>244.49</c:v>
                </c:pt>
                <c:pt idx="98">
                  <c:v>246.93</c:v>
                </c:pt>
                <c:pt idx="99">
                  <c:v>249.40</c:v>
                </c:pt>
                <c:pt idx="100">
                  <c:v>251.89</c:v>
                </c:pt>
                <c:pt idx="101">
                  <c:v>254.41</c:v>
                </c:pt>
                <c:pt idx="102">
                  <c:v>256.96</c:v>
                </c:pt>
                <c:pt idx="103">
                  <c:v>259.53</c:v>
                </c:pt>
                <c:pt idx="104">
                  <c:v>262.12</c:v>
                </c:pt>
                <c:pt idx="105">
                  <c:v>264.74</c:v>
                </c:pt>
                <c:pt idx="106">
                  <c:v>267.39</c:v>
                </c:pt>
                <c:pt idx="107">
                  <c:v>270.06</c:v>
                </c:pt>
                <c:pt idx="108">
                  <c:v>272.77</c:v>
                </c:pt>
                <c:pt idx="109">
                  <c:v>275.49</c:v>
                </c:pt>
                <c:pt idx="110">
                  <c:v>278.25</c:v>
                </c:pt>
                <c:pt idx="111">
                  <c:v>281.03</c:v>
                </c:pt>
                <c:pt idx="112">
                  <c:v>283.84</c:v>
                </c:pt>
                <c:pt idx="113">
                  <c:v>286.68</c:v>
                </c:pt>
                <c:pt idx="114">
                  <c:v>289.55</c:v>
                </c:pt>
                <c:pt idx="115">
                  <c:v>292.44</c:v>
                </c:pt>
                <c:pt idx="116">
                  <c:v>295.37</c:v>
                </c:pt>
                <c:pt idx="117">
                  <c:v>298.32</c:v>
                </c:pt>
                <c:pt idx="118">
                  <c:v>301.30</c:v>
                </c:pt>
                <c:pt idx="119">
                  <c:v>304.32</c:v>
                </c:pt>
                <c:pt idx="120">
                  <c:v>307.36</c:v>
                </c:pt>
                <c:pt idx="121">
                  <c:v>310.43</c:v>
                </c:pt>
                <c:pt idx="122">
                  <c:v>313.54</c:v>
                </c:pt>
                <c:pt idx="123">
                  <c:v>316.67</c:v>
                </c:pt>
                <c:pt idx="124">
                  <c:v>319.84</c:v>
                </c:pt>
                <c:pt idx="125">
                  <c:v>323.04</c:v>
                </c:pt>
                <c:pt idx="126">
                  <c:v>326.27</c:v>
                </c:pt>
                <c:pt idx="127">
                  <c:v>329.53</c:v>
                </c:pt>
                <c:pt idx="128">
                  <c:v>332.83</c:v>
                </c:pt>
                <c:pt idx="129">
                  <c:v>336.15</c:v>
                </c:pt>
              </c:strCache>
            </c:strRef>
          </c:cat>
          <c:val>
            <c:numRef>
              <c:f>'Long Call'!$T$17:$T$146</c:f>
              <c:numCache>
                <c:formatCode>General</c:formatCode>
                <c:ptCount val="1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5B-4778-BA48-125D8C11A74B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'Long Straddle'!$S$17:$S$146</c:f>
              <c:strCache>
                <c:ptCount val="130"/>
                <c:pt idx="1">
                  <c:v>Price at expiry</c:v>
                </c:pt>
                <c:pt idx="2">
                  <c:v>95.00</c:v>
                </c:pt>
                <c:pt idx="3">
                  <c:v>95.95</c:v>
                </c:pt>
                <c:pt idx="4">
                  <c:v>96.91</c:v>
                </c:pt>
                <c:pt idx="5">
                  <c:v>97.88</c:v>
                </c:pt>
                <c:pt idx="6">
                  <c:v>98.86</c:v>
                </c:pt>
                <c:pt idx="7">
                  <c:v>99.85</c:v>
                </c:pt>
                <c:pt idx="8">
                  <c:v>100.84</c:v>
                </c:pt>
                <c:pt idx="9">
                  <c:v>101.85</c:v>
                </c:pt>
                <c:pt idx="10">
                  <c:v>102.87</c:v>
                </c:pt>
                <c:pt idx="11">
                  <c:v>103.90</c:v>
                </c:pt>
                <c:pt idx="12">
                  <c:v>104.94</c:v>
                </c:pt>
                <c:pt idx="13">
                  <c:v>105.99</c:v>
                </c:pt>
                <c:pt idx="14">
                  <c:v>107.05</c:v>
                </c:pt>
                <c:pt idx="15">
                  <c:v>108.12</c:v>
                </c:pt>
                <c:pt idx="16">
                  <c:v>109.20</c:v>
                </c:pt>
                <c:pt idx="17">
                  <c:v>110.29</c:v>
                </c:pt>
                <c:pt idx="18">
                  <c:v>111.39</c:v>
                </c:pt>
                <c:pt idx="19">
                  <c:v>112.51</c:v>
                </c:pt>
                <c:pt idx="20">
                  <c:v>113.63</c:v>
                </c:pt>
                <c:pt idx="21">
                  <c:v>114.77</c:v>
                </c:pt>
                <c:pt idx="22">
                  <c:v>115.92</c:v>
                </c:pt>
                <c:pt idx="23">
                  <c:v>117.08</c:v>
                </c:pt>
                <c:pt idx="24">
                  <c:v>118.25</c:v>
                </c:pt>
                <c:pt idx="25">
                  <c:v>119.43</c:v>
                </c:pt>
                <c:pt idx="26">
                  <c:v>120.62</c:v>
                </c:pt>
                <c:pt idx="27">
                  <c:v>121.83</c:v>
                </c:pt>
                <c:pt idx="28">
                  <c:v>123.05</c:v>
                </c:pt>
                <c:pt idx="29">
                  <c:v>124.28</c:v>
                </c:pt>
                <c:pt idx="30">
                  <c:v>125.52</c:v>
                </c:pt>
                <c:pt idx="31">
                  <c:v>126.78</c:v>
                </c:pt>
                <c:pt idx="32">
                  <c:v>128.05</c:v>
                </c:pt>
                <c:pt idx="33">
                  <c:v>129.33</c:v>
                </c:pt>
                <c:pt idx="34">
                  <c:v>130.62</c:v>
                </c:pt>
                <c:pt idx="35">
                  <c:v>131.93</c:v>
                </c:pt>
                <c:pt idx="36">
                  <c:v>133.24</c:v>
                </c:pt>
                <c:pt idx="37">
                  <c:v>134.58</c:v>
                </c:pt>
                <c:pt idx="38">
                  <c:v>135.92</c:v>
                </c:pt>
                <c:pt idx="39">
                  <c:v>137.28</c:v>
                </c:pt>
                <c:pt idx="40">
                  <c:v>138.66</c:v>
                </c:pt>
                <c:pt idx="41">
                  <c:v>140.04</c:v>
                </c:pt>
                <c:pt idx="42">
                  <c:v>141.44</c:v>
                </c:pt>
                <c:pt idx="43">
                  <c:v>142.86</c:v>
                </c:pt>
                <c:pt idx="44">
                  <c:v>144.29</c:v>
                </c:pt>
                <c:pt idx="45">
                  <c:v>145.73</c:v>
                </c:pt>
                <c:pt idx="46">
                  <c:v>147.19</c:v>
                </c:pt>
                <c:pt idx="47">
                  <c:v>148.66</c:v>
                </c:pt>
                <c:pt idx="48">
                  <c:v>150.14</c:v>
                </c:pt>
                <c:pt idx="49">
                  <c:v>151.65</c:v>
                </c:pt>
                <c:pt idx="50">
                  <c:v>153.16</c:v>
                </c:pt>
                <c:pt idx="51">
                  <c:v>154.69</c:v>
                </c:pt>
                <c:pt idx="52">
                  <c:v>156.24</c:v>
                </c:pt>
                <c:pt idx="53">
                  <c:v>157.80</c:v>
                </c:pt>
                <c:pt idx="54">
                  <c:v>159.38</c:v>
                </c:pt>
                <c:pt idx="55">
                  <c:v>160.97</c:v>
                </c:pt>
                <c:pt idx="56">
                  <c:v>162.58</c:v>
                </c:pt>
                <c:pt idx="57">
                  <c:v>164.21</c:v>
                </c:pt>
                <c:pt idx="58">
                  <c:v>165.85</c:v>
                </c:pt>
                <c:pt idx="59">
                  <c:v>167.51</c:v>
                </c:pt>
                <c:pt idx="60">
                  <c:v>169.19</c:v>
                </c:pt>
                <c:pt idx="61">
                  <c:v>170.88</c:v>
                </c:pt>
                <c:pt idx="62">
                  <c:v>172.59</c:v>
                </c:pt>
                <c:pt idx="63">
                  <c:v>174.31</c:v>
                </c:pt>
                <c:pt idx="64">
                  <c:v>176.06</c:v>
                </c:pt>
                <c:pt idx="65">
                  <c:v>177.82</c:v>
                </c:pt>
                <c:pt idx="66">
                  <c:v>179.59</c:v>
                </c:pt>
                <c:pt idx="67">
                  <c:v>181.39</c:v>
                </c:pt>
                <c:pt idx="68">
                  <c:v>183.20</c:v>
                </c:pt>
                <c:pt idx="69">
                  <c:v>185.04</c:v>
                </c:pt>
                <c:pt idx="70">
                  <c:v>186.89</c:v>
                </c:pt>
                <c:pt idx="71">
                  <c:v>188.75</c:v>
                </c:pt>
                <c:pt idx="72">
                  <c:v>190.64</c:v>
                </c:pt>
                <c:pt idx="73">
                  <c:v>192.55</c:v>
                </c:pt>
                <c:pt idx="74">
                  <c:v>194.47</c:v>
                </c:pt>
                <c:pt idx="75">
                  <c:v>196.42</c:v>
                </c:pt>
                <c:pt idx="76">
                  <c:v>198.38</c:v>
                </c:pt>
                <c:pt idx="77">
                  <c:v>200.37</c:v>
                </c:pt>
                <c:pt idx="78">
                  <c:v>202.37</c:v>
                </c:pt>
                <c:pt idx="79">
                  <c:v>204.39</c:v>
                </c:pt>
                <c:pt idx="80">
                  <c:v>206.44</c:v>
                </c:pt>
                <c:pt idx="81">
                  <c:v>208.50</c:v>
                </c:pt>
                <c:pt idx="82">
                  <c:v>210.59</c:v>
                </c:pt>
                <c:pt idx="83">
                  <c:v>212.69</c:v>
                </c:pt>
                <c:pt idx="84">
                  <c:v>214.82</c:v>
                </c:pt>
                <c:pt idx="85">
                  <c:v>216.97</c:v>
                </c:pt>
                <c:pt idx="86">
                  <c:v>219.14</c:v>
                </c:pt>
                <c:pt idx="87">
                  <c:v>221.33</c:v>
                </c:pt>
                <c:pt idx="88">
                  <c:v>223.54</c:v>
                </c:pt>
                <c:pt idx="89">
                  <c:v>225.78</c:v>
                </c:pt>
                <c:pt idx="90">
                  <c:v>228.04</c:v>
                </c:pt>
                <c:pt idx="91">
                  <c:v>230.32</c:v>
                </c:pt>
                <c:pt idx="92">
                  <c:v>232.62</c:v>
                </c:pt>
                <c:pt idx="93">
                  <c:v>234.95</c:v>
                </c:pt>
                <c:pt idx="94">
                  <c:v>237.30</c:v>
                </c:pt>
                <c:pt idx="95">
                  <c:v>239.67</c:v>
                </c:pt>
                <c:pt idx="96">
                  <c:v>242.07</c:v>
                </c:pt>
                <c:pt idx="97">
                  <c:v>244.49</c:v>
                </c:pt>
                <c:pt idx="98">
                  <c:v>246.93</c:v>
                </c:pt>
                <c:pt idx="99">
                  <c:v>249.40</c:v>
                </c:pt>
                <c:pt idx="100">
                  <c:v>251.89</c:v>
                </c:pt>
                <c:pt idx="101">
                  <c:v>254.41</c:v>
                </c:pt>
                <c:pt idx="102">
                  <c:v>256.96</c:v>
                </c:pt>
                <c:pt idx="103">
                  <c:v>259.53</c:v>
                </c:pt>
                <c:pt idx="104">
                  <c:v>262.12</c:v>
                </c:pt>
                <c:pt idx="105">
                  <c:v>264.74</c:v>
                </c:pt>
                <c:pt idx="106">
                  <c:v>267.39</c:v>
                </c:pt>
                <c:pt idx="107">
                  <c:v>270.06</c:v>
                </c:pt>
                <c:pt idx="108">
                  <c:v>272.77</c:v>
                </c:pt>
                <c:pt idx="109">
                  <c:v>275.49</c:v>
                </c:pt>
                <c:pt idx="110">
                  <c:v>278.25</c:v>
                </c:pt>
                <c:pt idx="111">
                  <c:v>281.03</c:v>
                </c:pt>
                <c:pt idx="112">
                  <c:v>283.84</c:v>
                </c:pt>
                <c:pt idx="113">
                  <c:v>286.68</c:v>
                </c:pt>
                <c:pt idx="114">
                  <c:v>289.55</c:v>
                </c:pt>
                <c:pt idx="115">
                  <c:v>292.44</c:v>
                </c:pt>
                <c:pt idx="116">
                  <c:v>295.37</c:v>
                </c:pt>
                <c:pt idx="117">
                  <c:v>298.32</c:v>
                </c:pt>
                <c:pt idx="118">
                  <c:v>301.30</c:v>
                </c:pt>
                <c:pt idx="119">
                  <c:v>304.32</c:v>
                </c:pt>
                <c:pt idx="120">
                  <c:v>307.36</c:v>
                </c:pt>
                <c:pt idx="121">
                  <c:v>310.43</c:v>
                </c:pt>
                <c:pt idx="122">
                  <c:v>313.54</c:v>
                </c:pt>
                <c:pt idx="123">
                  <c:v>316.67</c:v>
                </c:pt>
                <c:pt idx="124">
                  <c:v>319.84</c:v>
                </c:pt>
                <c:pt idx="125">
                  <c:v>323.04</c:v>
                </c:pt>
                <c:pt idx="126">
                  <c:v>326.27</c:v>
                </c:pt>
                <c:pt idx="127">
                  <c:v>329.53</c:v>
                </c:pt>
                <c:pt idx="128">
                  <c:v>332.83</c:v>
                </c:pt>
                <c:pt idx="129">
                  <c:v>336.15</c:v>
                </c:pt>
              </c:strCache>
            </c:strRef>
          </c:cat>
          <c:val>
            <c:numRef>
              <c:f>'Long Straddle'!$U$17:$U$146</c:f>
              <c:numCache>
                <c:formatCode>General</c:formatCode>
                <c:ptCount val="130"/>
                <c:pt idx="2">
                  <c:v>24.11</c:v>
                </c:pt>
                <c:pt idx="3">
                  <c:v>23.159999999999997</c:v>
                </c:pt>
                <c:pt idx="4">
                  <c:v>22.200499999999991</c:v>
                </c:pt>
                <c:pt idx="5">
                  <c:v>21.231404999999995</c:v>
                </c:pt>
                <c:pt idx="6">
                  <c:v>20.252619049999993</c:v>
                </c:pt>
                <c:pt idx="7">
                  <c:v>19.264045240499996</c:v>
                </c:pt>
                <c:pt idx="8">
                  <c:v>18.265585692904992</c:v>
                </c:pt>
                <c:pt idx="9">
                  <c:v>17.257141549834046</c:v>
                </c:pt>
                <c:pt idx="10">
                  <c:v>16.238612965332379</c:v>
                </c:pt>
                <c:pt idx="11">
                  <c:v>15.209899094985701</c:v>
                </c:pt>
                <c:pt idx="12">
                  <c:v>14.170898085935562</c:v>
                </c:pt>
                <c:pt idx="13">
                  <c:v>13.121507066794919</c:v>
                </c:pt>
                <c:pt idx="14">
                  <c:v>12.061622137462862</c:v>
                </c:pt>
                <c:pt idx="15">
                  <c:v>10.991138358837489</c:v>
                </c:pt>
                <c:pt idx="16">
                  <c:v>9.9099497424258658</c:v>
                </c:pt>
                <c:pt idx="17">
                  <c:v>8.8179492398501225</c:v>
                </c:pt>
                <c:pt idx="18">
                  <c:v>7.7150287322486273</c:v>
                </c:pt>
                <c:pt idx="19">
                  <c:v>6.6010790195711175</c:v>
                </c:pt>
                <c:pt idx="20">
                  <c:v>5.4759898097668307</c:v>
                </c:pt>
                <c:pt idx="21">
                  <c:v>4.3396497078644964</c:v>
                </c:pt>
                <c:pt idx="22">
                  <c:v>3.1919462049431369</c:v>
                </c:pt>
                <c:pt idx="23">
                  <c:v>2.0327656669925611</c:v>
                </c:pt>
                <c:pt idx="24">
                  <c:v>0.86199332366248971</c:v>
                </c:pt>
                <c:pt idx="25">
                  <c:v>-0.32048674310088554</c:v>
                </c:pt>
                <c:pt idx="26">
                  <c:v>-1.5147916105319004</c:v>
                </c:pt>
                <c:pt idx="27">
                  <c:v>-2.7210395266372265</c:v>
                </c:pt>
                <c:pt idx="28">
                  <c:v>-3.9393499219035979</c:v>
                </c:pt>
                <c:pt idx="29">
                  <c:v>-5.1698434211226347</c:v>
                </c:pt>
                <c:pt idx="30">
                  <c:v>-6.4126418553338587</c:v>
                </c:pt>
                <c:pt idx="31">
                  <c:v>-7.6678682738871933</c:v>
                </c:pt>
                <c:pt idx="32">
                  <c:v>-8.9356469566260586</c:v>
                </c:pt>
                <c:pt idx="33">
                  <c:v>-10.216103426192333</c:v>
                </c:pt>
                <c:pt idx="34">
                  <c:v>-11.50936446045425</c:v>
                </c:pt>
                <c:pt idx="35">
                  <c:v>-12.815558105058798</c:v>
                </c:pt>
                <c:pt idx="36">
                  <c:v>-14.134813686109382</c:v>
                </c:pt>
                <c:pt idx="37">
                  <c:v>-15.467261822970485</c:v>
                </c:pt>
                <c:pt idx="38">
                  <c:v>-14.966965558799799</c:v>
                </c:pt>
                <c:pt idx="39">
                  <c:v>-13.607735214387802</c:v>
                </c:pt>
                <c:pt idx="40">
                  <c:v>-12.23491256653169</c:v>
                </c:pt>
                <c:pt idx="41">
                  <c:v>-10.848361692197003</c:v>
                </c:pt>
                <c:pt idx="42">
                  <c:v>-9.447945309118964</c:v>
                </c:pt>
                <c:pt idx="43">
                  <c:v>-8.0335247622101491</c:v>
                </c:pt>
                <c:pt idx="44">
                  <c:v>-6.6049600098322534</c:v>
                </c:pt>
                <c:pt idx="45">
                  <c:v>-5.1621096099305666</c:v>
                </c:pt>
                <c:pt idx="46">
                  <c:v>-3.7048307060298802</c:v>
                </c:pt>
                <c:pt idx="47">
                  <c:v>-2.2329790130901719</c:v>
                </c:pt>
                <c:pt idx="48">
                  <c:v>-0.74640880322108583</c:v>
                </c:pt>
                <c:pt idx="49">
                  <c:v>0.75502710874671752</c:v>
                </c:pt>
                <c:pt idx="50">
                  <c:v>2.2714773798341961</c:v>
                </c:pt>
                <c:pt idx="51">
                  <c:v>3.8030921536325346</c:v>
                </c:pt>
                <c:pt idx="52">
                  <c:v>5.3500230751688642</c:v>
                </c:pt>
                <c:pt idx="53">
                  <c:v>6.9124233059205418</c:v>
                </c:pt>
                <c:pt idx="54">
                  <c:v>8.4904475389797511</c:v>
                </c:pt>
                <c:pt idx="55">
                  <c:v>10.08425201436954</c:v>
                </c:pt>
                <c:pt idx="56">
                  <c:v>11.693994534513237</c:v>
                </c:pt>
                <c:pt idx="57">
                  <c:v>13.319834479858358</c:v>
                </c:pt>
                <c:pt idx="58">
                  <c:v>14.961932824656955</c:v>
                </c:pt>
                <c:pt idx="59">
                  <c:v>16.620452152903525</c:v>
                </c:pt>
                <c:pt idx="60">
                  <c:v>18.295556674432575</c:v>
                </c:pt>
                <c:pt idx="61">
                  <c:v>19.987412241176898</c:v>
                </c:pt>
                <c:pt idx="62">
                  <c:v>21.696186363588666</c:v>
                </c:pt>
                <c:pt idx="63">
                  <c:v>23.42204822722455</c:v>
                </c:pt>
                <c:pt idx="64">
                  <c:v>25.1651687094968</c:v>
                </c:pt>
                <c:pt idx="65">
                  <c:v>26.92572039659176</c:v>
                </c:pt>
                <c:pt idx="66">
                  <c:v>28.703877600557679</c:v>
                </c:pt>
                <c:pt idx="67">
                  <c:v>30.499816376563263</c:v>
                </c:pt>
                <c:pt idx="68">
                  <c:v>32.313714540328895</c:v>
                </c:pt>
                <c:pt idx="69">
                  <c:v>34.145751685732186</c:v>
                </c:pt>
                <c:pt idx="70">
                  <c:v>35.996109202589501</c:v>
                </c:pt>
                <c:pt idx="71">
                  <c:v>37.864970294615397</c:v>
                </c:pt>
                <c:pt idx="72">
                  <c:v>39.752519997561556</c:v>
                </c:pt>
                <c:pt idx="73">
                  <c:v>41.658945197537172</c:v>
                </c:pt>
                <c:pt idx="74">
                  <c:v>43.584434649512552</c:v>
                </c:pt>
                <c:pt idx="75">
                  <c:v>45.52917899600768</c:v>
                </c:pt>
                <c:pt idx="76">
                  <c:v>47.493370785967748</c:v>
                </c:pt>
                <c:pt idx="77">
                  <c:v>49.477204493827422</c:v>
                </c:pt>
                <c:pt idx="78">
                  <c:v>51.480876538765692</c:v>
                </c:pt>
                <c:pt idx="79">
                  <c:v>53.504585304153345</c:v>
                </c:pt>
                <c:pt idx="80">
                  <c:v>55.548531157194894</c:v>
                </c:pt>
                <c:pt idx="81">
                  <c:v>57.612916468766848</c:v>
                </c:pt>
                <c:pt idx="82">
                  <c:v>59.69794563345453</c:v>
                </c:pt>
                <c:pt idx="83">
                  <c:v>61.803825089789079</c:v>
                </c:pt>
                <c:pt idx="84">
                  <c:v>63.930763340686973</c:v>
                </c:pt>
                <c:pt idx="85">
                  <c:v>66.078970974093849</c:v>
                </c:pt>
                <c:pt idx="86">
                  <c:v>68.248660683834785</c:v>
                </c:pt>
                <c:pt idx="87">
                  <c:v>70.440047290673121</c:v>
                </c:pt>
                <c:pt idx="88">
                  <c:v>72.653347763579845</c:v>
                </c:pt>
                <c:pt idx="89">
                  <c:v>74.888781241215653</c:v>
                </c:pt>
                <c:pt idx="90">
                  <c:v>77.1465690536278</c:v>
                </c:pt>
                <c:pt idx="91">
                  <c:v>79.426934744164086</c:v>
                </c:pt>
                <c:pt idx="92">
                  <c:v>81.730104091605725</c:v>
                </c:pt>
                <c:pt idx="93">
                  <c:v>84.056305132521786</c:v>
                </c:pt>
                <c:pt idx="94">
                  <c:v>86.405768183847002</c:v>
                </c:pt>
                <c:pt idx="95">
                  <c:v>88.778725865685473</c:v>
                </c:pt>
                <c:pt idx="96">
                  <c:v>91.175413124342342</c:v>
                </c:pt>
                <c:pt idx="97">
                  <c:v>93.596067255585766</c:v>
                </c:pt>
                <c:pt idx="98">
                  <c:v>96.040927928141613</c:v>
                </c:pt>
                <c:pt idx="99">
                  <c:v>98.510237207423032</c:v>
                </c:pt>
                <c:pt idx="100">
                  <c:v>101.00423957949725</c:v>
                </c:pt>
                <c:pt idx="101">
                  <c:v>103.52318197529222</c:v>
                </c:pt>
                <c:pt idx="102">
                  <c:v>106.06731379504514</c:v>
                </c:pt>
                <c:pt idx="103">
                  <c:v>108.63688693299558</c:v>
                </c:pt>
                <c:pt idx="104">
                  <c:v>111.23215580232555</c:v>
                </c:pt>
                <c:pt idx="105">
                  <c:v>113.8533773603488</c:v>
                </c:pt>
                <c:pt idx="106">
                  <c:v>116.5008111339523</c:v>
                </c:pt>
                <c:pt idx="107">
                  <c:v>119.17471924529183</c:v>
                </c:pt>
                <c:pt idx="108">
                  <c:v>121.87536643774476</c:v>
                </c:pt>
                <c:pt idx="109">
                  <c:v>124.6030201021222</c:v>
                </c:pt>
                <c:pt idx="110">
                  <c:v>127.35795030314344</c:v>
                </c:pt>
                <c:pt idx="111">
                  <c:v>130.14042980617486</c:v>
                </c:pt>
                <c:pt idx="112">
                  <c:v>132.9507341042366</c:v>
                </c:pt>
                <c:pt idx="113">
                  <c:v>135.78914144527894</c:v>
                </c:pt>
                <c:pt idx="114">
                  <c:v>138.65593285973173</c:v>
                </c:pt>
                <c:pt idx="115">
                  <c:v>141.55139218832906</c:v>
                </c:pt>
                <c:pt idx="116">
                  <c:v>144.47580611021235</c:v>
                </c:pt>
                <c:pt idx="117">
                  <c:v>147.42946417131449</c:v>
                </c:pt>
                <c:pt idx="118">
                  <c:v>150.41265881302766</c:v>
                </c:pt>
                <c:pt idx="119">
                  <c:v>153.42568540115795</c:v>
                </c:pt>
                <c:pt idx="120">
                  <c:v>156.46884225516951</c:v>
                </c:pt>
                <c:pt idx="121">
                  <c:v>159.54243067772123</c:v>
                </c:pt>
                <c:pt idx="122">
                  <c:v>162.64675498449841</c:v>
                </c:pt>
                <c:pt idx="123">
                  <c:v>165.78212253434342</c:v>
                </c:pt>
                <c:pt idx="124">
                  <c:v>168.94884375968687</c:v>
                </c:pt>
                <c:pt idx="125">
                  <c:v>172.14723219728373</c:v>
                </c:pt>
                <c:pt idx="126">
                  <c:v>175.37760451925655</c:v>
                </c:pt>
                <c:pt idx="127">
                  <c:v>178.64028056444911</c:v>
                </c:pt>
                <c:pt idx="128">
                  <c:v>181.93558337009361</c:v>
                </c:pt>
                <c:pt idx="129">
                  <c:v>185.26383920379456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5B-4778-BA48-125D8C11A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2115376"/>
        <c:axId val="1853899552"/>
      </c:lineChart>
      <c:catAx>
        <c:axId val="1742115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3899552"/>
        <c:crosses val="autoZero"/>
        <c:auto val="1"/>
        <c:lblAlgn val="ctr"/>
        <c:lblOffset val="100"/>
        <c:noMultiLvlLbl val="0"/>
      </c:catAx>
      <c:valAx>
        <c:axId val="185389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211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Long Strangle: Payoff at Expiration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'Long Strangle'!$S$17:$S$146</c:f>
              <c:strCache>
                <c:ptCount val="130"/>
                <c:pt idx="1">
                  <c:v>Price at expiry</c:v>
                </c:pt>
                <c:pt idx="2">
                  <c:v>105.00</c:v>
                </c:pt>
                <c:pt idx="3">
                  <c:v>106.05</c:v>
                </c:pt>
                <c:pt idx="4">
                  <c:v>107.11</c:v>
                </c:pt>
                <c:pt idx="5">
                  <c:v>108.18</c:v>
                </c:pt>
                <c:pt idx="6">
                  <c:v>109.26</c:v>
                </c:pt>
                <c:pt idx="7">
                  <c:v>110.36</c:v>
                </c:pt>
                <c:pt idx="8">
                  <c:v>111.46</c:v>
                </c:pt>
                <c:pt idx="9">
                  <c:v>112.57</c:v>
                </c:pt>
                <c:pt idx="10">
                  <c:v>113.70</c:v>
                </c:pt>
                <c:pt idx="11">
                  <c:v>114.84</c:v>
                </c:pt>
                <c:pt idx="12">
                  <c:v>115.99</c:v>
                </c:pt>
                <c:pt idx="13">
                  <c:v>117.15</c:v>
                </c:pt>
                <c:pt idx="14">
                  <c:v>118.32</c:v>
                </c:pt>
                <c:pt idx="15">
                  <c:v>119.50</c:v>
                </c:pt>
                <c:pt idx="16">
                  <c:v>120.69</c:v>
                </c:pt>
                <c:pt idx="17">
                  <c:v>121.90</c:v>
                </c:pt>
                <c:pt idx="18">
                  <c:v>123.12</c:v>
                </c:pt>
                <c:pt idx="19">
                  <c:v>124.35</c:v>
                </c:pt>
                <c:pt idx="20">
                  <c:v>125.60</c:v>
                </c:pt>
                <c:pt idx="21">
                  <c:v>126.85</c:v>
                </c:pt>
                <c:pt idx="22">
                  <c:v>128.12</c:v>
                </c:pt>
                <c:pt idx="23">
                  <c:v>129.40</c:v>
                </c:pt>
                <c:pt idx="24">
                  <c:v>130.70</c:v>
                </c:pt>
                <c:pt idx="25">
                  <c:v>132.00</c:v>
                </c:pt>
                <c:pt idx="26">
                  <c:v>133.32</c:v>
                </c:pt>
                <c:pt idx="27">
                  <c:v>134.66</c:v>
                </c:pt>
                <c:pt idx="28">
                  <c:v>136.00</c:v>
                </c:pt>
                <c:pt idx="29">
                  <c:v>137.36</c:v>
                </c:pt>
                <c:pt idx="30">
                  <c:v>138.74</c:v>
                </c:pt>
                <c:pt idx="31">
                  <c:v>140.12</c:v>
                </c:pt>
                <c:pt idx="32">
                  <c:v>141.52</c:v>
                </c:pt>
                <c:pt idx="33">
                  <c:v>142.94</c:v>
                </c:pt>
                <c:pt idx="34">
                  <c:v>144.37</c:v>
                </c:pt>
                <c:pt idx="35">
                  <c:v>145.81</c:v>
                </c:pt>
                <c:pt idx="36">
                  <c:v>147.27</c:v>
                </c:pt>
                <c:pt idx="37">
                  <c:v>148.74</c:v>
                </c:pt>
                <c:pt idx="38">
                  <c:v>150.23</c:v>
                </c:pt>
                <c:pt idx="39">
                  <c:v>151.73</c:v>
                </c:pt>
                <c:pt idx="40">
                  <c:v>153.25</c:v>
                </c:pt>
                <c:pt idx="41">
                  <c:v>154.78</c:v>
                </c:pt>
                <c:pt idx="42">
                  <c:v>156.33</c:v>
                </c:pt>
                <c:pt idx="43">
                  <c:v>157.89</c:v>
                </c:pt>
                <c:pt idx="44">
                  <c:v>159.47</c:v>
                </c:pt>
                <c:pt idx="45">
                  <c:v>161.07</c:v>
                </c:pt>
                <c:pt idx="46">
                  <c:v>162.68</c:v>
                </c:pt>
                <c:pt idx="47">
                  <c:v>164.31</c:v>
                </c:pt>
                <c:pt idx="48">
                  <c:v>165.95</c:v>
                </c:pt>
                <c:pt idx="49">
                  <c:v>167.61</c:v>
                </c:pt>
                <c:pt idx="50">
                  <c:v>169.28</c:v>
                </c:pt>
                <c:pt idx="51">
                  <c:v>170.98</c:v>
                </c:pt>
                <c:pt idx="52">
                  <c:v>172.69</c:v>
                </c:pt>
                <c:pt idx="53">
                  <c:v>174.41</c:v>
                </c:pt>
                <c:pt idx="54">
                  <c:v>176.16</c:v>
                </c:pt>
                <c:pt idx="55">
                  <c:v>177.92</c:v>
                </c:pt>
                <c:pt idx="56">
                  <c:v>179.70</c:v>
                </c:pt>
                <c:pt idx="57">
                  <c:v>181.50</c:v>
                </c:pt>
                <c:pt idx="58">
                  <c:v>183.31</c:v>
                </c:pt>
                <c:pt idx="59">
                  <c:v>185.14</c:v>
                </c:pt>
                <c:pt idx="60">
                  <c:v>186.99</c:v>
                </c:pt>
                <c:pt idx="61">
                  <c:v>188.86</c:v>
                </c:pt>
                <c:pt idx="62">
                  <c:v>190.75</c:v>
                </c:pt>
                <c:pt idx="63">
                  <c:v>192.66</c:v>
                </c:pt>
                <c:pt idx="64">
                  <c:v>194.59</c:v>
                </c:pt>
                <c:pt idx="65">
                  <c:v>196.53</c:v>
                </c:pt>
                <c:pt idx="66">
                  <c:v>198.50</c:v>
                </c:pt>
                <c:pt idx="67">
                  <c:v>200.48</c:v>
                </c:pt>
                <c:pt idx="68">
                  <c:v>202.49</c:v>
                </c:pt>
                <c:pt idx="69">
                  <c:v>204.51</c:v>
                </c:pt>
                <c:pt idx="70">
                  <c:v>206.56</c:v>
                </c:pt>
                <c:pt idx="71">
                  <c:v>208.62</c:v>
                </c:pt>
                <c:pt idx="72">
                  <c:v>210.71</c:v>
                </c:pt>
                <c:pt idx="73">
                  <c:v>212.82</c:v>
                </c:pt>
                <c:pt idx="74">
                  <c:v>214.95</c:v>
                </c:pt>
                <c:pt idx="75">
                  <c:v>217.09</c:v>
                </c:pt>
                <c:pt idx="76">
                  <c:v>219.27</c:v>
                </c:pt>
                <c:pt idx="77">
                  <c:v>221.46</c:v>
                </c:pt>
                <c:pt idx="78">
                  <c:v>223.67</c:v>
                </c:pt>
                <c:pt idx="79">
                  <c:v>225.91</c:v>
                </c:pt>
                <c:pt idx="80">
                  <c:v>228.17</c:v>
                </c:pt>
                <c:pt idx="81">
                  <c:v>230.45</c:v>
                </c:pt>
                <c:pt idx="82">
                  <c:v>232.76</c:v>
                </c:pt>
                <c:pt idx="83">
                  <c:v>235.08</c:v>
                </c:pt>
                <c:pt idx="84">
                  <c:v>237.43</c:v>
                </c:pt>
                <c:pt idx="85">
                  <c:v>239.81</c:v>
                </c:pt>
                <c:pt idx="86">
                  <c:v>242.21</c:v>
                </c:pt>
                <c:pt idx="87">
                  <c:v>244.63</c:v>
                </c:pt>
                <c:pt idx="88">
                  <c:v>247.07</c:v>
                </c:pt>
                <c:pt idx="89">
                  <c:v>249.54</c:v>
                </c:pt>
                <c:pt idx="90">
                  <c:v>252.04</c:v>
                </c:pt>
                <c:pt idx="91">
                  <c:v>254.56</c:v>
                </c:pt>
                <c:pt idx="92">
                  <c:v>257.11</c:v>
                </c:pt>
                <c:pt idx="93">
                  <c:v>259.68</c:v>
                </c:pt>
                <c:pt idx="94">
                  <c:v>262.27</c:v>
                </c:pt>
                <c:pt idx="95">
                  <c:v>264.90</c:v>
                </c:pt>
                <c:pt idx="96">
                  <c:v>267.55</c:v>
                </c:pt>
                <c:pt idx="97">
                  <c:v>270.22</c:v>
                </c:pt>
                <c:pt idx="98">
                  <c:v>272.92</c:v>
                </c:pt>
                <c:pt idx="99">
                  <c:v>275.65</c:v>
                </c:pt>
                <c:pt idx="100">
                  <c:v>278.41</c:v>
                </c:pt>
                <c:pt idx="101">
                  <c:v>281.19</c:v>
                </c:pt>
                <c:pt idx="102">
                  <c:v>284.01</c:v>
                </c:pt>
                <c:pt idx="103">
                  <c:v>286.85</c:v>
                </c:pt>
                <c:pt idx="104">
                  <c:v>289.71</c:v>
                </c:pt>
                <c:pt idx="105">
                  <c:v>292.61</c:v>
                </c:pt>
                <c:pt idx="106">
                  <c:v>295.54</c:v>
                </c:pt>
                <c:pt idx="107">
                  <c:v>298.49</c:v>
                </c:pt>
                <c:pt idx="108">
                  <c:v>301.48</c:v>
                </c:pt>
                <c:pt idx="109">
                  <c:v>304.49</c:v>
                </c:pt>
                <c:pt idx="110">
                  <c:v>307.54</c:v>
                </c:pt>
                <c:pt idx="111">
                  <c:v>310.61</c:v>
                </c:pt>
                <c:pt idx="112">
                  <c:v>313.72</c:v>
                </c:pt>
                <c:pt idx="113">
                  <c:v>316.86</c:v>
                </c:pt>
                <c:pt idx="114">
                  <c:v>320.02</c:v>
                </c:pt>
                <c:pt idx="115">
                  <c:v>323.22</c:v>
                </c:pt>
                <c:pt idx="116">
                  <c:v>326.46</c:v>
                </c:pt>
                <c:pt idx="117">
                  <c:v>329.72</c:v>
                </c:pt>
                <c:pt idx="118">
                  <c:v>333.02</c:v>
                </c:pt>
                <c:pt idx="119">
                  <c:v>336.35</c:v>
                </c:pt>
                <c:pt idx="120">
                  <c:v>339.71</c:v>
                </c:pt>
                <c:pt idx="121">
                  <c:v>343.11</c:v>
                </c:pt>
                <c:pt idx="122">
                  <c:v>346.54</c:v>
                </c:pt>
                <c:pt idx="123">
                  <c:v>350.01</c:v>
                </c:pt>
                <c:pt idx="124">
                  <c:v>353.51</c:v>
                </c:pt>
                <c:pt idx="125">
                  <c:v>357.04</c:v>
                </c:pt>
                <c:pt idx="126">
                  <c:v>360.61</c:v>
                </c:pt>
                <c:pt idx="127">
                  <c:v>364.22</c:v>
                </c:pt>
                <c:pt idx="128">
                  <c:v>367.86</c:v>
                </c:pt>
                <c:pt idx="129">
                  <c:v>371.54</c:v>
                </c:pt>
              </c:strCache>
            </c:strRef>
          </c:cat>
          <c:val>
            <c:numRef>
              <c:f>'Long Call'!$T$17:$T$146</c:f>
              <c:numCache>
                <c:formatCode>General</c:formatCode>
                <c:ptCount val="1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14-495B-9AC1-28C864952F6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'Long Strangle'!$S$17:$S$146</c:f>
              <c:strCache>
                <c:ptCount val="130"/>
                <c:pt idx="1">
                  <c:v>Price at expiry</c:v>
                </c:pt>
                <c:pt idx="2">
                  <c:v>105.00</c:v>
                </c:pt>
                <c:pt idx="3">
                  <c:v>106.05</c:v>
                </c:pt>
                <c:pt idx="4">
                  <c:v>107.11</c:v>
                </c:pt>
                <c:pt idx="5">
                  <c:v>108.18</c:v>
                </c:pt>
                <c:pt idx="6">
                  <c:v>109.26</c:v>
                </c:pt>
                <c:pt idx="7">
                  <c:v>110.36</c:v>
                </c:pt>
                <c:pt idx="8">
                  <c:v>111.46</c:v>
                </c:pt>
                <c:pt idx="9">
                  <c:v>112.57</c:v>
                </c:pt>
                <c:pt idx="10">
                  <c:v>113.70</c:v>
                </c:pt>
                <c:pt idx="11">
                  <c:v>114.84</c:v>
                </c:pt>
                <c:pt idx="12">
                  <c:v>115.99</c:v>
                </c:pt>
                <c:pt idx="13">
                  <c:v>117.15</c:v>
                </c:pt>
                <c:pt idx="14">
                  <c:v>118.32</c:v>
                </c:pt>
                <c:pt idx="15">
                  <c:v>119.50</c:v>
                </c:pt>
                <c:pt idx="16">
                  <c:v>120.69</c:v>
                </c:pt>
                <c:pt idx="17">
                  <c:v>121.90</c:v>
                </c:pt>
                <c:pt idx="18">
                  <c:v>123.12</c:v>
                </c:pt>
                <c:pt idx="19">
                  <c:v>124.35</c:v>
                </c:pt>
                <c:pt idx="20">
                  <c:v>125.60</c:v>
                </c:pt>
                <c:pt idx="21">
                  <c:v>126.85</c:v>
                </c:pt>
                <c:pt idx="22">
                  <c:v>128.12</c:v>
                </c:pt>
                <c:pt idx="23">
                  <c:v>129.40</c:v>
                </c:pt>
                <c:pt idx="24">
                  <c:v>130.70</c:v>
                </c:pt>
                <c:pt idx="25">
                  <c:v>132.00</c:v>
                </c:pt>
                <c:pt idx="26">
                  <c:v>133.32</c:v>
                </c:pt>
                <c:pt idx="27">
                  <c:v>134.66</c:v>
                </c:pt>
                <c:pt idx="28">
                  <c:v>136.00</c:v>
                </c:pt>
                <c:pt idx="29">
                  <c:v>137.36</c:v>
                </c:pt>
                <c:pt idx="30">
                  <c:v>138.74</c:v>
                </c:pt>
                <c:pt idx="31">
                  <c:v>140.12</c:v>
                </c:pt>
                <c:pt idx="32">
                  <c:v>141.52</c:v>
                </c:pt>
                <c:pt idx="33">
                  <c:v>142.94</c:v>
                </c:pt>
                <c:pt idx="34">
                  <c:v>144.37</c:v>
                </c:pt>
                <c:pt idx="35">
                  <c:v>145.81</c:v>
                </c:pt>
                <c:pt idx="36">
                  <c:v>147.27</c:v>
                </c:pt>
                <c:pt idx="37">
                  <c:v>148.74</c:v>
                </c:pt>
                <c:pt idx="38">
                  <c:v>150.23</c:v>
                </c:pt>
                <c:pt idx="39">
                  <c:v>151.73</c:v>
                </c:pt>
                <c:pt idx="40">
                  <c:v>153.25</c:v>
                </c:pt>
                <c:pt idx="41">
                  <c:v>154.78</c:v>
                </c:pt>
                <c:pt idx="42">
                  <c:v>156.33</c:v>
                </c:pt>
                <c:pt idx="43">
                  <c:v>157.89</c:v>
                </c:pt>
                <c:pt idx="44">
                  <c:v>159.47</c:v>
                </c:pt>
                <c:pt idx="45">
                  <c:v>161.07</c:v>
                </c:pt>
                <c:pt idx="46">
                  <c:v>162.68</c:v>
                </c:pt>
                <c:pt idx="47">
                  <c:v>164.31</c:v>
                </c:pt>
                <c:pt idx="48">
                  <c:v>165.95</c:v>
                </c:pt>
                <c:pt idx="49">
                  <c:v>167.61</c:v>
                </c:pt>
                <c:pt idx="50">
                  <c:v>169.28</c:v>
                </c:pt>
                <c:pt idx="51">
                  <c:v>170.98</c:v>
                </c:pt>
                <c:pt idx="52">
                  <c:v>172.69</c:v>
                </c:pt>
                <c:pt idx="53">
                  <c:v>174.41</c:v>
                </c:pt>
                <c:pt idx="54">
                  <c:v>176.16</c:v>
                </c:pt>
                <c:pt idx="55">
                  <c:v>177.92</c:v>
                </c:pt>
                <c:pt idx="56">
                  <c:v>179.70</c:v>
                </c:pt>
                <c:pt idx="57">
                  <c:v>181.50</c:v>
                </c:pt>
                <c:pt idx="58">
                  <c:v>183.31</c:v>
                </c:pt>
                <c:pt idx="59">
                  <c:v>185.14</c:v>
                </c:pt>
                <c:pt idx="60">
                  <c:v>186.99</c:v>
                </c:pt>
                <c:pt idx="61">
                  <c:v>188.86</c:v>
                </c:pt>
                <c:pt idx="62">
                  <c:v>190.75</c:v>
                </c:pt>
                <c:pt idx="63">
                  <c:v>192.66</c:v>
                </c:pt>
                <c:pt idx="64">
                  <c:v>194.59</c:v>
                </c:pt>
                <c:pt idx="65">
                  <c:v>196.53</c:v>
                </c:pt>
                <c:pt idx="66">
                  <c:v>198.50</c:v>
                </c:pt>
                <c:pt idx="67">
                  <c:v>200.48</c:v>
                </c:pt>
                <c:pt idx="68">
                  <c:v>202.49</c:v>
                </c:pt>
                <c:pt idx="69">
                  <c:v>204.51</c:v>
                </c:pt>
                <c:pt idx="70">
                  <c:v>206.56</c:v>
                </c:pt>
                <c:pt idx="71">
                  <c:v>208.62</c:v>
                </c:pt>
                <c:pt idx="72">
                  <c:v>210.71</c:v>
                </c:pt>
                <c:pt idx="73">
                  <c:v>212.82</c:v>
                </c:pt>
                <c:pt idx="74">
                  <c:v>214.95</c:v>
                </c:pt>
                <c:pt idx="75">
                  <c:v>217.09</c:v>
                </c:pt>
                <c:pt idx="76">
                  <c:v>219.27</c:v>
                </c:pt>
                <c:pt idx="77">
                  <c:v>221.46</c:v>
                </c:pt>
                <c:pt idx="78">
                  <c:v>223.67</c:v>
                </c:pt>
                <c:pt idx="79">
                  <c:v>225.91</c:v>
                </c:pt>
                <c:pt idx="80">
                  <c:v>228.17</c:v>
                </c:pt>
                <c:pt idx="81">
                  <c:v>230.45</c:v>
                </c:pt>
                <c:pt idx="82">
                  <c:v>232.76</c:v>
                </c:pt>
                <c:pt idx="83">
                  <c:v>235.08</c:v>
                </c:pt>
                <c:pt idx="84">
                  <c:v>237.43</c:v>
                </c:pt>
                <c:pt idx="85">
                  <c:v>239.81</c:v>
                </c:pt>
                <c:pt idx="86">
                  <c:v>242.21</c:v>
                </c:pt>
                <c:pt idx="87">
                  <c:v>244.63</c:v>
                </c:pt>
                <c:pt idx="88">
                  <c:v>247.07</c:v>
                </c:pt>
                <c:pt idx="89">
                  <c:v>249.54</c:v>
                </c:pt>
                <c:pt idx="90">
                  <c:v>252.04</c:v>
                </c:pt>
                <c:pt idx="91">
                  <c:v>254.56</c:v>
                </c:pt>
                <c:pt idx="92">
                  <c:v>257.11</c:v>
                </c:pt>
                <c:pt idx="93">
                  <c:v>259.68</c:v>
                </c:pt>
                <c:pt idx="94">
                  <c:v>262.27</c:v>
                </c:pt>
                <c:pt idx="95">
                  <c:v>264.90</c:v>
                </c:pt>
                <c:pt idx="96">
                  <c:v>267.55</c:v>
                </c:pt>
                <c:pt idx="97">
                  <c:v>270.22</c:v>
                </c:pt>
                <c:pt idx="98">
                  <c:v>272.92</c:v>
                </c:pt>
                <c:pt idx="99">
                  <c:v>275.65</c:v>
                </c:pt>
                <c:pt idx="100">
                  <c:v>278.41</c:v>
                </c:pt>
                <c:pt idx="101">
                  <c:v>281.19</c:v>
                </c:pt>
                <c:pt idx="102">
                  <c:v>284.01</c:v>
                </c:pt>
                <c:pt idx="103">
                  <c:v>286.85</c:v>
                </c:pt>
                <c:pt idx="104">
                  <c:v>289.71</c:v>
                </c:pt>
                <c:pt idx="105">
                  <c:v>292.61</c:v>
                </c:pt>
                <c:pt idx="106">
                  <c:v>295.54</c:v>
                </c:pt>
                <c:pt idx="107">
                  <c:v>298.49</c:v>
                </c:pt>
                <c:pt idx="108">
                  <c:v>301.48</c:v>
                </c:pt>
                <c:pt idx="109">
                  <c:v>304.49</c:v>
                </c:pt>
                <c:pt idx="110">
                  <c:v>307.54</c:v>
                </c:pt>
                <c:pt idx="111">
                  <c:v>310.61</c:v>
                </c:pt>
                <c:pt idx="112">
                  <c:v>313.72</c:v>
                </c:pt>
                <c:pt idx="113">
                  <c:v>316.86</c:v>
                </c:pt>
                <c:pt idx="114">
                  <c:v>320.02</c:v>
                </c:pt>
                <c:pt idx="115">
                  <c:v>323.22</c:v>
                </c:pt>
                <c:pt idx="116">
                  <c:v>326.46</c:v>
                </c:pt>
                <c:pt idx="117">
                  <c:v>329.72</c:v>
                </c:pt>
                <c:pt idx="118">
                  <c:v>333.02</c:v>
                </c:pt>
                <c:pt idx="119">
                  <c:v>336.35</c:v>
                </c:pt>
                <c:pt idx="120">
                  <c:v>339.71</c:v>
                </c:pt>
                <c:pt idx="121">
                  <c:v>343.11</c:v>
                </c:pt>
                <c:pt idx="122">
                  <c:v>346.54</c:v>
                </c:pt>
                <c:pt idx="123">
                  <c:v>350.01</c:v>
                </c:pt>
                <c:pt idx="124">
                  <c:v>353.51</c:v>
                </c:pt>
                <c:pt idx="125">
                  <c:v>357.04</c:v>
                </c:pt>
                <c:pt idx="126">
                  <c:v>360.61</c:v>
                </c:pt>
                <c:pt idx="127">
                  <c:v>364.22</c:v>
                </c:pt>
                <c:pt idx="128">
                  <c:v>367.86</c:v>
                </c:pt>
                <c:pt idx="129">
                  <c:v>371.54</c:v>
                </c:pt>
              </c:strCache>
            </c:strRef>
          </c:cat>
          <c:val>
            <c:numRef>
              <c:f>'Long Strangle'!$U$17:$U$146</c:f>
              <c:numCache>
                <c:formatCode>General</c:formatCode>
                <c:ptCount val="130"/>
                <c:pt idx="2">
                  <c:v>-0.88999999999999968</c:v>
                </c:pt>
                <c:pt idx="3">
                  <c:v>-1.9399999999999968</c:v>
                </c:pt>
                <c:pt idx="4">
                  <c:v>-3.0005000000000015</c:v>
                </c:pt>
                <c:pt idx="5">
                  <c:v>-4.0716050000000044</c:v>
                </c:pt>
                <c:pt idx="6">
                  <c:v>-5.1534210500000048</c:v>
                </c:pt>
                <c:pt idx="7">
                  <c:v>-6.2460552604999995</c:v>
                </c:pt>
                <c:pt idx="8">
                  <c:v>-7.3496158131050029</c:v>
                </c:pt>
                <c:pt idx="9">
                  <c:v>-8.464211971236054</c:v>
                </c:pt>
                <c:pt idx="10">
                  <c:v>-9.5899540909484102</c:v>
                </c:pt>
                <c:pt idx="11">
                  <c:v>-10.726953631857896</c:v>
                </c:pt>
                <c:pt idx="12">
                  <c:v>-11.875323168176479</c:v>
                </c:pt>
                <c:pt idx="13">
                  <c:v>-13.035176399858244</c:v>
                </c:pt>
                <c:pt idx="14">
                  <c:v>-14.206628163856834</c:v>
                </c:pt>
                <c:pt idx="15">
                  <c:v>-15.389794445495397</c:v>
                </c:pt>
                <c:pt idx="16">
                  <c:v>-15.89</c:v>
                </c:pt>
                <c:pt idx="17">
                  <c:v>-15.89</c:v>
                </c:pt>
                <c:pt idx="18">
                  <c:v>-15.89</c:v>
                </c:pt>
                <c:pt idx="19">
                  <c:v>-15.89</c:v>
                </c:pt>
                <c:pt idx="20">
                  <c:v>-15.89</c:v>
                </c:pt>
                <c:pt idx="21">
                  <c:v>-15.89</c:v>
                </c:pt>
                <c:pt idx="22">
                  <c:v>-15.89</c:v>
                </c:pt>
                <c:pt idx="23">
                  <c:v>-15.89</c:v>
                </c:pt>
                <c:pt idx="24">
                  <c:v>-15.89</c:v>
                </c:pt>
                <c:pt idx="25">
                  <c:v>-15.89</c:v>
                </c:pt>
                <c:pt idx="26">
                  <c:v>-15.89</c:v>
                </c:pt>
                <c:pt idx="27">
                  <c:v>-15.89</c:v>
                </c:pt>
                <c:pt idx="28">
                  <c:v>-15.89</c:v>
                </c:pt>
                <c:pt idx="29">
                  <c:v>-15.89</c:v>
                </c:pt>
                <c:pt idx="30">
                  <c:v>-15.89</c:v>
                </c:pt>
                <c:pt idx="31">
                  <c:v>-15.89</c:v>
                </c:pt>
                <c:pt idx="32">
                  <c:v>-15.89</c:v>
                </c:pt>
                <c:pt idx="33">
                  <c:v>-15.89</c:v>
                </c:pt>
                <c:pt idx="34">
                  <c:v>-15.89</c:v>
                </c:pt>
                <c:pt idx="35">
                  <c:v>-15.89</c:v>
                </c:pt>
                <c:pt idx="36">
                  <c:v>-15.89</c:v>
                </c:pt>
                <c:pt idx="37">
                  <c:v>-15.89</c:v>
                </c:pt>
                <c:pt idx="38">
                  <c:v>-15.659277722883971</c:v>
                </c:pt>
                <c:pt idx="39">
                  <c:v>-14.15697050011282</c:v>
                </c:pt>
                <c:pt idx="40">
                  <c:v>-12.639640205113935</c:v>
                </c:pt>
                <c:pt idx="41">
                  <c:v>-11.10713660716506</c:v>
                </c:pt>
                <c:pt idx="42">
                  <c:v>-9.5593079732366988</c:v>
                </c:pt>
                <c:pt idx="43">
                  <c:v>-7.9960010529690768</c:v>
                </c:pt>
                <c:pt idx="44">
                  <c:v>-6.417061063498763</c:v>
                </c:pt>
                <c:pt idx="45">
                  <c:v>-4.8223316741337632</c:v>
                </c:pt>
                <c:pt idx="46">
                  <c:v>-3.2116549908750889</c:v>
                </c:pt>
                <c:pt idx="47">
                  <c:v>-1.5848715407838503</c:v>
                </c:pt>
                <c:pt idx="48">
                  <c:v>5.8179743808310924E-2</c:v>
                </c:pt>
                <c:pt idx="49">
                  <c:v>1.7176615412463869</c:v>
                </c:pt>
                <c:pt idx="50">
                  <c:v>3.3937381566588423</c:v>
                </c:pt>
                <c:pt idx="51">
                  <c:v>5.086575538225433</c:v>
                </c:pt>
                <c:pt idx="52">
                  <c:v>6.796341293607683</c:v>
                </c:pt>
                <c:pt idx="53">
                  <c:v>8.5232047065437513</c:v>
                </c:pt>
                <c:pt idx="54">
                  <c:v>10.2673367536092</c:v>
                </c:pt>
                <c:pt idx="55">
                  <c:v>12.028910121145302</c:v>
                </c:pt>
                <c:pt idx="56">
                  <c:v>13.808099222356745</c:v>
                </c:pt>
                <c:pt idx="57">
                  <c:v>15.605080214580326</c:v>
                </c:pt>
                <c:pt idx="58">
                  <c:v>17.420031016726128</c:v>
                </c:pt>
                <c:pt idx="59">
                  <c:v>19.253131326893381</c:v>
                </c:pt>
                <c:pt idx="60">
                  <c:v>21.104562640162314</c:v>
                </c:pt>
                <c:pt idx="61">
                  <c:v>22.974508266563944</c:v>
                </c:pt>
                <c:pt idx="62">
                  <c:v>24.863153349229595</c:v>
                </c:pt>
                <c:pt idx="63">
                  <c:v>26.770684882721884</c:v>
                </c:pt>
                <c:pt idx="64">
                  <c:v>28.697291731549104</c:v>
                </c:pt>
                <c:pt idx="65">
                  <c:v>30.643164648864587</c:v>
                </c:pt>
                <c:pt idx="66">
                  <c:v>32.608496295353227</c:v>
                </c:pt>
                <c:pt idx="67">
                  <c:v>34.593481258306774</c:v>
                </c:pt>
                <c:pt idx="68">
                  <c:v>36.59831607088983</c:v>
                </c:pt>
                <c:pt idx="69">
                  <c:v>38.623199231598726</c:v>
                </c:pt>
                <c:pt idx="70">
                  <c:v>40.668331223914713</c:v>
                </c:pt>
                <c:pt idx="71">
                  <c:v>42.733914536153854</c:v>
                </c:pt>
                <c:pt idx="72">
                  <c:v>44.820153681515386</c:v>
                </c:pt>
                <c:pt idx="73">
                  <c:v>46.927255218330536</c:v>
                </c:pt>
                <c:pt idx="74">
                  <c:v>49.055427770513852</c:v>
                </c:pt>
                <c:pt idx="75">
                  <c:v>51.204882048218984</c:v>
                </c:pt>
                <c:pt idx="76">
                  <c:v>53.375830868701165</c:v>
                </c:pt>
                <c:pt idx="77">
                  <c:v>55.56848917738818</c:v>
                </c:pt>
                <c:pt idx="78">
                  <c:v>57.783074069162062</c:v>
                </c:pt>
                <c:pt idx="79">
                  <c:v>60.019804809853689</c:v>
                </c:pt>
                <c:pt idx="80">
                  <c:v>62.278902857952225</c:v>
                </c:pt>
                <c:pt idx="81">
                  <c:v>64.560591886531753</c:v>
                </c:pt>
                <c:pt idx="82">
                  <c:v>66.86509780539707</c:v>
                </c:pt>
                <c:pt idx="83">
                  <c:v>69.192648783451048</c:v>
                </c:pt>
                <c:pt idx="84">
                  <c:v>71.543475271285573</c:v>
                </c:pt>
                <c:pt idx="85">
                  <c:v>73.917810023998427</c:v>
                </c:pt>
                <c:pt idx="86">
                  <c:v>76.315888124238413</c:v>
                </c:pt>
                <c:pt idx="87">
                  <c:v>78.737947005480791</c:v>
                </c:pt>
                <c:pt idx="88">
                  <c:v>81.184226475535596</c:v>
                </c:pt>
                <c:pt idx="89">
                  <c:v>83.654968740290954</c:v>
                </c:pt>
                <c:pt idx="90">
                  <c:v>86.150418427693879</c:v>
                </c:pt>
                <c:pt idx="91">
                  <c:v>88.67082261197082</c:v>
                </c:pt>
                <c:pt idx="92">
                  <c:v>91.216430838090545</c:v>
                </c:pt>
                <c:pt idx="93">
                  <c:v>93.787495146471471</c:v>
                </c:pt>
                <c:pt idx="94">
                  <c:v>96.384270097936209</c:v>
                </c:pt>
                <c:pt idx="95">
                  <c:v>99.007012798915568</c:v>
                </c:pt>
                <c:pt idx="96">
                  <c:v>101.65598292690474</c:v>
                </c:pt>
                <c:pt idx="97">
                  <c:v>104.33144275617381</c:v>
                </c:pt>
                <c:pt idx="98">
                  <c:v>107.03365718373554</c:v>
                </c:pt>
                <c:pt idx="99">
                  <c:v>109.7628937555729</c:v>
                </c:pt>
                <c:pt idx="100">
                  <c:v>112.51942269312865</c:v>
                </c:pt>
                <c:pt idx="101">
                  <c:v>115.30351692005995</c:v>
                </c:pt>
                <c:pt idx="102">
                  <c:v>118.11545208926053</c:v>
                </c:pt>
                <c:pt idx="103">
                  <c:v>120.95550661015315</c:v>
                </c:pt>
                <c:pt idx="104">
                  <c:v>123.8239616762547</c:v>
                </c:pt>
                <c:pt idx="105">
                  <c:v>126.72110129301726</c:v>
                </c:pt>
                <c:pt idx="106">
                  <c:v>129.64721230594742</c:v>
                </c:pt>
                <c:pt idx="107">
                  <c:v>132.6025844290069</c:v>
                </c:pt>
                <c:pt idx="108">
                  <c:v>135.58751027329694</c:v>
                </c:pt>
                <c:pt idx="109">
                  <c:v>138.60228537602993</c:v>
                </c:pt>
                <c:pt idx="110">
                  <c:v>141.64720822979021</c:v>
                </c:pt>
                <c:pt idx="111">
                  <c:v>144.72258031208813</c:v>
                </c:pt>
                <c:pt idx="112">
                  <c:v>147.82870611520903</c:v>
                </c:pt>
                <c:pt idx="113">
                  <c:v>150.96589317636111</c:v>
                </c:pt>
                <c:pt idx="114">
                  <c:v>154.13445210812475</c:v>
                </c:pt>
                <c:pt idx="115">
                  <c:v>157.33469662920598</c:v>
                </c:pt>
                <c:pt idx="116">
                  <c:v>160.56694359549803</c:v>
                </c:pt>
                <c:pt idx="117">
                  <c:v>163.831513031453</c:v>
                </c:pt>
                <c:pt idx="118">
                  <c:v>167.12872816176755</c:v>
                </c:pt>
                <c:pt idx="119">
                  <c:v>170.45891544338522</c:v>
                </c:pt>
                <c:pt idx="120">
                  <c:v>173.82240459781909</c:v>
                </c:pt>
                <c:pt idx="121">
                  <c:v>177.2195286437973</c:v>
                </c:pt>
                <c:pt idx="122">
                  <c:v>180.6506239302353</c:v>
                </c:pt>
                <c:pt idx="123">
                  <c:v>184.11603016953765</c:v>
                </c:pt>
                <c:pt idx="124">
                  <c:v>187.61609047123304</c:v>
                </c:pt>
                <c:pt idx="125">
                  <c:v>191.15115137594537</c:v>
                </c:pt>
                <c:pt idx="126">
                  <c:v>194.72156288970481</c:v>
                </c:pt>
                <c:pt idx="127">
                  <c:v>198.32767851860186</c:v>
                </c:pt>
                <c:pt idx="128">
                  <c:v>201.96985530378785</c:v>
                </c:pt>
                <c:pt idx="129">
                  <c:v>205.64845385682574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14-495B-9AC1-28C864952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2115376"/>
        <c:axId val="1853899552"/>
      </c:lineChart>
      <c:catAx>
        <c:axId val="1742115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3899552"/>
        <c:crosses val="autoZero"/>
        <c:auto val="1"/>
        <c:lblAlgn val="ctr"/>
        <c:lblOffset val="100"/>
        <c:noMultiLvlLbl val="0"/>
      </c:catAx>
      <c:valAx>
        <c:axId val="185389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211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Long Stock + OTM 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'Long Stock + OTM put'!$S$17:$S$146</c:f>
              <c:numCache>
                <c:formatCode>0.00</c:formatCode>
                <c:ptCount val="130"/>
                <c:pt idx="0">
                  <c:v>70</c:v>
                </c:pt>
                <c:pt idx="1">
                  <c:v>70.7</c:v>
                </c:pt>
                <c:pt idx="2">
                  <c:v>71.406999999999996</c:v>
                </c:pt>
                <c:pt idx="3">
                  <c:v>72.121070000000003</c:v>
                </c:pt>
                <c:pt idx="4">
                  <c:v>72.842280700000003</c:v>
                </c:pt>
                <c:pt idx="5">
                  <c:v>73.570703507000005</c:v>
                </c:pt>
                <c:pt idx="6">
                  <c:v>74.306410542070012</c:v>
                </c:pt>
                <c:pt idx="7">
                  <c:v>75.049474647490712</c:v>
                </c:pt>
                <c:pt idx="8">
                  <c:v>75.799969393965625</c:v>
                </c:pt>
                <c:pt idx="9">
                  <c:v>76.557969087905278</c:v>
                </c:pt>
                <c:pt idx="10">
                  <c:v>77.323548778784328</c:v>
                </c:pt>
                <c:pt idx="11">
                  <c:v>78.096784266572172</c:v>
                </c:pt>
                <c:pt idx="12">
                  <c:v>78.877752109237889</c:v>
                </c:pt>
                <c:pt idx="13">
                  <c:v>79.666529630330274</c:v>
                </c:pt>
                <c:pt idx="14">
                  <c:v>80.463194926633577</c:v>
                </c:pt>
                <c:pt idx="15">
                  <c:v>81.267826875899914</c:v>
                </c:pt>
                <c:pt idx="16">
                  <c:v>82.080505144658915</c:v>
                </c:pt>
                <c:pt idx="17">
                  <c:v>82.901310196105499</c:v>
                </c:pt>
                <c:pt idx="18">
                  <c:v>83.730323298066551</c:v>
                </c:pt>
                <c:pt idx="19">
                  <c:v>84.567626531047225</c:v>
                </c:pt>
                <c:pt idx="20">
                  <c:v>85.413302796357698</c:v>
                </c:pt>
                <c:pt idx="21">
                  <c:v>86.267435824321282</c:v>
                </c:pt>
                <c:pt idx="22">
                  <c:v>87.130110182564493</c:v>
                </c:pt>
                <c:pt idx="23">
                  <c:v>88.001411284390144</c:v>
                </c:pt>
                <c:pt idx="24">
                  <c:v>88.88142539723404</c:v>
                </c:pt>
                <c:pt idx="25">
                  <c:v>89.770239651206381</c:v>
                </c:pt>
                <c:pt idx="26">
                  <c:v>90.667942047718441</c:v>
                </c:pt>
                <c:pt idx="27">
                  <c:v>91.57462146819563</c:v>
                </c:pt>
                <c:pt idx="28">
                  <c:v>92.49036768287759</c:v>
                </c:pt>
                <c:pt idx="29">
                  <c:v>93.415271359706367</c:v>
                </c:pt>
                <c:pt idx="30">
                  <c:v>94.349424073303425</c:v>
                </c:pt>
                <c:pt idx="31">
                  <c:v>95.292918314036456</c:v>
                </c:pt>
                <c:pt idx="32">
                  <c:v>96.245847497176825</c:v>
                </c:pt>
                <c:pt idx="33">
                  <c:v>97.208305972148594</c:v>
                </c:pt>
                <c:pt idx="34">
                  <c:v>98.180389031870078</c:v>
                </c:pt>
                <c:pt idx="35">
                  <c:v>99.16219292218878</c:v>
                </c:pt>
                <c:pt idx="36">
                  <c:v>100.15381485141067</c:v>
                </c:pt>
                <c:pt idx="37">
                  <c:v>101.15535299992477</c:v>
                </c:pt>
                <c:pt idx="38">
                  <c:v>102.16690652992402</c:v>
                </c:pt>
                <c:pt idx="39">
                  <c:v>103.18857559522326</c:v>
                </c:pt>
                <c:pt idx="40">
                  <c:v>104.22046135117549</c:v>
                </c:pt>
                <c:pt idx="41">
                  <c:v>105.26266596468724</c:v>
                </c:pt>
                <c:pt idx="42">
                  <c:v>106.31529262433412</c:v>
                </c:pt>
                <c:pt idx="43">
                  <c:v>107.37844555057747</c:v>
                </c:pt>
                <c:pt idx="44">
                  <c:v>108.45223000608324</c:v>
                </c:pt>
                <c:pt idx="45">
                  <c:v>109.53675230614408</c:v>
                </c:pt>
                <c:pt idx="46">
                  <c:v>110.63211982920552</c:v>
                </c:pt>
                <c:pt idx="47">
                  <c:v>111.73844102749757</c:v>
                </c:pt>
                <c:pt idx="48">
                  <c:v>112.85582543777255</c:v>
                </c:pt>
                <c:pt idx="49">
                  <c:v>113.98438369215027</c:v>
                </c:pt>
                <c:pt idx="50">
                  <c:v>115.12422752907177</c:v>
                </c:pt>
                <c:pt idx="51">
                  <c:v>116.27546980436249</c:v>
                </c:pt>
                <c:pt idx="52">
                  <c:v>117.43822450240611</c:v>
                </c:pt>
                <c:pt idx="53">
                  <c:v>118.61260674743018</c:v>
                </c:pt>
                <c:pt idx="54">
                  <c:v>119.79873281490448</c:v>
                </c:pt>
                <c:pt idx="55">
                  <c:v>120.99672014305352</c:v>
                </c:pt>
                <c:pt idx="56">
                  <c:v>122.20668734448405</c:v>
                </c:pt>
                <c:pt idx="57">
                  <c:v>123.4287542179289</c:v>
                </c:pt>
                <c:pt idx="58">
                  <c:v>124.66304176010819</c:v>
                </c:pt>
                <c:pt idx="59">
                  <c:v>125.90967217770927</c:v>
                </c:pt>
                <c:pt idx="60">
                  <c:v>127.16876889948637</c:v>
                </c:pt>
                <c:pt idx="61">
                  <c:v>128.44045658848123</c:v>
                </c:pt>
                <c:pt idx="62">
                  <c:v>129.72486115436604</c:v>
                </c:pt>
                <c:pt idx="63">
                  <c:v>131.0221097659097</c:v>
                </c:pt>
                <c:pt idx="64">
                  <c:v>132.33233086356881</c:v>
                </c:pt>
                <c:pt idx="65">
                  <c:v>133.65565417220449</c:v>
                </c:pt>
                <c:pt idx="66">
                  <c:v>134.99221071392654</c:v>
                </c:pt>
                <c:pt idx="67">
                  <c:v>136.3421328210658</c:v>
                </c:pt>
                <c:pt idx="68">
                  <c:v>137.70555414927645</c:v>
                </c:pt>
                <c:pt idx="69">
                  <c:v>139.08260969076923</c:v>
                </c:pt>
                <c:pt idx="70">
                  <c:v>140.47343578767692</c:v>
                </c:pt>
                <c:pt idx="71">
                  <c:v>141.8781701455537</c:v>
                </c:pt>
                <c:pt idx="72">
                  <c:v>143.29695184700924</c:v>
                </c:pt>
                <c:pt idx="73">
                  <c:v>144.72992136547933</c:v>
                </c:pt>
                <c:pt idx="74">
                  <c:v>146.17722057913412</c:v>
                </c:pt>
                <c:pt idx="75">
                  <c:v>147.63899278492545</c:v>
                </c:pt>
                <c:pt idx="76">
                  <c:v>149.1153827127747</c:v>
                </c:pt>
                <c:pt idx="77">
                  <c:v>150.60653653990246</c:v>
                </c:pt>
                <c:pt idx="78">
                  <c:v>152.11260190530149</c:v>
                </c:pt>
                <c:pt idx="79">
                  <c:v>153.6337279243545</c:v>
                </c:pt>
                <c:pt idx="80">
                  <c:v>155.17006520359806</c:v>
                </c:pt>
                <c:pt idx="81">
                  <c:v>156.72176585563403</c:v>
                </c:pt>
                <c:pt idx="82">
                  <c:v>158.28898351419036</c:v>
                </c:pt>
                <c:pt idx="83">
                  <c:v>159.87187334933228</c:v>
                </c:pt>
                <c:pt idx="84">
                  <c:v>161.47059208282559</c:v>
                </c:pt>
                <c:pt idx="85">
                  <c:v>163.08529800365386</c:v>
                </c:pt>
                <c:pt idx="86">
                  <c:v>164.7161509836904</c:v>
                </c:pt>
                <c:pt idx="87">
                  <c:v>166.3633124935273</c:v>
                </c:pt>
                <c:pt idx="88">
                  <c:v>168.02694561846258</c:v>
                </c:pt>
                <c:pt idx="89">
                  <c:v>169.70721507464719</c:v>
                </c:pt>
                <c:pt idx="90">
                  <c:v>171.40428722539366</c:v>
                </c:pt>
                <c:pt idx="91">
                  <c:v>173.1183300976476</c:v>
                </c:pt>
                <c:pt idx="92">
                  <c:v>174.84951339862408</c:v>
                </c:pt>
                <c:pt idx="93">
                  <c:v>176.59800853261032</c:v>
                </c:pt>
                <c:pt idx="94">
                  <c:v>178.36398861793643</c:v>
                </c:pt>
                <c:pt idx="95">
                  <c:v>180.1476285041158</c:v>
                </c:pt>
                <c:pt idx="96">
                  <c:v>181.94910478915696</c:v>
                </c:pt>
                <c:pt idx="97">
                  <c:v>183.76859583704854</c:v>
                </c:pt>
                <c:pt idx="98">
                  <c:v>185.60628179541902</c:v>
                </c:pt>
                <c:pt idx="99">
                  <c:v>187.4623446133732</c:v>
                </c:pt>
                <c:pt idx="100">
                  <c:v>189.33696805950694</c:v>
                </c:pt>
                <c:pt idx="101">
                  <c:v>191.23033774010202</c:v>
                </c:pt>
                <c:pt idx="102">
                  <c:v>193.14264111750305</c:v>
                </c:pt>
                <c:pt idx="103">
                  <c:v>195.07406752867809</c:v>
                </c:pt>
                <c:pt idx="104">
                  <c:v>197.02480820396488</c:v>
                </c:pt>
                <c:pt idx="105">
                  <c:v>198.99505628600454</c:v>
                </c:pt>
                <c:pt idx="106">
                  <c:v>200.9850068488646</c:v>
                </c:pt>
                <c:pt idx="107">
                  <c:v>202.99485691735325</c:v>
                </c:pt>
                <c:pt idx="108">
                  <c:v>205.02480548652679</c:v>
                </c:pt>
                <c:pt idx="109">
                  <c:v>207.07505354139207</c:v>
                </c:pt>
                <c:pt idx="110">
                  <c:v>209.145804076806</c:v>
                </c:pt>
                <c:pt idx="111">
                  <c:v>211.23726211757406</c:v>
                </c:pt>
                <c:pt idx="112">
                  <c:v>213.34963473874981</c:v>
                </c:pt>
                <c:pt idx="113">
                  <c:v>215.48313108613732</c:v>
                </c:pt>
                <c:pt idx="114">
                  <c:v>217.63796239699869</c:v>
                </c:pt>
                <c:pt idx="115">
                  <c:v>219.81434202096867</c:v>
                </c:pt>
                <c:pt idx="116">
                  <c:v>222.01248544117834</c:v>
                </c:pt>
                <c:pt idx="117">
                  <c:v>224.23261029559012</c:v>
                </c:pt>
                <c:pt idx="118">
                  <c:v>226.47493639854602</c:v>
                </c:pt>
                <c:pt idx="119">
                  <c:v>228.73968576253148</c:v>
                </c:pt>
                <c:pt idx="120">
                  <c:v>231.02708262015679</c:v>
                </c:pt>
                <c:pt idx="121">
                  <c:v>233.33735344635835</c:v>
                </c:pt>
                <c:pt idx="122">
                  <c:v>235.67072698082194</c:v>
                </c:pt>
                <c:pt idx="123">
                  <c:v>238.02743425063017</c:v>
                </c:pt>
                <c:pt idx="124">
                  <c:v>240.40770859313648</c:v>
                </c:pt>
                <c:pt idx="125">
                  <c:v>242.81178567906784</c:v>
                </c:pt>
                <c:pt idx="126">
                  <c:v>245.23990353585853</c:v>
                </c:pt>
                <c:pt idx="127">
                  <c:v>247.69230257121711</c:v>
                </c:pt>
                <c:pt idx="128">
                  <c:v>250.16922559692929</c:v>
                </c:pt>
                <c:pt idx="129">
                  <c:v>252.67091785289858</c:v>
                </c:pt>
              </c:numCache>
            </c:numRef>
          </c:cat>
          <c:val>
            <c:numRef>
              <c:f>'Long Call'!$T$17:$T$146</c:f>
              <c:numCache>
                <c:formatCode>General</c:formatCode>
                <c:ptCount val="1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5F-406E-B892-6CC0F32B473B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'Long Stock + OTM put'!$S$17:$S$146</c:f>
              <c:numCache>
                <c:formatCode>0.00</c:formatCode>
                <c:ptCount val="130"/>
                <c:pt idx="0">
                  <c:v>70</c:v>
                </c:pt>
                <c:pt idx="1">
                  <c:v>70.7</c:v>
                </c:pt>
                <c:pt idx="2">
                  <c:v>71.406999999999996</c:v>
                </c:pt>
                <c:pt idx="3">
                  <c:v>72.121070000000003</c:v>
                </c:pt>
                <c:pt idx="4">
                  <c:v>72.842280700000003</c:v>
                </c:pt>
                <c:pt idx="5">
                  <c:v>73.570703507000005</c:v>
                </c:pt>
                <c:pt idx="6">
                  <c:v>74.306410542070012</c:v>
                </c:pt>
                <c:pt idx="7">
                  <c:v>75.049474647490712</c:v>
                </c:pt>
                <c:pt idx="8">
                  <c:v>75.799969393965625</c:v>
                </c:pt>
                <c:pt idx="9">
                  <c:v>76.557969087905278</c:v>
                </c:pt>
                <c:pt idx="10">
                  <c:v>77.323548778784328</c:v>
                </c:pt>
                <c:pt idx="11">
                  <c:v>78.096784266572172</c:v>
                </c:pt>
                <c:pt idx="12">
                  <c:v>78.877752109237889</c:v>
                </c:pt>
                <c:pt idx="13">
                  <c:v>79.666529630330274</c:v>
                </c:pt>
                <c:pt idx="14">
                  <c:v>80.463194926633577</c:v>
                </c:pt>
                <c:pt idx="15">
                  <c:v>81.267826875899914</c:v>
                </c:pt>
                <c:pt idx="16">
                  <c:v>82.080505144658915</c:v>
                </c:pt>
                <c:pt idx="17">
                  <c:v>82.901310196105499</c:v>
                </c:pt>
                <c:pt idx="18">
                  <c:v>83.730323298066551</c:v>
                </c:pt>
                <c:pt idx="19">
                  <c:v>84.567626531047225</c:v>
                </c:pt>
                <c:pt idx="20">
                  <c:v>85.413302796357698</c:v>
                </c:pt>
                <c:pt idx="21">
                  <c:v>86.267435824321282</c:v>
                </c:pt>
                <c:pt idx="22">
                  <c:v>87.130110182564493</c:v>
                </c:pt>
                <c:pt idx="23">
                  <c:v>88.001411284390144</c:v>
                </c:pt>
                <c:pt idx="24">
                  <c:v>88.88142539723404</c:v>
                </c:pt>
                <c:pt idx="25">
                  <c:v>89.770239651206381</c:v>
                </c:pt>
                <c:pt idx="26">
                  <c:v>90.667942047718441</c:v>
                </c:pt>
                <c:pt idx="27">
                  <c:v>91.57462146819563</c:v>
                </c:pt>
                <c:pt idx="28">
                  <c:v>92.49036768287759</c:v>
                </c:pt>
                <c:pt idx="29">
                  <c:v>93.415271359706367</c:v>
                </c:pt>
                <c:pt idx="30">
                  <c:v>94.349424073303425</c:v>
                </c:pt>
                <c:pt idx="31">
                  <c:v>95.292918314036456</c:v>
                </c:pt>
                <c:pt idx="32">
                  <c:v>96.245847497176825</c:v>
                </c:pt>
                <c:pt idx="33">
                  <c:v>97.208305972148594</c:v>
                </c:pt>
                <c:pt idx="34">
                  <c:v>98.180389031870078</c:v>
                </c:pt>
                <c:pt idx="35">
                  <c:v>99.16219292218878</c:v>
                </c:pt>
                <c:pt idx="36">
                  <c:v>100.15381485141067</c:v>
                </c:pt>
                <c:pt idx="37">
                  <c:v>101.15535299992477</c:v>
                </c:pt>
                <c:pt idx="38">
                  <c:v>102.16690652992402</c:v>
                </c:pt>
                <c:pt idx="39">
                  <c:v>103.18857559522326</c:v>
                </c:pt>
                <c:pt idx="40">
                  <c:v>104.22046135117549</c:v>
                </c:pt>
                <c:pt idx="41">
                  <c:v>105.26266596468724</c:v>
                </c:pt>
                <c:pt idx="42">
                  <c:v>106.31529262433412</c:v>
                </c:pt>
                <c:pt idx="43">
                  <c:v>107.37844555057747</c:v>
                </c:pt>
                <c:pt idx="44">
                  <c:v>108.45223000608324</c:v>
                </c:pt>
                <c:pt idx="45">
                  <c:v>109.53675230614408</c:v>
                </c:pt>
                <c:pt idx="46">
                  <c:v>110.63211982920552</c:v>
                </c:pt>
                <c:pt idx="47">
                  <c:v>111.73844102749757</c:v>
                </c:pt>
                <c:pt idx="48">
                  <c:v>112.85582543777255</c:v>
                </c:pt>
                <c:pt idx="49">
                  <c:v>113.98438369215027</c:v>
                </c:pt>
                <c:pt idx="50">
                  <c:v>115.12422752907177</c:v>
                </c:pt>
                <c:pt idx="51">
                  <c:v>116.27546980436249</c:v>
                </c:pt>
                <c:pt idx="52">
                  <c:v>117.43822450240611</c:v>
                </c:pt>
                <c:pt idx="53">
                  <c:v>118.61260674743018</c:v>
                </c:pt>
                <c:pt idx="54">
                  <c:v>119.79873281490448</c:v>
                </c:pt>
                <c:pt idx="55">
                  <c:v>120.99672014305352</c:v>
                </c:pt>
                <c:pt idx="56">
                  <c:v>122.20668734448405</c:v>
                </c:pt>
                <c:pt idx="57">
                  <c:v>123.4287542179289</c:v>
                </c:pt>
                <c:pt idx="58">
                  <c:v>124.66304176010819</c:v>
                </c:pt>
                <c:pt idx="59">
                  <c:v>125.90967217770927</c:v>
                </c:pt>
                <c:pt idx="60">
                  <c:v>127.16876889948637</c:v>
                </c:pt>
                <c:pt idx="61">
                  <c:v>128.44045658848123</c:v>
                </c:pt>
                <c:pt idx="62">
                  <c:v>129.72486115436604</c:v>
                </c:pt>
                <c:pt idx="63">
                  <c:v>131.0221097659097</c:v>
                </c:pt>
                <c:pt idx="64">
                  <c:v>132.33233086356881</c:v>
                </c:pt>
                <c:pt idx="65">
                  <c:v>133.65565417220449</c:v>
                </c:pt>
                <c:pt idx="66">
                  <c:v>134.99221071392654</c:v>
                </c:pt>
                <c:pt idx="67">
                  <c:v>136.3421328210658</c:v>
                </c:pt>
                <c:pt idx="68">
                  <c:v>137.70555414927645</c:v>
                </c:pt>
                <c:pt idx="69">
                  <c:v>139.08260969076923</c:v>
                </c:pt>
                <c:pt idx="70">
                  <c:v>140.47343578767692</c:v>
                </c:pt>
                <c:pt idx="71">
                  <c:v>141.8781701455537</c:v>
                </c:pt>
                <c:pt idx="72">
                  <c:v>143.29695184700924</c:v>
                </c:pt>
                <c:pt idx="73">
                  <c:v>144.72992136547933</c:v>
                </c:pt>
                <c:pt idx="74">
                  <c:v>146.17722057913412</c:v>
                </c:pt>
                <c:pt idx="75">
                  <c:v>147.63899278492545</c:v>
                </c:pt>
                <c:pt idx="76">
                  <c:v>149.1153827127747</c:v>
                </c:pt>
                <c:pt idx="77">
                  <c:v>150.60653653990246</c:v>
                </c:pt>
                <c:pt idx="78">
                  <c:v>152.11260190530149</c:v>
                </c:pt>
                <c:pt idx="79">
                  <c:v>153.6337279243545</c:v>
                </c:pt>
                <c:pt idx="80">
                  <c:v>155.17006520359806</c:v>
                </c:pt>
                <c:pt idx="81">
                  <c:v>156.72176585563403</c:v>
                </c:pt>
                <c:pt idx="82">
                  <c:v>158.28898351419036</c:v>
                </c:pt>
                <c:pt idx="83">
                  <c:v>159.87187334933228</c:v>
                </c:pt>
                <c:pt idx="84">
                  <c:v>161.47059208282559</c:v>
                </c:pt>
                <c:pt idx="85">
                  <c:v>163.08529800365386</c:v>
                </c:pt>
                <c:pt idx="86">
                  <c:v>164.7161509836904</c:v>
                </c:pt>
                <c:pt idx="87">
                  <c:v>166.3633124935273</c:v>
                </c:pt>
                <c:pt idx="88">
                  <c:v>168.02694561846258</c:v>
                </c:pt>
                <c:pt idx="89">
                  <c:v>169.70721507464719</c:v>
                </c:pt>
                <c:pt idx="90">
                  <c:v>171.40428722539366</c:v>
                </c:pt>
                <c:pt idx="91">
                  <c:v>173.1183300976476</c:v>
                </c:pt>
                <c:pt idx="92">
                  <c:v>174.84951339862408</c:v>
                </c:pt>
                <c:pt idx="93">
                  <c:v>176.59800853261032</c:v>
                </c:pt>
                <c:pt idx="94">
                  <c:v>178.36398861793643</c:v>
                </c:pt>
                <c:pt idx="95">
                  <c:v>180.1476285041158</c:v>
                </c:pt>
                <c:pt idx="96">
                  <c:v>181.94910478915696</c:v>
                </c:pt>
                <c:pt idx="97">
                  <c:v>183.76859583704854</c:v>
                </c:pt>
                <c:pt idx="98">
                  <c:v>185.60628179541902</c:v>
                </c:pt>
                <c:pt idx="99">
                  <c:v>187.4623446133732</c:v>
                </c:pt>
                <c:pt idx="100">
                  <c:v>189.33696805950694</c:v>
                </c:pt>
                <c:pt idx="101">
                  <c:v>191.23033774010202</c:v>
                </c:pt>
                <c:pt idx="102">
                  <c:v>193.14264111750305</c:v>
                </c:pt>
                <c:pt idx="103">
                  <c:v>195.07406752867809</c:v>
                </c:pt>
                <c:pt idx="104">
                  <c:v>197.02480820396488</c:v>
                </c:pt>
                <c:pt idx="105">
                  <c:v>198.99505628600454</c:v>
                </c:pt>
                <c:pt idx="106">
                  <c:v>200.9850068488646</c:v>
                </c:pt>
                <c:pt idx="107">
                  <c:v>202.99485691735325</c:v>
                </c:pt>
                <c:pt idx="108">
                  <c:v>205.02480548652679</c:v>
                </c:pt>
                <c:pt idx="109">
                  <c:v>207.07505354139207</c:v>
                </c:pt>
                <c:pt idx="110">
                  <c:v>209.145804076806</c:v>
                </c:pt>
                <c:pt idx="111">
                  <c:v>211.23726211757406</c:v>
                </c:pt>
                <c:pt idx="112">
                  <c:v>213.34963473874981</c:v>
                </c:pt>
                <c:pt idx="113">
                  <c:v>215.48313108613732</c:v>
                </c:pt>
                <c:pt idx="114">
                  <c:v>217.63796239699869</c:v>
                </c:pt>
                <c:pt idx="115">
                  <c:v>219.81434202096867</c:v>
                </c:pt>
                <c:pt idx="116">
                  <c:v>222.01248544117834</c:v>
                </c:pt>
                <c:pt idx="117">
                  <c:v>224.23261029559012</c:v>
                </c:pt>
                <c:pt idx="118">
                  <c:v>226.47493639854602</c:v>
                </c:pt>
                <c:pt idx="119">
                  <c:v>228.73968576253148</c:v>
                </c:pt>
                <c:pt idx="120">
                  <c:v>231.02708262015679</c:v>
                </c:pt>
                <c:pt idx="121">
                  <c:v>233.33735344635835</c:v>
                </c:pt>
                <c:pt idx="122">
                  <c:v>235.67072698082194</c:v>
                </c:pt>
                <c:pt idx="123">
                  <c:v>238.02743425063017</c:v>
                </c:pt>
                <c:pt idx="124">
                  <c:v>240.40770859313648</c:v>
                </c:pt>
                <c:pt idx="125">
                  <c:v>242.81178567906784</c:v>
                </c:pt>
                <c:pt idx="126">
                  <c:v>245.23990353585853</c:v>
                </c:pt>
                <c:pt idx="127">
                  <c:v>247.69230257121711</c:v>
                </c:pt>
                <c:pt idx="128">
                  <c:v>250.16922559692929</c:v>
                </c:pt>
                <c:pt idx="129">
                  <c:v>252.67091785289858</c:v>
                </c:pt>
              </c:numCache>
            </c:numRef>
          </c:cat>
          <c:val>
            <c:numRef>
              <c:f>'Long Stock + OTM put'!$U$17:$U$146</c:f>
              <c:numCache>
                <c:formatCode>General</c:formatCode>
                <c:ptCount val="130"/>
                <c:pt idx="0">
                  <c:v>-15</c:v>
                </c:pt>
                <c:pt idx="1">
                  <c:v>-15</c:v>
                </c:pt>
                <c:pt idx="2">
                  <c:v>-15</c:v>
                </c:pt>
                <c:pt idx="3">
                  <c:v>-15</c:v>
                </c:pt>
                <c:pt idx="4">
                  <c:v>-15</c:v>
                </c:pt>
                <c:pt idx="5">
                  <c:v>-15</c:v>
                </c:pt>
                <c:pt idx="6">
                  <c:v>-15</c:v>
                </c:pt>
                <c:pt idx="7">
                  <c:v>-15</c:v>
                </c:pt>
                <c:pt idx="8">
                  <c:v>-15</c:v>
                </c:pt>
                <c:pt idx="9">
                  <c:v>-15</c:v>
                </c:pt>
                <c:pt idx="10">
                  <c:v>-15</c:v>
                </c:pt>
                <c:pt idx="11">
                  <c:v>-15</c:v>
                </c:pt>
                <c:pt idx="12">
                  <c:v>-15</c:v>
                </c:pt>
                <c:pt idx="13">
                  <c:v>-15</c:v>
                </c:pt>
                <c:pt idx="14">
                  <c:v>-15</c:v>
                </c:pt>
                <c:pt idx="15">
                  <c:v>-15</c:v>
                </c:pt>
                <c:pt idx="16">
                  <c:v>-15</c:v>
                </c:pt>
                <c:pt idx="17">
                  <c:v>-15</c:v>
                </c:pt>
                <c:pt idx="18">
                  <c:v>-15</c:v>
                </c:pt>
                <c:pt idx="19">
                  <c:v>-15</c:v>
                </c:pt>
                <c:pt idx="20">
                  <c:v>-15</c:v>
                </c:pt>
                <c:pt idx="21">
                  <c:v>-15</c:v>
                </c:pt>
                <c:pt idx="22">
                  <c:v>-15</c:v>
                </c:pt>
                <c:pt idx="23">
                  <c:v>-15</c:v>
                </c:pt>
                <c:pt idx="24">
                  <c:v>-15</c:v>
                </c:pt>
                <c:pt idx="25">
                  <c:v>-15</c:v>
                </c:pt>
                <c:pt idx="26">
                  <c:v>-14.332057952281559</c:v>
                </c:pt>
                <c:pt idx="27">
                  <c:v>-13.42537853180437</c:v>
                </c:pt>
                <c:pt idx="28">
                  <c:v>-12.50963231712241</c:v>
                </c:pt>
                <c:pt idx="29">
                  <c:v>-11.584728640293633</c:v>
                </c:pt>
                <c:pt idx="30">
                  <c:v>-10.650575926696575</c:v>
                </c:pt>
                <c:pt idx="31">
                  <c:v>-9.7070816859635443</c:v>
                </c:pt>
                <c:pt idx="32">
                  <c:v>-8.7541525028231746</c:v>
                </c:pt>
                <c:pt idx="33">
                  <c:v>-7.7916940278514062</c:v>
                </c:pt>
                <c:pt idx="34">
                  <c:v>-6.819610968129922</c:v>
                </c:pt>
                <c:pt idx="35">
                  <c:v>-5.8378070778112203</c:v>
                </c:pt>
                <c:pt idx="36">
                  <c:v>-4.8461851485893277</c:v>
                </c:pt>
                <c:pt idx="37">
                  <c:v>-3.8446470000752271</c:v>
                </c:pt>
                <c:pt idx="38">
                  <c:v>-2.8330934700759798</c:v>
                </c:pt>
                <c:pt idx="39">
                  <c:v>-1.8114244047767443</c:v>
                </c:pt>
                <c:pt idx="40">
                  <c:v>-0.77953864882451285</c:v>
                </c:pt>
                <c:pt idx="41">
                  <c:v>0.26266596468724401</c:v>
                </c:pt>
                <c:pt idx="42">
                  <c:v>1.3152926243341199</c:v>
                </c:pt>
                <c:pt idx="43">
                  <c:v>2.3784455505774673</c:v>
                </c:pt>
                <c:pt idx="44">
                  <c:v>3.4522300060832407</c:v>
                </c:pt>
                <c:pt idx="45">
                  <c:v>4.5367523061440806</c:v>
                </c:pt>
                <c:pt idx="46">
                  <c:v>5.6321198292055215</c:v>
                </c:pt>
                <c:pt idx="47">
                  <c:v>6.7384410274975721</c:v>
                </c:pt>
                <c:pt idx="48">
                  <c:v>7.8558254377725518</c:v>
                </c:pt>
                <c:pt idx="49">
                  <c:v>8.9843836921502742</c:v>
                </c:pt>
                <c:pt idx="50">
                  <c:v>10.124227529071774</c:v>
                </c:pt>
                <c:pt idx="51">
                  <c:v>11.275469804362487</c:v>
                </c:pt>
                <c:pt idx="52">
                  <c:v>12.438224502406115</c:v>
                </c:pt>
                <c:pt idx="53">
                  <c:v>13.612606747430178</c:v>
                </c:pt>
                <c:pt idx="54">
                  <c:v>14.798732814904483</c:v>
                </c:pt>
                <c:pt idx="55">
                  <c:v>15.996720143053523</c:v>
                </c:pt>
                <c:pt idx="56">
                  <c:v>17.206687344484052</c:v>
                </c:pt>
                <c:pt idx="57">
                  <c:v>18.428754217928898</c:v>
                </c:pt>
                <c:pt idx="58">
                  <c:v>19.663041760108186</c:v>
                </c:pt>
                <c:pt idx="59">
                  <c:v>20.909672177709268</c:v>
                </c:pt>
                <c:pt idx="60">
                  <c:v>22.168768899486366</c:v>
                </c:pt>
                <c:pt idx="61">
                  <c:v>23.440456588481226</c:v>
                </c:pt>
                <c:pt idx="62">
                  <c:v>24.724861154366039</c:v>
                </c:pt>
                <c:pt idx="63">
                  <c:v>26.022109765909704</c:v>
                </c:pt>
                <c:pt idx="64">
                  <c:v>27.332330863568814</c:v>
                </c:pt>
                <c:pt idx="65">
                  <c:v>28.655654172204493</c:v>
                </c:pt>
                <c:pt idx="66">
                  <c:v>29.992210713926539</c:v>
                </c:pt>
                <c:pt idx="67">
                  <c:v>31.342132821065803</c:v>
                </c:pt>
                <c:pt idx="68">
                  <c:v>32.705554149276452</c:v>
                </c:pt>
                <c:pt idx="69">
                  <c:v>34.082609690769232</c:v>
                </c:pt>
                <c:pt idx="70">
                  <c:v>35.47343578767692</c:v>
                </c:pt>
                <c:pt idx="71">
                  <c:v>36.878170145553696</c:v>
                </c:pt>
                <c:pt idx="72">
                  <c:v>38.29695184700924</c:v>
                </c:pt>
                <c:pt idx="73">
                  <c:v>39.729921365479328</c:v>
                </c:pt>
                <c:pt idx="74">
                  <c:v>41.177220579134115</c:v>
                </c:pt>
                <c:pt idx="75">
                  <c:v>42.638992784925449</c:v>
                </c:pt>
                <c:pt idx="76">
                  <c:v>44.115382712774704</c:v>
                </c:pt>
                <c:pt idx="77">
                  <c:v>45.606536539902464</c:v>
                </c:pt>
                <c:pt idx="78">
                  <c:v>47.112601905301489</c:v>
                </c:pt>
                <c:pt idx="79">
                  <c:v>48.633727924354503</c:v>
                </c:pt>
                <c:pt idx="80">
                  <c:v>50.170065203598057</c:v>
                </c:pt>
                <c:pt idx="81">
                  <c:v>51.721765855634033</c:v>
                </c:pt>
                <c:pt idx="82">
                  <c:v>53.288983514190363</c:v>
                </c:pt>
                <c:pt idx="83">
                  <c:v>54.871873349332276</c:v>
                </c:pt>
                <c:pt idx="84">
                  <c:v>56.47059208282559</c:v>
                </c:pt>
                <c:pt idx="85">
                  <c:v>58.085298003653861</c:v>
                </c:pt>
                <c:pt idx="86">
                  <c:v>59.716150983690397</c:v>
                </c:pt>
                <c:pt idx="87">
                  <c:v>61.363312493527303</c:v>
                </c:pt>
                <c:pt idx="88">
                  <c:v>63.026945618462577</c:v>
                </c:pt>
                <c:pt idx="89">
                  <c:v>64.707215074647195</c:v>
                </c:pt>
                <c:pt idx="90">
                  <c:v>66.404287225393659</c:v>
                </c:pt>
                <c:pt idx="91">
                  <c:v>68.1183300976476</c:v>
                </c:pt>
                <c:pt idx="92">
                  <c:v>69.849513398624083</c:v>
                </c:pt>
                <c:pt idx="93">
                  <c:v>71.598008532610322</c:v>
                </c:pt>
                <c:pt idx="94">
                  <c:v>73.363988617936428</c:v>
                </c:pt>
                <c:pt idx="95">
                  <c:v>75.147628504115801</c:v>
                </c:pt>
                <c:pt idx="96">
                  <c:v>76.949104789156962</c:v>
                </c:pt>
                <c:pt idx="97">
                  <c:v>78.768595837048537</c:v>
                </c:pt>
                <c:pt idx="98">
                  <c:v>80.606281795419022</c:v>
                </c:pt>
                <c:pt idx="99">
                  <c:v>82.462344613373205</c:v>
                </c:pt>
                <c:pt idx="100">
                  <c:v>84.336968059506944</c:v>
                </c:pt>
                <c:pt idx="101">
                  <c:v>86.230337740102016</c:v>
                </c:pt>
                <c:pt idx="102">
                  <c:v>88.142641117503047</c:v>
                </c:pt>
                <c:pt idx="103">
                  <c:v>90.074067528678086</c:v>
                </c:pt>
                <c:pt idx="104">
                  <c:v>92.024808203964881</c:v>
                </c:pt>
                <c:pt idx="105">
                  <c:v>93.995056286004541</c:v>
                </c:pt>
                <c:pt idx="106">
                  <c:v>95.9850068488646</c:v>
                </c:pt>
                <c:pt idx="107">
                  <c:v>97.994856917353246</c:v>
                </c:pt>
                <c:pt idx="108">
                  <c:v>100.02480548652679</c:v>
                </c:pt>
                <c:pt idx="109">
                  <c:v>102.07505354139207</c:v>
                </c:pt>
                <c:pt idx="110">
                  <c:v>104.145804076806</c:v>
                </c:pt>
                <c:pt idx="111">
                  <c:v>106.23726211757406</c:v>
                </c:pt>
                <c:pt idx="112">
                  <c:v>108.34963473874981</c:v>
                </c:pt>
                <c:pt idx="113">
                  <c:v>110.48313108613732</c:v>
                </c:pt>
                <c:pt idx="114">
                  <c:v>112.63796239699869</c:v>
                </c:pt>
                <c:pt idx="115">
                  <c:v>114.81434202096867</c:v>
                </c:pt>
                <c:pt idx="116">
                  <c:v>117.01248544117834</c:v>
                </c:pt>
                <c:pt idx="117">
                  <c:v>119.23261029559012</c:v>
                </c:pt>
                <c:pt idx="118">
                  <c:v>121.47493639854602</c:v>
                </c:pt>
                <c:pt idx="119">
                  <c:v>123.73968576253148</c:v>
                </c:pt>
                <c:pt idx="120">
                  <c:v>126.02708262015679</c:v>
                </c:pt>
                <c:pt idx="121">
                  <c:v>128.33735344635835</c:v>
                </c:pt>
                <c:pt idx="122">
                  <c:v>130.67072698082194</c:v>
                </c:pt>
                <c:pt idx="123">
                  <c:v>133.02743425063017</c:v>
                </c:pt>
                <c:pt idx="124">
                  <c:v>135.40770859313648</c:v>
                </c:pt>
                <c:pt idx="125">
                  <c:v>137.81178567906784</c:v>
                </c:pt>
                <c:pt idx="126">
                  <c:v>140.23990353585853</c:v>
                </c:pt>
                <c:pt idx="127">
                  <c:v>142.69230257121711</c:v>
                </c:pt>
                <c:pt idx="128">
                  <c:v>145.16922559692929</c:v>
                </c:pt>
                <c:pt idx="129">
                  <c:v>147.67091785289858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5F-406E-B892-6CC0F32B4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2115376"/>
        <c:axId val="1853899552"/>
      </c:lineChart>
      <c:catAx>
        <c:axId val="1742115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3899552"/>
        <c:crosses val="autoZero"/>
        <c:auto val="1"/>
        <c:lblAlgn val="ctr"/>
        <c:lblOffset val="100"/>
        <c:noMultiLvlLbl val="0"/>
      </c:catAx>
      <c:valAx>
        <c:axId val="185389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211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Long Stock + OTM 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'Short Stock + OTM call'!$S$17:$S$146</c:f>
              <c:numCache>
                <c:formatCode>0.00</c:formatCode>
                <c:ptCount val="130"/>
                <c:pt idx="0">
                  <c:v>70</c:v>
                </c:pt>
                <c:pt idx="1">
                  <c:v>70.7</c:v>
                </c:pt>
                <c:pt idx="2">
                  <c:v>71.406999999999996</c:v>
                </c:pt>
                <c:pt idx="3">
                  <c:v>72.121070000000003</c:v>
                </c:pt>
                <c:pt idx="4">
                  <c:v>72.842280700000003</c:v>
                </c:pt>
                <c:pt idx="5">
                  <c:v>73.570703507000005</c:v>
                </c:pt>
                <c:pt idx="6">
                  <c:v>74.306410542070012</c:v>
                </c:pt>
                <c:pt idx="7">
                  <c:v>75.049474647490712</c:v>
                </c:pt>
                <c:pt idx="8">
                  <c:v>75.799969393965625</c:v>
                </c:pt>
                <c:pt idx="9">
                  <c:v>76.557969087905278</c:v>
                </c:pt>
                <c:pt idx="10">
                  <c:v>77.323548778784328</c:v>
                </c:pt>
                <c:pt idx="11">
                  <c:v>78.096784266572172</c:v>
                </c:pt>
                <c:pt idx="12">
                  <c:v>78.877752109237889</c:v>
                </c:pt>
                <c:pt idx="13">
                  <c:v>79.666529630330274</c:v>
                </c:pt>
                <c:pt idx="14">
                  <c:v>80.463194926633577</c:v>
                </c:pt>
                <c:pt idx="15">
                  <c:v>81.267826875899914</c:v>
                </c:pt>
                <c:pt idx="16">
                  <c:v>82.080505144658915</c:v>
                </c:pt>
                <c:pt idx="17">
                  <c:v>82.901310196105499</c:v>
                </c:pt>
                <c:pt idx="18">
                  <c:v>83.730323298066551</c:v>
                </c:pt>
                <c:pt idx="19">
                  <c:v>84.567626531047225</c:v>
                </c:pt>
                <c:pt idx="20">
                  <c:v>85.413302796357698</c:v>
                </c:pt>
                <c:pt idx="21">
                  <c:v>86.267435824321282</c:v>
                </c:pt>
                <c:pt idx="22">
                  <c:v>87.130110182564493</c:v>
                </c:pt>
                <c:pt idx="23">
                  <c:v>88.001411284390144</c:v>
                </c:pt>
                <c:pt idx="24">
                  <c:v>88.88142539723404</c:v>
                </c:pt>
                <c:pt idx="25">
                  <c:v>89.770239651206381</c:v>
                </c:pt>
                <c:pt idx="26">
                  <c:v>90.667942047718441</c:v>
                </c:pt>
                <c:pt idx="27">
                  <c:v>91.57462146819563</c:v>
                </c:pt>
                <c:pt idx="28">
                  <c:v>92.49036768287759</c:v>
                </c:pt>
                <c:pt idx="29">
                  <c:v>93.415271359706367</c:v>
                </c:pt>
                <c:pt idx="30">
                  <c:v>94.349424073303425</c:v>
                </c:pt>
                <c:pt idx="31">
                  <c:v>95.292918314036456</c:v>
                </c:pt>
                <c:pt idx="32">
                  <c:v>96.245847497176825</c:v>
                </c:pt>
                <c:pt idx="33">
                  <c:v>97.208305972148594</c:v>
                </c:pt>
                <c:pt idx="34">
                  <c:v>98.180389031870078</c:v>
                </c:pt>
                <c:pt idx="35">
                  <c:v>99.16219292218878</c:v>
                </c:pt>
                <c:pt idx="36">
                  <c:v>100.15381485141067</c:v>
                </c:pt>
                <c:pt idx="37">
                  <c:v>101.15535299992477</c:v>
                </c:pt>
                <c:pt idx="38">
                  <c:v>102.16690652992402</c:v>
                </c:pt>
                <c:pt idx="39">
                  <c:v>103.18857559522326</c:v>
                </c:pt>
                <c:pt idx="40">
                  <c:v>104.22046135117549</c:v>
                </c:pt>
                <c:pt idx="41">
                  <c:v>105.26266596468724</c:v>
                </c:pt>
                <c:pt idx="42">
                  <c:v>106.31529262433412</c:v>
                </c:pt>
                <c:pt idx="43">
                  <c:v>107.37844555057747</c:v>
                </c:pt>
                <c:pt idx="44">
                  <c:v>108.45223000608324</c:v>
                </c:pt>
                <c:pt idx="45">
                  <c:v>109.53675230614408</c:v>
                </c:pt>
                <c:pt idx="46">
                  <c:v>110.63211982920552</c:v>
                </c:pt>
                <c:pt idx="47">
                  <c:v>111.73844102749757</c:v>
                </c:pt>
                <c:pt idx="48">
                  <c:v>112.85582543777255</c:v>
                </c:pt>
                <c:pt idx="49">
                  <c:v>113.98438369215027</c:v>
                </c:pt>
                <c:pt idx="50">
                  <c:v>115.12422752907177</c:v>
                </c:pt>
                <c:pt idx="51">
                  <c:v>116.27546980436249</c:v>
                </c:pt>
                <c:pt idx="52">
                  <c:v>117.43822450240611</c:v>
                </c:pt>
                <c:pt idx="53">
                  <c:v>118.61260674743018</c:v>
                </c:pt>
                <c:pt idx="54">
                  <c:v>119.79873281490448</c:v>
                </c:pt>
                <c:pt idx="55">
                  <c:v>120.99672014305352</c:v>
                </c:pt>
                <c:pt idx="56">
                  <c:v>122.20668734448405</c:v>
                </c:pt>
                <c:pt idx="57">
                  <c:v>123.4287542179289</c:v>
                </c:pt>
                <c:pt idx="58">
                  <c:v>124.66304176010819</c:v>
                </c:pt>
                <c:pt idx="59">
                  <c:v>125.90967217770927</c:v>
                </c:pt>
                <c:pt idx="60">
                  <c:v>127.16876889948637</c:v>
                </c:pt>
                <c:pt idx="61">
                  <c:v>128.44045658848123</c:v>
                </c:pt>
                <c:pt idx="62">
                  <c:v>129.72486115436604</c:v>
                </c:pt>
                <c:pt idx="63">
                  <c:v>131.0221097659097</c:v>
                </c:pt>
                <c:pt idx="64">
                  <c:v>132.33233086356881</c:v>
                </c:pt>
                <c:pt idx="65">
                  <c:v>133.65565417220449</c:v>
                </c:pt>
                <c:pt idx="66">
                  <c:v>134.99221071392654</c:v>
                </c:pt>
                <c:pt idx="67">
                  <c:v>136.3421328210658</c:v>
                </c:pt>
                <c:pt idx="68">
                  <c:v>137.70555414927645</c:v>
                </c:pt>
                <c:pt idx="69">
                  <c:v>139.08260969076923</c:v>
                </c:pt>
                <c:pt idx="70">
                  <c:v>140.47343578767692</c:v>
                </c:pt>
                <c:pt idx="71">
                  <c:v>141.8781701455537</c:v>
                </c:pt>
                <c:pt idx="72">
                  <c:v>143.29695184700924</c:v>
                </c:pt>
                <c:pt idx="73">
                  <c:v>144.72992136547933</c:v>
                </c:pt>
                <c:pt idx="74">
                  <c:v>146.17722057913412</c:v>
                </c:pt>
                <c:pt idx="75">
                  <c:v>147.63899278492545</c:v>
                </c:pt>
                <c:pt idx="76">
                  <c:v>149.1153827127747</c:v>
                </c:pt>
                <c:pt idx="77">
                  <c:v>150.60653653990246</c:v>
                </c:pt>
                <c:pt idx="78">
                  <c:v>152.11260190530149</c:v>
                </c:pt>
                <c:pt idx="79">
                  <c:v>153.6337279243545</c:v>
                </c:pt>
                <c:pt idx="80">
                  <c:v>155.17006520359806</c:v>
                </c:pt>
                <c:pt idx="81">
                  <c:v>156.72176585563403</c:v>
                </c:pt>
                <c:pt idx="82">
                  <c:v>158.28898351419036</c:v>
                </c:pt>
                <c:pt idx="83">
                  <c:v>159.87187334933228</c:v>
                </c:pt>
                <c:pt idx="84">
                  <c:v>161.47059208282559</c:v>
                </c:pt>
                <c:pt idx="85">
                  <c:v>163.08529800365386</c:v>
                </c:pt>
                <c:pt idx="86">
                  <c:v>164.7161509836904</c:v>
                </c:pt>
                <c:pt idx="87">
                  <c:v>166.3633124935273</c:v>
                </c:pt>
                <c:pt idx="88">
                  <c:v>168.02694561846258</c:v>
                </c:pt>
                <c:pt idx="89">
                  <c:v>169.70721507464719</c:v>
                </c:pt>
                <c:pt idx="90">
                  <c:v>171.40428722539366</c:v>
                </c:pt>
                <c:pt idx="91">
                  <c:v>173.1183300976476</c:v>
                </c:pt>
                <c:pt idx="92">
                  <c:v>174.84951339862408</c:v>
                </c:pt>
                <c:pt idx="93">
                  <c:v>176.59800853261032</c:v>
                </c:pt>
                <c:pt idx="94">
                  <c:v>178.36398861793643</c:v>
                </c:pt>
                <c:pt idx="95">
                  <c:v>180.1476285041158</c:v>
                </c:pt>
                <c:pt idx="96">
                  <c:v>181.94910478915696</c:v>
                </c:pt>
                <c:pt idx="97">
                  <c:v>183.76859583704854</c:v>
                </c:pt>
                <c:pt idx="98">
                  <c:v>185.60628179541902</c:v>
                </c:pt>
                <c:pt idx="99">
                  <c:v>187.4623446133732</c:v>
                </c:pt>
                <c:pt idx="100">
                  <c:v>189.33696805950694</c:v>
                </c:pt>
                <c:pt idx="101">
                  <c:v>191.23033774010202</c:v>
                </c:pt>
                <c:pt idx="102">
                  <c:v>193.14264111750305</c:v>
                </c:pt>
                <c:pt idx="103">
                  <c:v>195.07406752867809</c:v>
                </c:pt>
                <c:pt idx="104">
                  <c:v>197.02480820396488</c:v>
                </c:pt>
                <c:pt idx="105">
                  <c:v>198.99505628600454</c:v>
                </c:pt>
                <c:pt idx="106">
                  <c:v>200.9850068488646</c:v>
                </c:pt>
                <c:pt idx="107">
                  <c:v>202.99485691735325</c:v>
                </c:pt>
                <c:pt idx="108">
                  <c:v>205.02480548652679</c:v>
                </c:pt>
                <c:pt idx="109">
                  <c:v>207.07505354139207</c:v>
                </c:pt>
                <c:pt idx="110">
                  <c:v>209.145804076806</c:v>
                </c:pt>
                <c:pt idx="111">
                  <c:v>211.23726211757406</c:v>
                </c:pt>
                <c:pt idx="112">
                  <c:v>213.34963473874981</c:v>
                </c:pt>
                <c:pt idx="113">
                  <c:v>215.48313108613732</c:v>
                </c:pt>
                <c:pt idx="114">
                  <c:v>217.63796239699869</c:v>
                </c:pt>
                <c:pt idx="115">
                  <c:v>219.81434202096867</c:v>
                </c:pt>
                <c:pt idx="116">
                  <c:v>222.01248544117834</c:v>
                </c:pt>
                <c:pt idx="117">
                  <c:v>224.23261029559012</c:v>
                </c:pt>
                <c:pt idx="118">
                  <c:v>226.47493639854602</c:v>
                </c:pt>
                <c:pt idx="119">
                  <c:v>228.73968576253148</c:v>
                </c:pt>
                <c:pt idx="120">
                  <c:v>231.02708262015679</c:v>
                </c:pt>
                <c:pt idx="121">
                  <c:v>233.33735344635835</c:v>
                </c:pt>
                <c:pt idx="122">
                  <c:v>235.67072698082194</c:v>
                </c:pt>
                <c:pt idx="123">
                  <c:v>238.02743425063017</c:v>
                </c:pt>
                <c:pt idx="124">
                  <c:v>240.40770859313648</c:v>
                </c:pt>
                <c:pt idx="125">
                  <c:v>242.81178567906784</c:v>
                </c:pt>
                <c:pt idx="126">
                  <c:v>245.23990353585853</c:v>
                </c:pt>
                <c:pt idx="127">
                  <c:v>247.69230257121711</c:v>
                </c:pt>
                <c:pt idx="128">
                  <c:v>250.16922559692929</c:v>
                </c:pt>
                <c:pt idx="129">
                  <c:v>252.67091785289858</c:v>
                </c:pt>
              </c:numCache>
            </c:numRef>
          </c:cat>
          <c:val>
            <c:numRef>
              <c:f>'Long Call'!$T$17:$T$146</c:f>
              <c:numCache>
                <c:formatCode>General</c:formatCode>
                <c:ptCount val="1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FC-4737-B1D2-0EC9354199C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'Short Stock + OTM call'!$S$17:$S$146</c:f>
              <c:numCache>
                <c:formatCode>0.00</c:formatCode>
                <c:ptCount val="130"/>
                <c:pt idx="0">
                  <c:v>70</c:v>
                </c:pt>
                <c:pt idx="1">
                  <c:v>70.7</c:v>
                </c:pt>
                <c:pt idx="2">
                  <c:v>71.406999999999996</c:v>
                </c:pt>
                <c:pt idx="3">
                  <c:v>72.121070000000003</c:v>
                </c:pt>
                <c:pt idx="4">
                  <c:v>72.842280700000003</c:v>
                </c:pt>
                <c:pt idx="5">
                  <c:v>73.570703507000005</c:v>
                </c:pt>
                <c:pt idx="6">
                  <c:v>74.306410542070012</c:v>
                </c:pt>
                <c:pt idx="7">
                  <c:v>75.049474647490712</c:v>
                </c:pt>
                <c:pt idx="8">
                  <c:v>75.799969393965625</c:v>
                </c:pt>
                <c:pt idx="9">
                  <c:v>76.557969087905278</c:v>
                </c:pt>
                <c:pt idx="10">
                  <c:v>77.323548778784328</c:v>
                </c:pt>
                <c:pt idx="11">
                  <c:v>78.096784266572172</c:v>
                </c:pt>
                <c:pt idx="12">
                  <c:v>78.877752109237889</c:v>
                </c:pt>
                <c:pt idx="13">
                  <c:v>79.666529630330274</c:v>
                </c:pt>
                <c:pt idx="14">
                  <c:v>80.463194926633577</c:v>
                </c:pt>
                <c:pt idx="15">
                  <c:v>81.267826875899914</c:v>
                </c:pt>
                <c:pt idx="16">
                  <c:v>82.080505144658915</c:v>
                </c:pt>
                <c:pt idx="17">
                  <c:v>82.901310196105499</c:v>
                </c:pt>
                <c:pt idx="18">
                  <c:v>83.730323298066551</c:v>
                </c:pt>
                <c:pt idx="19">
                  <c:v>84.567626531047225</c:v>
                </c:pt>
                <c:pt idx="20">
                  <c:v>85.413302796357698</c:v>
                </c:pt>
                <c:pt idx="21">
                  <c:v>86.267435824321282</c:v>
                </c:pt>
                <c:pt idx="22">
                  <c:v>87.130110182564493</c:v>
                </c:pt>
                <c:pt idx="23">
                  <c:v>88.001411284390144</c:v>
                </c:pt>
                <c:pt idx="24">
                  <c:v>88.88142539723404</c:v>
                </c:pt>
                <c:pt idx="25">
                  <c:v>89.770239651206381</c:v>
                </c:pt>
                <c:pt idx="26">
                  <c:v>90.667942047718441</c:v>
                </c:pt>
                <c:pt idx="27">
                  <c:v>91.57462146819563</c:v>
                </c:pt>
                <c:pt idx="28">
                  <c:v>92.49036768287759</c:v>
                </c:pt>
                <c:pt idx="29">
                  <c:v>93.415271359706367</c:v>
                </c:pt>
                <c:pt idx="30">
                  <c:v>94.349424073303425</c:v>
                </c:pt>
                <c:pt idx="31">
                  <c:v>95.292918314036456</c:v>
                </c:pt>
                <c:pt idx="32">
                  <c:v>96.245847497176825</c:v>
                </c:pt>
                <c:pt idx="33">
                  <c:v>97.208305972148594</c:v>
                </c:pt>
                <c:pt idx="34">
                  <c:v>98.180389031870078</c:v>
                </c:pt>
                <c:pt idx="35">
                  <c:v>99.16219292218878</c:v>
                </c:pt>
                <c:pt idx="36">
                  <c:v>100.15381485141067</c:v>
                </c:pt>
                <c:pt idx="37">
                  <c:v>101.15535299992477</c:v>
                </c:pt>
                <c:pt idx="38">
                  <c:v>102.16690652992402</c:v>
                </c:pt>
                <c:pt idx="39">
                  <c:v>103.18857559522326</c:v>
                </c:pt>
                <c:pt idx="40">
                  <c:v>104.22046135117549</c:v>
                </c:pt>
                <c:pt idx="41">
                  <c:v>105.26266596468724</c:v>
                </c:pt>
                <c:pt idx="42">
                  <c:v>106.31529262433412</c:v>
                </c:pt>
                <c:pt idx="43">
                  <c:v>107.37844555057747</c:v>
                </c:pt>
                <c:pt idx="44">
                  <c:v>108.45223000608324</c:v>
                </c:pt>
                <c:pt idx="45">
                  <c:v>109.53675230614408</c:v>
                </c:pt>
                <c:pt idx="46">
                  <c:v>110.63211982920552</c:v>
                </c:pt>
                <c:pt idx="47">
                  <c:v>111.73844102749757</c:v>
                </c:pt>
                <c:pt idx="48">
                  <c:v>112.85582543777255</c:v>
                </c:pt>
                <c:pt idx="49">
                  <c:v>113.98438369215027</c:v>
                </c:pt>
                <c:pt idx="50">
                  <c:v>115.12422752907177</c:v>
                </c:pt>
                <c:pt idx="51">
                  <c:v>116.27546980436249</c:v>
                </c:pt>
                <c:pt idx="52">
                  <c:v>117.43822450240611</c:v>
                </c:pt>
                <c:pt idx="53">
                  <c:v>118.61260674743018</c:v>
                </c:pt>
                <c:pt idx="54">
                  <c:v>119.79873281490448</c:v>
                </c:pt>
                <c:pt idx="55">
                  <c:v>120.99672014305352</c:v>
                </c:pt>
                <c:pt idx="56">
                  <c:v>122.20668734448405</c:v>
                </c:pt>
                <c:pt idx="57">
                  <c:v>123.4287542179289</c:v>
                </c:pt>
                <c:pt idx="58">
                  <c:v>124.66304176010819</c:v>
                </c:pt>
                <c:pt idx="59">
                  <c:v>125.90967217770927</c:v>
                </c:pt>
                <c:pt idx="60">
                  <c:v>127.16876889948637</c:v>
                </c:pt>
                <c:pt idx="61">
                  <c:v>128.44045658848123</c:v>
                </c:pt>
                <c:pt idx="62">
                  <c:v>129.72486115436604</c:v>
                </c:pt>
                <c:pt idx="63">
                  <c:v>131.0221097659097</c:v>
                </c:pt>
                <c:pt idx="64">
                  <c:v>132.33233086356881</c:v>
                </c:pt>
                <c:pt idx="65">
                  <c:v>133.65565417220449</c:v>
                </c:pt>
                <c:pt idx="66">
                  <c:v>134.99221071392654</c:v>
                </c:pt>
                <c:pt idx="67">
                  <c:v>136.3421328210658</c:v>
                </c:pt>
                <c:pt idx="68">
                  <c:v>137.70555414927645</c:v>
                </c:pt>
                <c:pt idx="69">
                  <c:v>139.08260969076923</c:v>
                </c:pt>
                <c:pt idx="70">
                  <c:v>140.47343578767692</c:v>
                </c:pt>
                <c:pt idx="71">
                  <c:v>141.8781701455537</c:v>
                </c:pt>
                <c:pt idx="72">
                  <c:v>143.29695184700924</c:v>
                </c:pt>
                <c:pt idx="73">
                  <c:v>144.72992136547933</c:v>
                </c:pt>
                <c:pt idx="74">
                  <c:v>146.17722057913412</c:v>
                </c:pt>
                <c:pt idx="75">
                  <c:v>147.63899278492545</c:v>
                </c:pt>
                <c:pt idx="76">
                  <c:v>149.1153827127747</c:v>
                </c:pt>
                <c:pt idx="77">
                  <c:v>150.60653653990246</c:v>
                </c:pt>
                <c:pt idx="78">
                  <c:v>152.11260190530149</c:v>
                </c:pt>
                <c:pt idx="79">
                  <c:v>153.6337279243545</c:v>
                </c:pt>
                <c:pt idx="80">
                  <c:v>155.17006520359806</c:v>
                </c:pt>
                <c:pt idx="81">
                  <c:v>156.72176585563403</c:v>
                </c:pt>
                <c:pt idx="82">
                  <c:v>158.28898351419036</c:v>
                </c:pt>
                <c:pt idx="83">
                  <c:v>159.87187334933228</c:v>
                </c:pt>
                <c:pt idx="84">
                  <c:v>161.47059208282559</c:v>
                </c:pt>
                <c:pt idx="85">
                  <c:v>163.08529800365386</c:v>
                </c:pt>
                <c:pt idx="86">
                  <c:v>164.7161509836904</c:v>
                </c:pt>
                <c:pt idx="87">
                  <c:v>166.3633124935273</c:v>
                </c:pt>
                <c:pt idx="88">
                  <c:v>168.02694561846258</c:v>
                </c:pt>
                <c:pt idx="89">
                  <c:v>169.70721507464719</c:v>
                </c:pt>
                <c:pt idx="90">
                  <c:v>171.40428722539366</c:v>
                </c:pt>
                <c:pt idx="91">
                  <c:v>173.1183300976476</c:v>
                </c:pt>
                <c:pt idx="92">
                  <c:v>174.84951339862408</c:v>
                </c:pt>
                <c:pt idx="93">
                  <c:v>176.59800853261032</c:v>
                </c:pt>
                <c:pt idx="94">
                  <c:v>178.36398861793643</c:v>
                </c:pt>
                <c:pt idx="95">
                  <c:v>180.1476285041158</c:v>
                </c:pt>
                <c:pt idx="96">
                  <c:v>181.94910478915696</c:v>
                </c:pt>
                <c:pt idx="97">
                  <c:v>183.76859583704854</c:v>
                </c:pt>
                <c:pt idx="98">
                  <c:v>185.60628179541902</c:v>
                </c:pt>
                <c:pt idx="99">
                  <c:v>187.4623446133732</c:v>
                </c:pt>
                <c:pt idx="100">
                  <c:v>189.33696805950694</c:v>
                </c:pt>
                <c:pt idx="101">
                  <c:v>191.23033774010202</c:v>
                </c:pt>
                <c:pt idx="102">
                  <c:v>193.14264111750305</c:v>
                </c:pt>
                <c:pt idx="103">
                  <c:v>195.07406752867809</c:v>
                </c:pt>
                <c:pt idx="104">
                  <c:v>197.02480820396488</c:v>
                </c:pt>
                <c:pt idx="105">
                  <c:v>198.99505628600454</c:v>
                </c:pt>
                <c:pt idx="106">
                  <c:v>200.9850068488646</c:v>
                </c:pt>
                <c:pt idx="107">
                  <c:v>202.99485691735325</c:v>
                </c:pt>
                <c:pt idx="108">
                  <c:v>205.02480548652679</c:v>
                </c:pt>
                <c:pt idx="109">
                  <c:v>207.07505354139207</c:v>
                </c:pt>
                <c:pt idx="110">
                  <c:v>209.145804076806</c:v>
                </c:pt>
                <c:pt idx="111">
                  <c:v>211.23726211757406</c:v>
                </c:pt>
                <c:pt idx="112">
                  <c:v>213.34963473874981</c:v>
                </c:pt>
                <c:pt idx="113">
                  <c:v>215.48313108613732</c:v>
                </c:pt>
                <c:pt idx="114">
                  <c:v>217.63796239699869</c:v>
                </c:pt>
                <c:pt idx="115">
                  <c:v>219.81434202096867</c:v>
                </c:pt>
                <c:pt idx="116">
                  <c:v>222.01248544117834</c:v>
                </c:pt>
                <c:pt idx="117">
                  <c:v>224.23261029559012</c:v>
                </c:pt>
                <c:pt idx="118">
                  <c:v>226.47493639854602</c:v>
                </c:pt>
                <c:pt idx="119">
                  <c:v>228.73968576253148</c:v>
                </c:pt>
                <c:pt idx="120">
                  <c:v>231.02708262015679</c:v>
                </c:pt>
                <c:pt idx="121">
                  <c:v>233.33735344635835</c:v>
                </c:pt>
                <c:pt idx="122">
                  <c:v>235.67072698082194</c:v>
                </c:pt>
                <c:pt idx="123">
                  <c:v>238.02743425063017</c:v>
                </c:pt>
                <c:pt idx="124">
                  <c:v>240.40770859313648</c:v>
                </c:pt>
                <c:pt idx="125">
                  <c:v>242.81178567906784</c:v>
                </c:pt>
                <c:pt idx="126">
                  <c:v>245.23990353585853</c:v>
                </c:pt>
                <c:pt idx="127">
                  <c:v>247.69230257121711</c:v>
                </c:pt>
                <c:pt idx="128">
                  <c:v>250.16922559692929</c:v>
                </c:pt>
                <c:pt idx="129">
                  <c:v>252.67091785289858</c:v>
                </c:pt>
              </c:numCache>
            </c:numRef>
          </c:cat>
          <c:val>
            <c:numRef>
              <c:f>'Short Stock + OTM call'!$U$17:$U$146</c:f>
              <c:numCache>
                <c:formatCode>General</c:formatCode>
                <c:ptCount val="130"/>
                <c:pt idx="0">
                  <c:v>25</c:v>
                </c:pt>
                <c:pt idx="1">
                  <c:v>24.299999999999997</c:v>
                </c:pt>
                <c:pt idx="2">
                  <c:v>23.593000000000004</c:v>
                </c:pt>
                <c:pt idx="3">
                  <c:v>22.878929999999997</c:v>
                </c:pt>
                <c:pt idx="4">
                  <c:v>22.157719299999997</c:v>
                </c:pt>
                <c:pt idx="5">
                  <c:v>21.429296492999995</c:v>
                </c:pt>
                <c:pt idx="6">
                  <c:v>20.693589457929988</c:v>
                </c:pt>
                <c:pt idx="7">
                  <c:v>19.950525352509288</c:v>
                </c:pt>
                <c:pt idx="8">
                  <c:v>19.200030606034375</c:v>
                </c:pt>
                <c:pt idx="9">
                  <c:v>18.442030912094722</c:v>
                </c:pt>
                <c:pt idx="10">
                  <c:v>17.676451221215672</c:v>
                </c:pt>
                <c:pt idx="11">
                  <c:v>16.903215733427828</c:v>
                </c:pt>
                <c:pt idx="12">
                  <c:v>16.122247890762111</c:v>
                </c:pt>
                <c:pt idx="13">
                  <c:v>15.333470369669726</c:v>
                </c:pt>
                <c:pt idx="14">
                  <c:v>14.536805073366423</c:v>
                </c:pt>
                <c:pt idx="15">
                  <c:v>13.732173124100086</c:v>
                </c:pt>
                <c:pt idx="16">
                  <c:v>12.919494855341085</c:v>
                </c:pt>
                <c:pt idx="17">
                  <c:v>12.098689803894501</c:v>
                </c:pt>
                <c:pt idx="18">
                  <c:v>11.269676701933449</c:v>
                </c:pt>
                <c:pt idx="19">
                  <c:v>10.432373468952775</c:v>
                </c:pt>
                <c:pt idx="20">
                  <c:v>9.5866972036423022</c:v>
                </c:pt>
                <c:pt idx="21">
                  <c:v>8.7325641756787178</c:v>
                </c:pt>
                <c:pt idx="22">
                  <c:v>7.8698898174355065</c:v>
                </c:pt>
                <c:pt idx="23">
                  <c:v>6.9985887156098556</c:v>
                </c:pt>
                <c:pt idx="24">
                  <c:v>6.1185746027659604</c:v>
                </c:pt>
                <c:pt idx="25">
                  <c:v>5.2297603487936186</c:v>
                </c:pt>
                <c:pt idx="26">
                  <c:v>4.3320579522815592</c:v>
                </c:pt>
                <c:pt idx="27">
                  <c:v>3.4253785318043697</c:v>
                </c:pt>
                <c:pt idx="28">
                  <c:v>2.50963231712241</c:v>
                </c:pt>
                <c:pt idx="29">
                  <c:v>1.5847286402936334</c:v>
                </c:pt>
                <c:pt idx="30">
                  <c:v>0.65057592669657538</c:v>
                </c:pt>
                <c:pt idx="31">
                  <c:v>-0.29291831403645574</c:v>
                </c:pt>
                <c:pt idx="32">
                  <c:v>-1.2458474971768254</c:v>
                </c:pt>
                <c:pt idx="33">
                  <c:v>-2.2083059721485938</c:v>
                </c:pt>
                <c:pt idx="34">
                  <c:v>-3.180389031870078</c:v>
                </c:pt>
                <c:pt idx="35">
                  <c:v>-4.1621929221887797</c:v>
                </c:pt>
                <c:pt idx="36">
                  <c:v>-5.1538148514106723</c:v>
                </c:pt>
                <c:pt idx="37">
                  <c:v>-6.1553529999247729</c:v>
                </c:pt>
                <c:pt idx="38">
                  <c:v>-7.1669065299240202</c:v>
                </c:pt>
                <c:pt idx="39">
                  <c:v>-8.1885755952232557</c:v>
                </c:pt>
                <c:pt idx="40">
                  <c:v>-9.2204613511754872</c:v>
                </c:pt>
                <c:pt idx="41">
                  <c:v>-10.262665964687244</c:v>
                </c:pt>
                <c:pt idx="42">
                  <c:v>-11.31529262433412</c:v>
                </c:pt>
                <c:pt idx="43">
                  <c:v>-12.378445550577467</c:v>
                </c:pt>
                <c:pt idx="44">
                  <c:v>-13.452230006083241</c:v>
                </c:pt>
                <c:pt idx="45">
                  <c:v>-14.536752306144081</c:v>
                </c:pt>
                <c:pt idx="46">
                  <c:v>-15.632119829205521</c:v>
                </c:pt>
                <c:pt idx="47">
                  <c:v>-16.738441027497572</c:v>
                </c:pt>
                <c:pt idx="48">
                  <c:v>-17.855825437772552</c:v>
                </c:pt>
                <c:pt idx="49">
                  <c:v>-18.984383692150274</c:v>
                </c:pt>
                <c:pt idx="50">
                  <c:v>-20.124227529071774</c:v>
                </c:pt>
                <c:pt idx="51">
                  <c:v>-21.275469804362487</c:v>
                </c:pt>
                <c:pt idx="52">
                  <c:v>-22.438224502406115</c:v>
                </c:pt>
                <c:pt idx="53">
                  <c:v>-23.612606747430178</c:v>
                </c:pt>
                <c:pt idx="54">
                  <c:v>-24.798732814904483</c:v>
                </c:pt>
                <c:pt idx="55">
                  <c:v>-25</c:v>
                </c:pt>
                <c:pt idx="56">
                  <c:v>-25</c:v>
                </c:pt>
                <c:pt idx="57">
                  <c:v>-25</c:v>
                </c:pt>
                <c:pt idx="58">
                  <c:v>-25</c:v>
                </c:pt>
                <c:pt idx="59">
                  <c:v>-25</c:v>
                </c:pt>
                <c:pt idx="60">
                  <c:v>-25</c:v>
                </c:pt>
                <c:pt idx="61">
                  <c:v>-25</c:v>
                </c:pt>
                <c:pt idx="62">
                  <c:v>-25</c:v>
                </c:pt>
                <c:pt idx="63">
                  <c:v>-25</c:v>
                </c:pt>
                <c:pt idx="64">
                  <c:v>-25</c:v>
                </c:pt>
                <c:pt idx="65">
                  <c:v>-25</c:v>
                </c:pt>
                <c:pt idx="66">
                  <c:v>-25</c:v>
                </c:pt>
                <c:pt idx="67">
                  <c:v>-25</c:v>
                </c:pt>
                <c:pt idx="68">
                  <c:v>-25</c:v>
                </c:pt>
                <c:pt idx="69">
                  <c:v>-25</c:v>
                </c:pt>
                <c:pt idx="70">
                  <c:v>-25</c:v>
                </c:pt>
                <c:pt idx="71">
                  <c:v>-25</c:v>
                </c:pt>
                <c:pt idx="72">
                  <c:v>-25</c:v>
                </c:pt>
                <c:pt idx="73">
                  <c:v>-25</c:v>
                </c:pt>
                <c:pt idx="74">
                  <c:v>-25</c:v>
                </c:pt>
                <c:pt idx="75">
                  <c:v>-25</c:v>
                </c:pt>
                <c:pt idx="76">
                  <c:v>-25</c:v>
                </c:pt>
                <c:pt idx="77">
                  <c:v>-25</c:v>
                </c:pt>
                <c:pt idx="78">
                  <c:v>-25</c:v>
                </c:pt>
                <c:pt idx="79">
                  <c:v>-25</c:v>
                </c:pt>
                <c:pt idx="80">
                  <c:v>-25</c:v>
                </c:pt>
                <c:pt idx="81">
                  <c:v>-25</c:v>
                </c:pt>
                <c:pt idx="82">
                  <c:v>-25</c:v>
                </c:pt>
                <c:pt idx="83">
                  <c:v>-25</c:v>
                </c:pt>
                <c:pt idx="84">
                  <c:v>-25</c:v>
                </c:pt>
                <c:pt idx="85">
                  <c:v>-25</c:v>
                </c:pt>
                <c:pt idx="86">
                  <c:v>-25</c:v>
                </c:pt>
                <c:pt idx="87">
                  <c:v>-25</c:v>
                </c:pt>
                <c:pt idx="88">
                  <c:v>-25</c:v>
                </c:pt>
                <c:pt idx="89">
                  <c:v>-25</c:v>
                </c:pt>
                <c:pt idx="90">
                  <c:v>-25</c:v>
                </c:pt>
                <c:pt idx="91">
                  <c:v>-25</c:v>
                </c:pt>
                <c:pt idx="92">
                  <c:v>-25</c:v>
                </c:pt>
                <c:pt idx="93">
                  <c:v>-25</c:v>
                </c:pt>
                <c:pt idx="94">
                  <c:v>-25</c:v>
                </c:pt>
                <c:pt idx="95">
                  <c:v>-25</c:v>
                </c:pt>
                <c:pt idx="96">
                  <c:v>-25</c:v>
                </c:pt>
                <c:pt idx="97">
                  <c:v>-25</c:v>
                </c:pt>
                <c:pt idx="98">
                  <c:v>-25</c:v>
                </c:pt>
                <c:pt idx="99">
                  <c:v>-25</c:v>
                </c:pt>
                <c:pt idx="100">
                  <c:v>-25</c:v>
                </c:pt>
                <c:pt idx="101">
                  <c:v>-25</c:v>
                </c:pt>
                <c:pt idx="102">
                  <c:v>-25</c:v>
                </c:pt>
                <c:pt idx="103">
                  <c:v>-25</c:v>
                </c:pt>
                <c:pt idx="104">
                  <c:v>-25</c:v>
                </c:pt>
                <c:pt idx="105">
                  <c:v>-25</c:v>
                </c:pt>
                <c:pt idx="106">
                  <c:v>-25</c:v>
                </c:pt>
                <c:pt idx="107">
                  <c:v>-25</c:v>
                </c:pt>
                <c:pt idx="108">
                  <c:v>-25</c:v>
                </c:pt>
                <c:pt idx="109">
                  <c:v>-25</c:v>
                </c:pt>
                <c:pt idx="110">
                  <c:v>-25</c:v>
                </c:pt>
                <c:pt idx="111">
                  <c:v>-25</c:v>
                </c:pt>
                <c:pt idx="112">
                  <c:v>-25</c:v>
                </c:pt>
                <c:pt idx="113">
                  <c:v>-25</c:v>
                </c:pt>
                <c:pt idx="114">
                  <c:v>-25</c:v>
                </c:pt>
                <c:pt idx="115">
                  <c:v>-25</c:v>
                </c:pt>
                <c:pt idx="116">
                  <c:v>-25</c:v>
                </c:pt>
                <c:pt idx="117">
                  <c:v>-25</c:v>
                </c:pt>
                <c:pt idx="118">
                  <c:v>-25</c:v>
                </c:pt>
                <c:pt idx="119">
                  <c:v>-25</c:v>
                </c:pt>
                <c:pt idx="120">
                  <c:v>-25</c:v>
                </c:pt>
                <c:pt idx="121">
                  <c:v>-25</c:v>
                </c:pt>
                <c:pt idx="122">
                  <c:v>-25</c:v>
                </c:pt>
                <c:pt idx="123">
                  <c:v>-25</c:v>
                </c:pt>
                <c:pt idx="124">
                  <c:v>-25</c:v>
                </c:pt>
                <c:pt idx="125">
                  <c:v>-25</c:v>
                </c:pt>
                <c:pt idx="126">
                  <c:v>-25</c:v>
                </c:pt>
                <c:pt idx="127">
                  <c:v>-25</c:v>
                </c:pt>
                <c:pt idx="128">
                  <c:v>-25</c:v>
                </c:pt>
                <c:pt idx="129">
                  <c:v>-25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FC-4737-B1D2-0EC935419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2115376"/>
        <c:axId val="1853899552"/>
      </c:lineChart>
      <c:catAx>
        <c:axId val="1742115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3899552"/>
        <c:crosses val="autoZero"/>
        <c:auto val="1"/>
        <c:lblAlgn val="ctr"/>
        <c:lblOffset val="100"/>
        <c:noMultiLvlLbl val="0"/>
      </c:catAx>
      <c:valAx>
        <c:axId val="185389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211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523875</xdr:colOff>
      <xdr:row>11</xdr:row>
      <xdr:rowOff>142874</xdr:rowOff>
    </xdr:from>
    <xdr:to>
      <xdr:col>7</xdr:col>
      <xdr:colOff>2219324</xdr:colOff>
      <xdr:row>39</xdr:row>
      <xdr:rowOff>133349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E63F24C-0B51-4C03-BAFC-48E43C7039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523875</xdr:colOff>
      <xdr:row>11</xdr:row>
      <xdr:rowOff>142874</xdr:rowOff>
    </xdr:from>
    <xdr:to>
      <xdr:col>7</xdr:col>
      <xdr:colOff>2219324</xdr:colOff>
      <xdr:row>39</xdr:row>
      <xdr:rowOff>133349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4C2E2C-2538-4B8F-91C8-583E3DB157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13</xdr:row>
      <xdr:rowOff>28574</xdr:rowOff>
    </xdr:from>
    <xdr:to>
      <xdr:col>7</xdr:col>
      <xdr:colOff>2228849</xdr:colOff>
      <xdr:row>41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7A90E58-D75B-4FC1-B1D3-E9993D8751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14</xdr:row>
      <xdr:rowOff>28574</xdr:rowOff>
    </xdr:from>
    <xdr:to>
      <xdr:col>7</xdr:col>
      <xdr:colOff>2228849</xdr:colOff>
      <xdr:row>42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586193-55D2-4297-A368-0B7E66A937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14</xdr:row>
      <xdr:rowOff>28574</xdr:rowOff>
    </xdr:from>
    <xdr:to>
      <xdr:col>7</xdr:col>
      <xdr:colOff>2228849</xdr:colOff>
      <xdr:row>42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7547AAA-C77A-4554-BC48-74E07DE2D2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15</xdr:row>
      <xdr:rowOff>28574</xdr:rowOff>
    </xdr:from>
    <xdr:to>
      <xdr:col>7</xdr:col>
      <xdr:colOff>2228849</xdr:colOff>
      <xdr:row>43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73B3ADE-9354-4798-BE25-DDB4BB0434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15</xdr:row>
      <xdr:rowOff>28574</xdr:rowOff>
    </xdr:from>
    <xdr:to>
      <xdr:col>7</xdr:col>
      <xdr:colOff>2228849</xdr:colOff>
      <xdr:row>43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0F1806A-C374-4339-8A07-FB13EED5E1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13</xdr:row>
      <xdr:rowOff>28574</xdr:rowOff>
    </xdr:from>
    <xdr:to>
      <xdr:col>7</xdr:col>
      <xdr:colOff>2228849</xdr:colOff>
      <xdr:row>41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394B6E-3B04-43E7-ABB2-4E9046870F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13</xdr:row>
      <xdr:rowOff>28574</xdr:rowOff>
    </xdr:from>
    <xdr:to>
      <xdr:col>7</xdr:col>
      <xdr:colOff>2228849</xdr:colOff>
      <xdr:row>41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8FAB4D7-3853-486E-8F99-0193D4F354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youtube.com/watch?v=HZ4ihoF5DE0&amp;t=22s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8F8DE-6F98-4D5A-B692-9CA2F4545CCA}">
  <sheetPr>
    <tabColor rgb="FFFFFF00"/>
  </sheetPr>
  <dimension ref="B1:J31"/>
  <sheetViews>
    <sheetView workbookViewId="0">
      <selection activeCell="F32" sqref="F32"/>
    </sheetView>
  </sheetViews>
  <sheetFormatPr defaultColWidth="9.1328125" defaultRowHeight="14.25" x14ac:dyDescent="0.45"/>
  <cols>
    <col min="1" max="1" width="4" style="1" customWidth="1"/>
    <col min="2" max="5" width="12.86328125" style="1" customWidth="1"/>
    <col min="6" max="6" width="13.73046875" style="1" customWidth="1"/>
    <col min="7" max="9" width="12.86328125" style="1" customWidth="1"/>
    <col min="10" max="10" width="67.59765625" style="1" customWidth="1"/>
    <col min="11" max="16384" width="9.1328125" style="1"/>
  </cols>
  <sheetData>
    <row r="1" spans="2:10" x14ac:dyDescent="0.45">
      <c r="B1" s="38"/>
      <c r="C1" s="38"/>
      <c r="D1" s="38"/>
      <c r="E1" s="38"/>
      <c r="F1" s="38"/>
      <c r="G1" s="38"/>
      <c r="H1" s="38"/>
      <c r="I1" s="38"/>
      <c r="J1" s="38"/>
    </row>
    <row r="2" spans="2:10" ht="14.65" thickBot="1" x14ac:dyDescent="0.5">
      <c r="B2" s="39"/>
      <c r="C2" s="39"/>
      <c r="D2" s="39"/>
      <c r="E2" s="39"/>
      <c r="F2" s="39"/>
      <c r="G2" s="39"/>
      <c r="H2" s="39"/>
      <c r="I2" s="39"/>
      <c r="J2" s="39"/>
    </row>
    <row r="3" spans="2:10" ht="14.65" thickBot="1" x14ac:dyDescent="0.5">
      <c r="B3" s="40" t="s">
        <v>111</v>
      </c>
      <c r="C3" s="41"/>
      <c r="D3" s="41"/>
      <c r="E3" s="41"/>
      <c r="F3" s="41"/>
      <c r="G3" s="41"/>
      <c r="H3" s="41"/>
      <c r="I3" s="41"/>
      <c r="J3" s="42"/>
    </row>
    <row r="5" spans="2:10" x14ac:dyDescent="0.45">
      <c r="B5" s="43" t="s">
        <v>0</v>
      </c>
      <c r="C5" s="44"/>
      <c r="D5" s="44"/>
      <c r="E5" s="44"/>
      <c r="F5" s="44"/>
      <c r="G5" s="44"/>
      <c r="H5" s="44"/>
      <c r="I5" s="44"/>
      <c r="J5" s="45"/>
    </row>
    <row r="7" spans="2:10" ht="24" customHeight="1" x14ac:dyDescent="0.45">
      <c r="B7" s="46" t="s">
        <v>24</v>
      </c>
      <c r="C7" s="46"/>
      <c r="D7" s="46"/>
      <c r="E7" s="46"/>
      <c r="F7" s="46"/>
      <c r="G7" s="46"/>
      <c r="H7" s="46"/>
      <c r="I7" s="46"/>
      <c r="J7" s="46"/>
    </row>
    <row r="8" spans="2:10" ht="24" customHeight="1" x14ac:dyDescent="0.45">
      <c r="B8" s="46" t="s">
        <v>117</v>
      </c>
      <c r="C8" s="46"/>
      <c r="D8" s="46"/>
      <c r="E8" s="46"/>
      <c r="F8" s="46"/>
      <c r="G8" s="46"/>
      <c r="H8" s="46"/>
      <c r="I8" s="46"/>
      <c r="J8" s="46"/>
    </row>
    <row r="9" spans="2:10" ht="24" customHeight="1" x14ac:dyDescent="0.45">
      <c r="B9" s="49" t="s">
        <v>106</v>
      </c>
      <c r="C9" s="46"/>
      <c r="D9" s="46"/>
      <c r="E9" s="46"/>
      <c r="F9" s="46"/>
      <c r="G9" s="46"/>
      <c r="H9" s="46"/>
      <c r="I9" s="46"/>
      <c r="J9" s="46"/>
    </row>
    <row r="10" spans="2:10" x14ac:dyDescent="0.45">
      <c r="B10" s="2"/>
      <c r="C10" s="3"/>
      <c r="D10" s="3"/>
      <c r="E10" s="3"/>
    </row>
    <row r="11" spans="2:10" x14ac:dyDescent="0.45">
      <c r="B11" s="43" t="s">
        <v>1</v>
      </c>
      <c r="C11" s="47"/>
      <c r="D11" s="47"/>
      <c r="E11" s="47"/>
      <c r="F11" s="47"/>
      <c r="G11" s="47"/>
      <c r="H11" s="47"/>
      <c r="I11" s="47"/>
      <c r="J11" s="48"/>
    </row>
    <row r="13" spans="2:10" x14ac:dyDescent="0.45">
      <c r="B13" s="43" t="s">
        <v>2</v>
      </c>
      <c r="C13" s="47"/>
      <c r="D13" s="47"/>
      <c r="E13" s="47"/>
      <c r="F13" s="48"/>
      <c r="G13" s="43" t="s">
        <v>3</v>
      </c>
      <c r="H13" s="47"/>
      <c r="I13" s="47"/>
      <c r="J13" s="48"/>
    </row>
    <row r="15" spans="2:10" x14ac:dyDescent="0.45">
      <c r="B15" s="1" t="s">
        <v>4</v>
      </c>
      <c r="G15" s="1" t="s">
        <v>91</v>
      </c>
    </row>
    <row r="16" spans="2:10" x14ac:dyDescent="0.45">
      <c r="B16" s="1" t="s">
        <v>5</v>
      </c>
      <c r="G16" s="1" t="s">
        <v>92</v>
      </c>
    </row>
    <row r="17" spans="2:10" x14ac:dyDescent="0.45">
      <c r="B17" s="1" t="s">
        <v>6</v>
      </c>
      <c r="G17" s="1" t="s">
        <v>109</v>
      </c>
    </row>
    <row r="18" spans="2:10" x14ac:dyDescent="0.45">
      <c r="B18" s="1" t="s">
        <v>7</v>
      </c>
      <c r="G18" s="1" t="s">
        <v>93</v>
      </c>
    </row>
    <row r="19" spans="2:10" x14ac:dyDescent="0.45">
      <c r="B19" s="1" t="s">
        <v>8</v>
      </c>
      <c r="G19" s="1" t="s">
        <v>94</v>
      </c>
    </row>
    <row r="20" spans="2:10" x14ac:dyDescent="0.45">
      <c r="B20" s="1" t="s">
        <v>9</v>
      </c>
      <c r="G20" s="1" t="s">
        <v>95</v>
      </c>
    </row>
    <row r="21" spans="2:10" x14ac:dyDescent="0.45">
      <c r="B21" s="1" t="s">
        <v>10</v>
      </c>
      <c r="G21" s="1" t="s">
        <v>95</v>
      </c>
    </row>
    <row r="22" spans="2:10" x14ac:dyDescent="0.45">
      <c r="B22" s="1" t="s">
        <v>96</v>
      </c>
      <c r="G22" s="1" t="s">
        <v>107</v>
      </c>
    </row>
    <row r="23" spans="2:10" x14ac:dyDescent="0.45">
      <c r="B23" s="1" t="s">
        <v>97</v>
      </c>
      <c r="G23" s="1" t="s">
        <v>108</v>
      </c>
    </row>
    <row r="25" spans="2:10" x14ac:dyDescent="0.45">
      <c r="B25" s="1" t="s">
        <v>110</v>
      </c>
      <c r="G25" s="1" t="s">
        <v>73</v>
      </c>
    </row>
    <row r="27" spans="2:10" x14ac:dyDescent="0.45">
      <c r="B27" s="35" t="s">
        <v>112</v>
      </c>
      <c r="G27" s="1" t="s">
        <v>113</v>
      </c>
    </row>
    <row r="29" spans="2:10" x14ac:dyDescent="0.45">
      <c r="B29" s="54"/>
      <c r="C29" s="53"/>
      <c r="D29" s="53"/>
      <c r="E29" s="53"/>
      <c r="F29" s="53"/>
      <c r="G29" s="53"/>
      <c r="H29" s="53"/>
      <c r="I29" s="53"/>
      <c r="J29" s="53"/>
    </row>
    <row r="30" spans="2:10" x14ac:dyDescent="0.45">
      <c r="B30" s="50"/>
      <c r="C30" s="51"/>
      <c r="D30" s="51"/>
      <c r="E30" s="51"/>
      <c r="F30" s="51"/>
      <c r="G30" s="51"/>
      <c r="H30" s="51"/>
      <c r="I30" s="51"/>
      <c r="J30" s="51"/>
    </row>
    <row r="31" spans="2:10" x14ac:dyDescent="0.45">
      <c r="B31" s="52"/>
      <c r="C31" s="53"/>
      <c r="D31" s="53"/>
      <c r="E31" s="53"/>
      <c r="F31" s="53"/>
      <c r="G31" s="53"/>
      <c r="H31" s="53"/>
      <c r="I31" s="53"/>
      <c r="J31" s="53"/>
    </row>
  </sheetData>
  <mergeCells count="12">
    <mergeCell ref="B30:J30"/>
    <mergeCell ref="B31:J31"/>
    <mergeCell ref="B8:J8"/>
    <mergeCell ref="B29:J29"/>
    <mergeCell ref="B13:F13"/>
    <mergeCell ref="G13:J13"/>
    <mergeCell ref="B1:J2"/>
    <mergeCell ref="B3:J3"/>
    <mergeCell ref="B5:J5"/>
    <mergeCell ref="B7:J7"/>
    <mergeCell ref="B11:J11"/>
    <mergeCell ref="B9:J9"/>
  </mergeCells>
  <hyperlinks>
    <hyperlink ref="B9" r:id="rId1" xr:uid="{18938F07-7F6E-41F9-B63C-245F2A4632EC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3E116-179C-4EAE-9AED-83DF60D2C3E4}">
  <dimension ref="A1:U1032"/>
  <sheetViews>
    <sheetView topLeftCell="A28" zoomScaleNormal="100" workbookViewId="0">
      <selection activeCell="D7" sqref="D7"/>
    </sheetView>
  </sheetViews>
  <sheetFormatPr defaultColWidth="9.1328125" defaultRowHeight="14.25" x14ac:dyDescent="0.45"/>
  <cols>
    <col min="1" max="1" width="12.1328125" style="1" customWidth="1"/>
    <col min="2" max="2" width="1.59765625" style="1" customWidth="1"/>
    <col min="3" max="8" width="33.3984375" style="1" customWidth="1"/>
    <col min="9" max="10" width="9.1328125" style="1"/>
    <col min="11" max="11" width="13.3984375" style="1" customWidth="1"/>
    <col min="12" max="12" width="20" style="1" customWidth="1"/>
    <col min="13" max="14" width="11.86328125" style="1" customWidth="1"/>
    <col min="15" max="16384" width="9.1328125" style="1"/>
  </cols>
  <sheetData>
    <row r="1" spans="1:19" ht="18" x14ac:dyDescent="0.55000000000000004">
      <c r="A1" s="28" t="s">
        <v>11</v>
      </c>
    </row>
    <row r="2" spans="1:19" x14ac:dyDescent="0.45">
      <c r="C2" s="20" t="s">
        <v>12</v>
      </c>
      <c r="E2" s="20" t="s">
        <v>13</v>
      </c>
    </row>
    <row r="3" spans="1:19" ht="14.65" thickBot="1" x14ac:dyDescent="0.5"/>
    <row r="4" spans="1:19" ht="30.75" customHeight="1" x14ac:dyDescent="0.45">
      <c r="C4" s="6" t="s">
        <v>30</v>
      </c>
      <c r="D4" s="7" t="s">
        <v>15</v>
      </c>
      <c r="E4" s="7" t="s">
        <v>31</v>
      </c>
      <c r="F4" s="7" t="s">
        <v>35</v>
      </c>
      <c r="G4" s="7" t="s">
        <v>34</v>
      </c>
      <c r="H4" s="8" t="s">
        <v>27</v>
      </c>
      <c r="J4" s="4"/>
    </row>
    <row r="5" spans="1:19" ht="30.75" customHeight="1" thickBot="1" x14ac:dyDescent="0.5">
      <c r="C5" s="11" t="s">
        <v>14</v>
      </c>
      <c r="D5" s="9" t="s">
        <v>32</v>
      </c>
      <c r="E5" s="9" t="s">
        <v>33</v>
      </c>
      <c r="F5" s="9" t="s">
        <v>37</v>
      </c>
      <c r="G5" s="9" t="s">
        <v>38</v>
      </c>
      <c r="H5" s="10" t="s">
        <v>36</v>
      </c>
      <c r="J5" s="4"/>
    </row>
    <row r="6" spans="1:19" ht="30.75" customHeight="1" thickBot="1" x14ac:dyDescent="0.5"/>
    <row r="7" spans="1:19" x14ac:dyDescent="0.45">
      <c r="C7" s="36" t="s">
        <v>26</v>
      </c>
      <c r="D7" s="21">
        <v>90</v>
      </c>
      <c r="F7" s="12" t="s">
        <v>16</v>
      </c>
      <c r="G7" s="13" t="s">
        <v>17</v>
      </c>
      <c r="H7" s="14" t="s">
        <v>44</v>
      </c>
    </row>
    <row r="8" spans="1:19" x14ac:dyDescent="0.45">
      <c r="C8" s="23" t="s">
        <v>47</v>
      </c>
      <c r="D8" s="22">
        <v>5</v>
      </c>
      <c r="F8" s="15" t="s">
        <v>18</v>
      </c>
      <c r="G8" s="5" t="s">
        <v>22</v>
      </c>
      <c r="H8" s="16" t="s">
        <v>19</v>
      </c>
    </row>
    <row r="9" spans="1:19" ht="14.65" thickBot="1" x14ac:dyDescent="0.5">
      <c r="C9" s="23" t="s">
        <v>28</v>
      </c>
      <c r="D9" s="22">
        <v>110</v>
      </c>
      <c r="F9" s="17" t="s">
        <v>20</v>
      </c>
      <c r="G9" s="18" t="s">
        <v>21</v>
      </c>
      <c r="H9" s="19" t="s">
        <v>23</v>
      </c>
    </row>
    <row r="10" spans="1:19" x14ac:dyDescent="0.45">
      <c r="C10" s="23" t="s">
        <v>27</v>
      </c>
      <c r="D10" s="24">
        <f>D7+D8</f>
        <v>95</v>
      </c>
    </row>
    <row r="11" spans="1:19" ht="14.65" thickBot="1" x14ac:dyDescent="0.5">
      <c r="C11" s="25" t="s">
        <v>29</v>
      </c>
      <c r="D11" s="26">
        <f>IF(D9&lt;$D$7,-$D$8,(D9-$D$7)-$D$8)</f>
        <v>15</v>
      </c>
    </row>
    <row r="16" spans="1:19" x14ac:dyDescent="0.45">
      <c r="S16" s="1" t="s">
        <v>25</v>
      </c>
    </row>
    <row r="17" spans="19:21" ht="14.65" thickBot="1" x14ac:dyDescent="0.5">
      <c r="S17" s="37">
        <f>ROUND((D7-(0.3*D7)),0)</f>
        <v>63</v>
      </c>
      <c r="U17" s="26">
        <f t="shared" ref="U17:U80" si="0">IF(S17&lt;$D$7,-$D$8,(S17-$D$7)-$D$8)</f>
        <v>-5</v>
      </c>
    </row>
    <row r="18" spans="19:21" ht="14.65" thickBot="1" x14ac:dyDescent="0.5">
      <c r="S18" s="37">
        <f>S17*(1.01)</f>
        <v>63.63</v>
      </c>
      <c r="U18" s="26">
        <f t="shared" si="0"/>
        <v>-5</v>
      </c>
    </row>
    <row r="19" spans="19:21" ht="14.65" thickBot="1" x14ac:dyDescent="0.5">
      <c r="S19" s="37">
        <f t="shared" ref="S19:S82" si="1">S18*(1.01)</f>
        <v>64.266300000000001</v>
      </c>
      <c r="U19" s="26">
        <f t="shared" si="0"/>
        <v>-5</v>
      </c>
    </row>
    <row r="20" spans="19:21" ht="14.65" thickBot="1" x14ac:dyDescent="0.5">
      <c r="S20" s="37">
        <f t="shared" si="1"/>
        <v>64.908963</v>
      </c>
      <c r="U20" s="26">
        <f t="shared" si="0"/>
        <v>-5</v>
      </c>
    </row>
    <row r="21" spans="19:21" ht="14.65" thickBot="1" x14ac:dyDescent="0.5">
      <c r="S21" s="37">
        <f t="shared" si="1"/>
        <v>65.558052630000006</v>
      </c>
      <c r="U21" s="26">
        <f t="shared" si="0"/>
        <v>-5</v>
      </c>
    </row>
    <row r="22" spans="19:21" ht="14.65" thickBot="1" x14ac:dyDescent="0.5">
      <c r="S22" s="37">
        <f t="shared" si="1"/>
        <v>66.213633156300006</v>
      </c>
      <c r="U22" s="26">
        <f t="shared" si="0"/>
        <v>-5</v>
      </c>
    </row>
    <row r="23" spans="19:21" ht="14.65" thickBot="1" x14ac:dyDescent="0.5">
      <c r="S23" s="37">
        <f t="shared" si="1"/>
        <v>66.87576948786301</v>
      </c>
      <c r="U23" s="26">
        <f t="shared" si="0"/>
        <v>-5</v>
      </c>
    </row>
    <row r="24" spans="19:21" ht="14.65" thickBot="1" x14ac:dyDescent="0.5">
      <c r="S24" s="37">
        <f t="shared" si="1"/>
        <v>67.544527182741646</v>
      </c>
      <c r="U24" s="26">
        <f t="shared" si="0"/>
        <v>-5</v>
      </c>
    </row>
    <row r="25" spans="19:21" ht="14.65" thickBot="1" x14ac:dyDescent="0.5">
      <c r="S25" s="37">
        <f>S24*(1.01)</f>
        <v>68.21997245456906</v>
      </c>
      <c r="U25" s="26">
        <f t="shared" si="0"/>
        <v>-5</v>
      </c>
    </row>
    <row r="26" spans="19:21" ht="14.65" thickBot="1" x14ac:dyDescent="0.5">
      <c r="S26" s="37">
        <f t="shared" si="1"/>
        <v>68.902172179114757</v>
      </c>
      <c r="U26" s="26">
        <f t="shared" si="0"/>
        <v>-5</v>
      </c>
    </row>
    <row r="27" spans="19:21" ht="14.65" thickBot="1" x14ac:dyDescent="0.5">
      <c r="S27" s="37">
        <f t="shared" si="1"/>
        <v>69.591193900905907</v>
      </c>
      <c r="U27" s="26">
        <f t="shared" si="0"/>
        <v>-5</v>
      </c>
    </row>
    <row r="28" spans="19:21" ht="14.65" thickBot="1" x14ac:dyDescent="0.5">
      <c r="S28" s="37">
        <f t="shared" si="1"/>
        <v>70.287105839914972</v>
      </c>
      <c r="U28" s="26">
        <f t="shared" si="0"/>
        <v>-5</v>
      </c>
    </row>
    <row r="29" spans="19:21" ht="14.65" thickBot="1" x14ac:dyDescent="0.5">
      <c r="S29" s="37">
        <f t="shared" si="1"/>
        <v>70.989976898314126</v>
      </c>
      <c r="U29" s="26">
        <f t="shared" si="0"/>
        <v>-5</v>
      </c>
    </row>
    <row r="30" spans="19:21" ht="14.65" thickBot="1" x14ac:dyDescent="0.5">
      <c r="S30" s="37">
        <f t="shared" si="1"/>
        <v>71.699876667297261</v>
      </c>
      <c r="U30" s="26">
        <f t="shared" si="0"/>
        <v>-5</v>
      </c>
    </row>
    <row r="31" spans="19:21" ht="14.65" thickBot="1" x14ac:dyDescent="0.5">
      <c r="S31" s="37">
        <f>S30*(1.01)</f>
        <v>72.416875433970233</v>
      </c>
      <c r="U31" s="26">
        <f t="shared" si="0"/>
        <v>-5</v>
      </c>
    </row>
    <row r="32" spans="19:21" ht="14.65" thickBot="1" x14ac:dyDescent="0.5">
      <c r="S32" s="37">
        <f t="shared" si="1"/>
        <v>73.141044188309934</v>
      </c>
      <c r="U32" s="26">
        <f t="shared" si="0"/>
        <v>-5</v>
      </c>
    </row>
    <row r="33" spans="19:21" ht="14.65" thickBot="1" x14ac:dyDescent="0.5">
      <c r="S33" s="37">
        <f t="shared" si="1"/>
        <v>73.872454630193033</v>
      </c>
      <c r="U33" s="26">
        <f t="shared" si="0"/>
        <v>-5</v>
      </c>
    </row>
    <row r="34" spans="19:21" ht="14.65" thickBot="1" x14ac:dyDescent="0.5">
      <c r="S34" s="37">
        <f t="shared" si="1"/>
        <v>74.611179176494957</v>
      </c>
      <c r="U34" s="26">
        <f t="shared" si="0"/>
        <v>-5</v>
      </c>
    </row>
    <row r="35" spans="19:21" ht="14.65" thickBot="1" x14ac:dyDescent="0.5">
      <c r="S35" s="37">
        <f t="shared" si="1"/>
        <v>75.357290968259903</v>
      </c>
      <c r="U35" s="26">
        <f t="shared" si="0"/>
        <v>-5</v>
      </c>
    </row>
    <row r="36" spans="19:21" ht="14.65" thickBot="1" x14ac:dyDescent="0.5">
      <c r="S36" s="37">
        <f t="shared" si="1"/>
        <v>76.110863877942506</v>
      </c>
      <c r="U36" s="26">
        <f t="shared" si="0"/>
        <v>-5</v>
      </c>
    </row>
    <row r="37" spans="19:21" ht="14.65" thickBot="1" x14ac:dyDescent="0.5">
      <c r="S37" s="37">
        <f t="shared" si="1"/>
        <v>76.871972516721925</v>
      </c>
      <c r="U37" s="26">
        <f t="shared" si="0"/>
        <v>-5</v>
      </c>
    </row>
    <row r="38" spans="19:21" ht="14.65" thickBot="1" x14ac:dyDescent="0.5">
      <c r="S38" s="37">
        <f t="shared" si="1"/>
        <v>77.640692241889141</v>
      </c>
      <c r="U38" s="26">
        <f t="shared" si="0"/>
        <v>-5</v>
      </c>
    </row>
    <row r="39" spans="19:21" ht="14.65" thickBot="1" x14ac:dyDescent="0.5">
      <c r="S39" s="37">
        <f t="shared" si="1"/>
        <v>78.417099164308027</v>
      </c>
      <c r="U39" s="26">
        <f t="shared" si="0"/>
        <v>-5</v>
      </c>
    </row>
    <row r="40" spans="19:21" ht="14.65" thickBot="1" x14ac:dyDescent="0.5">
      <c r="S40" s="37">
        <f t="shared" si="1"/>
        <v>79.201270155951107</v>
      </c>
      <c r="U40" s="26">
        <f t="shared" si="0"/>
        <v>-5</v>
      </c>
    </row>
    <row r="41" spans="19:21" ht="14.65" thickBot="1" x14ac:dyDescent="0.5">
      <c r="S41" s="37">
        <f t="shared" si="1"/>
        <v>79.993282857510621</v>
      </c>
      <c r="U41" s="26">
        <f t="shared" si="0"/>
        <v>-5</v>
      </c>
    </row>
    <row r="42" spans="19:21" ht="14.65" thickBot="1" x14ac:dyDescent="0.5">
      <c r="S42" s="37">
        <f t="shared" si="1"/>
        <v>80.79321568608573</v>
      </c>
      <c r="U42" s="26">
        <f t="shared" si="0"/>
        <v>-5</v>
      </c>
    </row>
    <row r="43" spans="19:21" ht="14.65" thickBot="1" x14ac:dyDescent="0.5">
      <c r="S43" s="37">
        <f t="shared" si="1"/>
        <v>81.601147842946588</v>
      </c>
      <c r="U43" s="26">
        <f t="shared" si="0"/>
        <v>-5</v>
      </c>
    </row>
    <row r="44" spans="19:21" ht="14.65" thickBot="1" x14ac:dyDescent="0.5">
      <c r="S44" s="37">
        <f t="shared" si="1"/>
        <v>82.417159321376062</v>
      </c>
      <c r="U44" s="26">
        <f t="shared" si="0"/>
        <v>-5</v>
      </c>
    </row>
    <row r="45" spans="19:21" ht="14.65" thickBot="1" x14ac:dyDescent="0.5">
      <c r="S45" s="37">
        <f t="shared" si="1"/>
        <v>83.241330914589824</v>
      </c>
      <c r="U45" s="26">
        <f t="shared" si="0"/>
        <v>-5</v>
      </c>
    </row>
    <row r="46" spans="19:21" ht="14.65" thickBot="1" x14ac:dyDescent="0.5">
      <c r="S46" s="37">
        <f t="shared" si="1"/>
        <v>84.07374422373573</v>
      </c>
      <c r="U46" s="26">
        <f t="shared" si="0"/>
        <v>-5</v>
      </c>
    </row>
    <row r="47" spans="19:21" ht="14.65" thickBot="1" x14ac:dyDescent="0.5">
      <c r="S47" s="37">
        <f t="shared" si="1"/>
        <v>84.914481665973085</v>
      </c>
      <c r="U47" s="26">
        <f t="shared" si="0"/>
        <v>-5</v>
      </c>
    </row>
    <row r="48" spans="19:21" ht="14.65" thickBot="1" x14ac:dyDescent="0.5">
      <c r="S48" s="37">
        <f t="shared" si="1"/>
        <v>85.763626482632816</v>
      </c>
      <c r="U48" s="26">
        <f t="shared" si="0"/>
        <v>-5</v>
      </c>
    </row>
    <row r="49" spans="19:21" ht="14.65" thickBot="1" x14ac:dyDescent="0.5">
      <c r="S49" s="37">
        <f t="shared" si="1"/>
        <v>86.621262747459141</v>
      </c>
      <c r="U49" s="26">
        <f t="shared" si="0"/>
        <v>-5</v>
      </c>
    </row>
    <row r="50" spans="19:21" ht="14.65" thickBot="1" x14ac:dyDescent="0.5">
      <c r="S50" s="37">
        <f t="shared" si="1"/>
        <v>87.487475374933737</v>
      </c>
      <c r="U50" s="26">
        <f t="shared" si="0"/>
        <v>-5</v>
      </c>
    </row>
    <row r="51" spans="19:21" ht="14.65" thickBot="1" x14ac:dyDescent="0.5">
      <c r="S51" s="37">
        <f t="shared" si="1"/>
        <v>88.362350128683076</v>
      </c>
      <c r="U51" s="26">
        <f t="shared" si="0"/>
        <v>-5</v>
      </c>
    </row>
    <row r="52" spans="19:21" ht="14.65" thickBot="1" x14ac:dyDescent="0.5">
      <c r="S52" s="37">
        <f t="shared" si="1"/>
        <v>89.24597362996991</v>
      </c>
      <c r="U52" s="26">
        <f t="shared" si="0"/>
        <v>-5</v>
      </c>
    </row>
    <row r="53" spans="19:21" ht="14.65" thickBot="1" x14ac:dyDescent="0.5">
      <c r="S53" s="37">
        <f t="shared" si="1"/>
        <v>90.138433366269609</v>
      </c>
      <c r="U53" s="26">
        <f t="shared" si="0"/>
        <v>-4.8615666337303907</v>
      </c>
    </row>
    <row r="54" spans="19:21" ht="14.65" thickBot="1" x14ac:dyDescent="0.5">
      <c r="S54" s="37">
        <f t="shared" si="1"/>
        <v>91.0398176999323</v>
      </c>
      <c r="U54" s="26">
        <f t="shared" si="0"/>
        <v>-3.9601823000677001</v>
      </c>
    </row>
    <row r="55" spans="19:21" ht="14.65" thickBot="1" x14ac:dyDescent="0.5">
      <c r="S55" s="37">
        <f t="shared" si="1"/>
        <v>91.950215876931622</v>
      </c>
      <c r="U55" s="26">
        <f t="shared" si="0"/>
        <v>-3.0497841230683775</v>
      </c>
    </row>
    <row r="56" spans="19:21" ht="14.65" thickBot="1" x14ac:dyDescent="0.5">
      <c r="S56" s="37">
        <f t="shared" si="1"/>
        <v>92.869718035700942</v>
      </c>
      <c r="U56" s="26">
        <f t="shared" si="0"/>
        <v>-2.1302819642990585</v>
      </c>
    </row>
    <row r="57" spans="19:21" ht="14.65" thickBot="1" x14ac:dyDescent="0.5">
      <c r="S57" s="37">
        <f t="shared" si="1"/>
        <v>93.798415216057947</v>
      </c>
      <c r="U57" s="26">
        <f t="shared" si="0"/>
        <v>-1.201584783942053</v>
      </c>
    </row>
    <row r="58" spans="19:21" ht="14.65" thickBot="1" x14ac:dyDescent="0.5">
      <c r="S58" s="37">
        <f t="shared" si="1"/>
        <v>94.736399368218528</v>
      </c>
      <c r="U58" s="26">
        <f t="shared" si="0"/>
        <v>-0.26360063178147186</v>
      </c>
    </row>
    <row r="59" spans="19:21" ht="14.65" thickBot="1" x14ac:dyDescent="0.5">
      <c r="S59" s="37">
        <f t="shared" si="1"/>
        <v>95.683763361900716</v>
      </c>
      <c r="U59" s="26">
        <f t="shared" si="0"/>
        <v>0.6837633619007164</v>
      </c>
    </row>
    <row r="60" spans="19:21" ht="14.65" thickBot="1" x14ac:dyDescent="0.5">
      <c r="S60" s="37">
        <f t="shared" si="1"/>
        <v>96.640600995519719</v>
      </c>
      <c r="U60" s="26">
        <f t="shared" si="0"/>
        <v>1.6406009955197192</v>
      </c>
    </row>
    <row r="61" spans="19:21" ht="14.65" thickBot="1" x14ac:dyDescent="0.5">
      <c r="S61" s="37">
        <f t="shared" si="1"/>
        <v>97.607007005474912</v>
      </c>
      <c r="U61" s="26">
        <f t="shared" si="0"/>
        <v>2.6070070054749124</v>
      </c>
    </row>
    <row r="62" spans="19:21" ht="14.65" thickBot="1" x14ac:dyDescent="0.5">
      <c r="S62" s="37">
        <f t="shared" si="1"/>
        <v>98.583077075529658</v>
      </c>
      <c r="U62" s="26">
        <f t="shared" si="0"/>
        <v>3.5830770755296584</v>
      </c>
    </row>
    <row r="63" spans="19:21" ht="14.65" thickBot="1" x14ac:dyDescent="0.5">
      <c r="S63" s="37">
        <f t="shared" si="1"/>
        <v>99.568907846284958</v>
      </c>
      <c r="U63" s="26">
        <f t="shared" si="0"/>
        <v>4.5689078462849579</v>
      </c>
    </row>
    <row r="64" spans="19:21" ht="14.65" thickBot="1" x14ac:dyDescent="0.5">
      <c r="S64" s="37">
        <f t="shared" si="1"/>
        <v>100.5645969247478</v>
      </c>
      <c r="U64" s="26">
        <f t="shared" si="0"/>
        <v>5.5645969247478035</v>
      </c>
    </row>
    <row r="65" spans="19:21" ht="14.65" thickBot="1" x14ac:dyDescent="0.5">
      <c r="S65" s="37">
        <f t="shared" si="1"/>
        <v>101.57024289399529</v>
      </c>
      <c r="U65" s="26">
        <f t="shared" si="0"/>
        <v>6.5702428939952853</v>
      </c>
    </row>
    <row r="66" spans="19:21" ht="14.65" thickBot="1" x14ac:dyDescent="0.5">
      <c r="S66" s="37">
        <f t="shared" si="1"/>
        <v>102.58594532293525</v>
      </c>
      <c r="U66" s="26">
        <f t="shared" si="0"/>
        <v>7.5859453229352454</v>
      </c>
    </row>
    <row r="67" spans="19:21" ht="14.65" thickBot="1" x14ac:dyDescent="0.5">
      <c r="S67" s="37">
        <f t="shared" si="1"/>
        <v>103.6118047761646</v>
      </c>
      <c r="U67" s="26">
        <f t="shared" si="0"/>
        <v>8.6118047761646039</v>
      </c>
    </row>
    <row r="68" spans="19:21" ht="14.65" thickBot="1" x14ac:dyDescent="0.5">
      <c r="S68" s="37">
        <f t="shared" si="1"/>
        <v>104.64792282392625</v>
      </c>
      <c r="U68" s="26">
        <f t="shared" si="0"/>
        <v>9.6479228239262511</v>
      </c>
    </row>
    <row r="69" spans="19:21" ht="14.65" thickBot="1" x14ac:dyDescent="0.5">
      <c r="S69" s="37">
        <f t="shared" si="1"/>
        <v>105.69440205216551</v>
      </c>
      <c r="U69" s="26">
        <f t="shared" si="0"/>
        <v>10.694402052165515</v>
      </c>
    </row>
    <row r="70" spans="19:21" ht="14.65" thickBot="1" x14ac:dyDescent="0.5">
      <c r="S70" s="37">
        <f t="shared" si="1"/>
        <v>106.75134607268717</v>
      </c>
      <c r="U70" s="26">
        <f t="shared" si="0"/>
        <v>11.75134607268717</v>
      </c>
    </row>
    <row r="71" spans="19:21" ht="14.65" thickBot="1" x14ac:dyDescent="0.5">
      <c r="S71" s="37">
        <f t="shared" si="1"/>
        <v>107.81885953341404</v>
      </c>
      <c r="U71" s="26">
        <f t="shared" si="0"/>
        <v>12.818859533414042</v>
      </c>
    </row>
    <row r="72" spans="19:21" ht="14.65" thickBot="1" x14ac:dyDescent="0.5">
      <c r="S72" s="37">
        <f t="shared" si="1"/>
        <v>108.89704812874818</v>
      </c>
      <c r="U72" s="26">
        <f t="shared" si="0"/>
        <v>13.897048128748182</v>
      </c>
    </row>
    <row r="73" spans="19:21" ht="14.65" thickBot="1" x14ac:dyDescent="0.5">
      <c r="S73" s="37">
        <f t="shared" si="1"/>
        <v>109.98601861003567</v>
      </c>
      <c r="U73" s="26">
        <f t="shared" si="0"/>
        <v>14.986018610035671</v>
      </c>
    </row>
    <row r="74" spans="19:21" ht="14.65" thickBot="1" x14ac:dyDescent="0.5">
      <c r="S74" s="37">
        <f t="shared" si="1"/>
        <v>111.08587879613603</v>
      </c>
      <c r="U74" s="26">
        <f t="shared" si="0"/>
        <v>16.085878796136029</v>
      </c>
    </row>
    <row r="75" spans="19:21" ht="14.65" thickBot="1" x14ac:dyDescent="0.5">
      <c r="S75" s="37">
        <f t="shared" si="1"/>
        <v>112.19673758409739</v>
      </c>
      <c r="U75" s="26">
        <f t="shared" si="0"/>
        <v>17.196737584097392</v>
      </c>
    </row>
    <row r="76" spans="19:21" ht="14.65" thickBot="1" x14ac:dyDescent="0.5">
      <c r="S76" s="37">
        <f t="shared" si="1"/>
        <v>113.31870495993837</v>
      </c>
      <c r="U76" s="26">
        <f t="shared" si="0"/>
        <v>18.318704959938373</v>
      </c>
    </row>
    <row r="77" spans="19:21" ht="14.65" thickBot="1" x14ac:dyDescent="0.5">
      <c r="S77" s="37">
        <f t="shared" si="1"/>
        <v>114.45189200953776</v>
      </c>
      <c r="U77" s="26">
        <f t="shared" si="0"/>
        <v>19.451892009537758</v>
      </c>
    </row>
    <row r="78" spans="19:21" ht="14.65" thickBot="1" x14ac:dyDescent="0.5">
      <c r="S78" s="37">
        <f t="shared" si="1"/>
        <v>115.59641092963314</v>
      </c>
      <c r="U78" s="26">
        <f t="shared" si="0"/>
        <v>20.596410929633137</v>
      </c>
    </row>
    <row r="79" spans="19:21" ht="14.65" thickBot="1" x14ac:dyDescent="0.5">
      <c r="S79" s="37">
        <f t="shared" si="1"/>
        <v>116.75237503892947</v>
      </c>
      <c r="U79" s="26">
        <f t="shared" si="0"/>
        <v>21.752375038929472</v>
      </c>
    </row>
    <row r="80" spans="19:21" ht="14.65" thickBot="1" x14ac:dyDescent="0.5">
      <c r="S80" s="37">
        <f t="shared" si="1"/>
        <v>117.91989878931876</v>
      </c>
      <c r="U80" s="26">
        <f t="shared" si="0"/>
        <v>22.919898789318765</v>
      </c>
    </row>
    <row r="81" spans="19:21" ht="14.65" thickBot="1" x14ac:dyDescent="0.5">
      <c r="S81" s="37">
        <f t="shared" si="1"/>
        <v>119.09909777721195</v>
      </c>
      <c r="U81" s="26">
        <f t="shared" ref="U81:U144" si="2">IF(S81&lt;$D$7,-$D$8,(S81-$D$7)-$D$8)</f>
        <v>24.099097777211952</v>
      </c>
    </row>
    <row r="82" spans="19:21" ht="14.65" thickBot="1" x14ac:dyDescent="0.5">
      <c r="S82" s="37">
        <f t="shared" si="1"/>
        <v>120.29008875498407</v>
      </c>
      <c r="U82" s="26">
        <f t="shared" si="2"/>
        <v>25.290088754984069</v>
      </c>
    </row>
    <row r="83" spans="19:21" ht="14.65" thickBot="1" x14ac:dyDescent="0.5">
      <c r="S83" s="37">
        <f t="shared" ref="S83:S146" si="3">S82*(1.01)</f>
        <v>121.49298964253391</v>
      </c>
      <c r="U83" s="26">
        <f t="shared" si="2"/>
        <v>26.492989642533914</v>
      </c>
    </row>
    <row r="84" spans="19:21" ht="14.65" thickBot="1" x14ac:dyDescent="0.5">
      <c r="S84" s="37">
        <f t="shared" si="3"/>
        <v>122.70791953895926</v>
      </c>
      <c r="U84" s="26">
        <f t="shared" si="2"/>
        <v>27.70791953895926</v>
      </c>
    </row>
    <row r="85" spans="19:21" ht="14.65" thickBot="1" x14ac:dyDescent="0.5">
      <c r="S85" s="37">
        <f t="shared" si="3"/>
        <v>123.93499873434885</v>
      </c>
      <c r="U85" s="26">
        <f t="shared" si="2"/>
        <v>28.934998734348852</v>
      </c>
    </row>
    <row r="86" spans="19:21" ht="14.65" thickBot="1" x14ac:dyDescent="0.5">
      <c r="S86" s="37">
        <f t="shared" si="3"/>
        <v>125.17434872169234</v>
      </c>
      <c r="U86" s="26">
        <f t="shared" si="2"/>
        <v>30.17434872169234</v>
      </c>
    </row>
    <row r="87" spans="19:21" ht="14.65" thickBot="1" x14ac:dyDescent="0.5">
      <c r="S87" s="37">
        <f t="shared" si="3"/>
        <v>126.42609220890927</v>
      </c>
      <c r="U87" s="26">
        <f t="shared" si="2"/>
        <v>31.426092208909267</v>
      </c>
    </row>
    <row r="88" spans="19:21" ht="14.65" thickBot="1" x14ac:dyDescent="0.5">
      <c r="S88" s="37">
        <f t="shared" si="3"/>
        <v>127.69035313099836</v>
      </c>
      <c r="U88" s="26">
        <f t="shared" si="2"/>
        <v>32.690353130998361</v>
      </c>
    </row>
    <row r="89" spans="19:21" ht="14.65" thickBot="1" x14ac:dyDescent="0.5">
      <c r="S89" s="37">
        <f t="shared" si="3"/>
        <v>128.96725666230836</v>
      </c>
      <c r="U89" s="26">
        <f t="shared" si="2"/>
        <v>33.967256662308358</v>
      </c>
    </row>
    <row r="90" spans="19:21" ht="14.65" thickBot="1" x14ac:dyDescent="0.5">
      <c r="S90" s="37">
        <f t="shared" si="3"/>
        <v>130.25692922893145</v>
      </c>
      <c r="U90" s="26">
        <f t="shared" si="2"/>
        <v>35.256929228931455</v>
      </c>
    </row>
    <row r="91" spans="19:21" ht="14.65" thickBot="1" x14ac:dyDescent="0.5">
      <c r="S91" s="37">
        <f t="shared" si="3"/>
        <v>131.55949852122077</v>
      </c>
      <c r="U91" s="26">
        <f t="shared" si="2"/>
        <v>36.559498521220775</v>
      </c>
    </row>
    <row r="92" spans="19:21" ht="14.65" thickBot="1" x14ac:dyDescent="0.5">
      <c r="S92" s="37">
        <f t="shared" si="3"/>
        <v>132.87509350643299</v>
      </c>
      <c r="U92" s="26">
        <f t="shared" si="2"/>
        <v>37.875093506432989</v>
      </c>
    </row>
    <row r="93" spans="19:21" ht="14.65" thickBot="1" x14ac:dyDescent="0.5">
      <c r="S93" s="37">
        <f t="shared" si="3"/>
        <v>134.20384444149732</v>
      </c>
      <c r="U93" s="26">
        <f t="shared" si="2"/>
        <v>39.203844441497324</v>
      </c>
    </row>
    <row r="94" spans="19:21" ht="14.65" thickBot="1" x14ac:dyDescent="0.5">
      <c r="S94" s="37">
        <f t="shared" si="3"/>
        <v>135.54588288591231</v>
      </c>
      <c r="U94" s="26">
        <f t="shared" si="2"/>
        <v>40.545882885912306</v>
      </c>
    </row>
    <row r="95" spans="19:21" ht="14.65" thickBot="1" x14ac:dyDescent="0.5">
      <c r="S95" s="37">
        <f t="shared" si="3"/>
        <v>136.90134171477143</v>
      </c>
      <c r="U95" s="26">
        <f t="shared" si="2"/>
        <v>41.901341714771434</v>
      </c>
    </row>
    <row r="96" spans="19:21" ht="14.65" thickBot="1" x14ac:dyDescent="0.5">
      <c r="S96" s="37">
        <f t="shared" si="3"/>
        <v>138.27035513191916</v>
      </c>
      <c r="U96" s="26">
        <f t="shared" si="2"/>
        <v>43.27035513191916</v>
      </c>
    </row>
    <row r="97" spans="19:21" ht="14.65" thickBot="1" x14ac:dyDescent="0.5">
      <c r="S97" s="37">
        <f t="shared" si="3"/>
        <v>139.65305868323836</v>
      </c>
      <c r="U97" s="26">
        <f t="shared" si="2"/>
        <v>44.653058683238356</v>
      </c>
    </row>
    <row r="98" spans="19:21" ht="14.65" thickBot="1" x14ac:dyDescent="0.5">
      <c r="S98" s="37">
        <f t="shared" si="3"/>
        <v>141.04958927007075</v>
      </c>
      <c r="U98" s="26">
        <f t="shared" si="2"/>
        <v>46.049589270070754</v>
      </c>
    </row>
    <row r="99" spans="19:21" ht="14.65" thickBot="1" x14ac:dyDescent="0.5">
      <c r="S99" s="37">
        <f t="shared" si="3"/>
        <v>142.46008516277146</v>
      </c>
      <c r="U99" s="26">
        <f t="shared" si="2"/>
        <v>47.460085162771463</v>
      </c>
    </row>
    <row r="100" spans="19:21" ht="14.65" thickBot="1" x14ac:dyDescent="0.5">
      <c r="S100" s="37">
        <f t="shared" si="3"/>
        <v>143.88468601439919</v>
      </c>
      <c r="U100" s="26">
        <f t="shared" si="2"/>
        <v>48.884686014399193</v>
      </c>
    </row>
    <row r="101" spans="19:21" ht="14.65" thickBot="1" x14ac:dyDescent="0.5">
      <c r="S101" s="37">
        <f t="shared" si="3"/>
        <v>145.32353287454319</v>
      </c>
      <c r="U101" s="26">
        <f t="shared" si="2"/>
        <v>50.32353287454319</v>
      </c>
    </row>
    <row r="102" spans="19:21" ht="14.65" thickBot="1" x14ac:dyDescent="0.5">
      <c r="S102" s="37">
        <f t="shared" si="3"/>
        <v>146.77676820328861</v>
      </c>
      <c r="U102" s="26">
        <f t="shared" si="2"/>
        <v>51.776768203288611</v>
      </c>
    </row>
    <row r="103" spans="19:21" ht="14.65" thickBot="1" x14ac:dyDescent="0.5">
      <c r="S103" s="37">
        <f t="shared" si="3"/>
        <v>148.24453588532151</v>
      </c>
      <c r="U103" s="26">
        <f t="shared" si="2"/>
        <v>53.244535885321511</v>
      </c>
    </row>
    <row r="104" spans="19:21" ht="14.65" thickBot="1" x14ac:dyDescent="0.5">
      <c r="S104" s="37">
        <f t="shared" si="3"/>
        <v>149.72698124417474</v>
      </c>
      <c r="U104" s="26">
        <f t="shared" si="2"/>
        <v>54.726981244174738</v>
      </c>
    </row>
    <row r="105" spans="19:21" ht="14.65" thickBot="1" x14ac:dyDescent="0.5">
      <c r="S105" s="37">
        <f t="shared" si="3"/>
        <v>151.22425105661648</v>
      </c>
      <c r="U105" s="26">
        <f t="shared" si="2"/>
        <v>56.224251056616481</v>
      </c>
    </row>
    <row r="106" spans="19:21" ht="14.65" thickBot="1" x14ac:dyDescent="0.5">
      <c r="S106" s="37">
        <f t="shared" si="3"/>
        <v>152.73649356718263</v>
      </c>
      <c r="U106" s="26">
        <f t="shared" si="2"/>
        <v>57.736493567182634</v>
      </c>
    </row>
    <row r="107" spans="19:21" ht="14.65" thickBot="1" x14ac:dyDescent="0.5">
      <c r="S107" s="37">
        <f t="shared" si="3"/>
        <v>154.26385850285448</v>
      </c>
      <c r="U107" s="26">
        <f t="shared" si="2"/>
        <v>59.263858502854475</v>
      </c>
    </row>
    <row r="108" spans="19:21" ht="14.65" thickBot="1" x14ac:dyDescent="0.5">
      <c r="S108" s="37">
        <f t="shared" si="3"/>
        <v>155.80649708788303</v>
      </c>
      <c r="U108" s="26">
        <f t="shared" si="2"/>
        <v>60.806497087883031</v>
      </c>
    </row>
    <row r="109" spans="19:21" ht="14.65" thickBot="1" x14ac:dyDescent="0.5">
      <c r="S109" s="37">
        <f t="shared" si="3"/>
        <v>157.36456205876186</v>
      </c>
      <c r="U109" s="26">
        <f t="shared" si="2"/>
        <v>62.364562058761862</v>
      </c>
    </row>
    <row r="110" spans="19:21" ht="14.65" thickBot="1" x14ac:dyDescent="0.5">
      <c r="S110" s="37">
        <f t="shared" si="3"/>
        <v>158.93820767934949</v>
      </c>
      <c r="U110" s="26">
        <f t="shared" si="2"/>
        <v>63.938207679349489</v>
      </c>
    </row>
    <row r="111" spans="19:21" ht="14.65" thickBot="1" x14ac:dyDescent="0.5">
      <c r="S111" s="37">
        <f t="shared" si="3"/>
        <v>160.52758975614299</v>
      </c>
      <c r="U111" s="26">
        <f t="shared" si="2"/>
        <v>65.527589756142987</v>
      </c>
    </row>
    <row r="112" spans="19:21" ht="14.65" thickBot="1" x14ac:dyDescent="0.5">
      <c r="S112" s="37">
        <f t="shared" si="3"/>
        <v>162.13286565370441</v>
      </c>
      <c r="U112" s="26">
        <f t="shared" si="2"/>
        <v>67.132865653704414</v>
      </c>
    </row>
    <row r="113" spans="19:21" ht="14.65" thickBot="1" x14ac:dyDescent="0.5">
      <c r="S113" s="37">
        <f t="shared" si="3"/>
        <v>163.75419431024147</v>
      </c>
      <c r="U113" s="26">
        <f t="shared" si="2"/>
        <v>68.754194310241473</v>
      </c>
    </row>
    <row r="114" spans="19:21" ht="14.65" thickBot="1" x14ac:dyDescent="0.5">
      <c r="S114" s="37">
        <f t="shared" si="3"/>
        <v>165.39173625334388</v>
      </c>
      <c r="U114" s="26">
        <f t="shared" si="2"/>
        <v>70.391736253343879</v>
      </c>
    </row>
    <row r="115" spans="19:21" ht="14.65" thickBot="1" x14ac:dyDescent="0.5">
      <c r="S115" s="37">
        <f t="shared" si="3"/>
        <v>167.04565361587731</v>
      </c>
      <c r="U115" s="26">
        <f t="shared" si="2"/>
        <v>72.045653615877313</v>
      </c>
    </row>
    <row r="116" spans="19:21" ht="14.65" thickBot="1" x14ac:dyDescent="0.5">
      <c r="S116" s="37">
        <f t="shared" si="3"/>
        <v>168.71611015203609</v>
      </c>
      <c r="U116" s="26">
        <f t="shared" si="2"/>
        <v>73.716110152036094</v>
      </c>
    </row>
    <row r="117" spans="19:21" ht="14.65" thickBot="1" x14ac:dyDescent="0.5">
      <c r="S117" s="37">
        <f t="shared" si="3"/>
        <v>170.40327125355645</v>
      </c>
      <c r="U117" s="26">
        <f t="shared" si="2"/>
        <v>75.403271253556454</v>
      </c>
    </row>
    <row r="118" spans="19:21" ht="14.65" thickBot="1" x14ac:dyDescent="0.5">
      <c r="S118" s="37">
        <f t="shared" si="3"/>
        <v>172.10730396609202</v>
      </c>
      <c r="U118" s="26">
        <f t="shared" si="2"/>
        <v>77.107303966092019</v>
      </c>
    </row>
    <row r="119" spans="19:21" ht="14.65" thickBot="1" x14ac:dyDescent="0.5">
      <c r="S119" s="37">
        <f t="shared" si="3"/>
        <v>173.82837700575294</v>
      </c>
      <c r="U119" s="26">
        <f t="shared" si="2"/>
        <v>78.828377005752941</v>
      </c>
    </row>
    <row r="120" spans="19:21" ht="14.65" thickBot="1" x14ac:dyDescent="0.5">
      <c r="S120" s="37">
        <f t="shared" si="3"/>
        <v>175.56666077581048</v>
      </c>
      <c r="U120" s="26">
        <f t="shared" si="2"/>
        <v>80.566660775810476</v>
      </c>
    </row>
    <row r="121" spans="19:21" ht="14.65" thickBot="1" x14ac:dyDescent="0.5">
      <c r="S121" s="37">
        <f t="shared" si="3"/>
        <v>177.32232738356859</v>
      </c>
      <c r="U121" s="26">
        <f t="shared" si="2"/>
        <v>82.322327383568592</v>
      </c>
    </row>
    <row r="122" spans="19:21" ht="14.65" thickBot="1" x14ac:dyDescent="0.5">
      <c r="S122" s="37">
        <f t="shared" si="3"/>
        <v>179.09555065740429</v>
      </c>
      <c r="U122" s="26">
        <f t="shared" si="2"/>
        <v>84.095550657404289</v>
      </c>
    </row>
    <row r="123" spans="19:21" ht="14.65" thickBot="1" x14ac:dyDescent="0.5">
      <c r="S123" s="37">
        <f t="shared" si="3"/>
        <v>180.88650616397834</v>
      </c>
      <c r="U123" s="26">
        <f t="shared" si="2"/>
        <v>85.886506163978339</v>
      </c>
    </row>
    <row r="124" spans="19:21" ht="14.65" thickBot="1" x14ac:dyDescent="0.5">
      <c r="S124" s="37">
        <f t="shared" si="3"/>
        <v>182.69537122561812</v>
      </c>
      <c r="U124" s="26">
        <f t="shared" si="2"/>
        <v>87.695371225618118</v>
      </c>
    </row>
    <row r="125" spans="19:21" ht="14.65" thickBot="1" x14ac:dyDescent="0.5">
      <c r="S125" s="37">
        <f t="shared" si="3"/>
        <v>184.52232493787429</v>
      </c>
      <c r="U125" s="26">
        <f t="shared" si="2"/>
        <v>89.522324937874288</v>
      </c>
    </row>
    <row r="126" spans="19:21" ht="14.65" thickBot="1" x14ac:dyDescent="0.5">
      <c r="S126" s="37">
        <f t="shared" si="3"/>
        <v>186.36754818725302</v>
      </c>
      <c r="U126" s="26">
        <f t="shared" si="2"/>
        <v>91.367548187253021</v>
      </c>
    </row>
    <row r="127" spans="19:21" ht="14.65" thickBot="1" x14ac:dyDescent="0.5">
      <c r="S127" s="37">
        <f t="shared" si="3"/>
        <v>188.23122366912554</v>
      </c>
      <c r="U127" s="26">
        <f t="shared" si="2"/>
        <v>93.231223669125541</v>
      </c>
    </row>
    <row r="128" spans="19:21" ht="14.65" thickBot="1" x14ac:dyDescent="0.5">
      <c r="S128" s="37">
        <f t="shared" si="3"/>
        <v>190.1135359058168</v>
      </c>
      <c r="U128" s="26">
        <f t="shared" si="2"/>
        <v>95.113535905816804</v>
      </c>
    </row>
    <row r="129" spans="19:21" ht="14.65" thickBot="1" x14ac:dyDescent="0.5">
      <c r="S129" s="37">
        <f t="shared" si="3"/>
        <v>192.01467126487498</v>
      </c>
      <c r="U129" s="26">
        <f t="shared" si="2"/>
        <v>97.014671264874977</v>
      </c>
    </row>
    <row r="130" spans="19:21" ht="14.65" thickBot="1" x14ac:dyDescent="0.5">
      <c r="S130" s="37">
        <f t="shared" si="3"/>
        <v>193.93481797752372</v>
      </c>
      <c r="U130" s="26">
        <f t="shared" si="2"/>
        <v>98.934817977523721</v>
      </c>
    </row>
    <row r="131" spans="19:21" ht="14.65" thickBot="1" x14ac:dyDescent="0.5">
      <c r="S131" s="37">
        <f t="shared" si="3"/>
        <v>195.87416615729896</v>
      </c>
      <c r="U131" s="26">
        <f t="shared" si="2"/>
        <v>100.87416615729896</v>
      </c>
    </row>
    <row r="132" spans="19:21" ht="14.65" thickBot="1" x14ac:dyDescent="0.5">
      <c r="S132" s="37">
        <f t="shared" si="3"/>
        <v>197.83290781887194</v>
      </c>
      <c r="U132" s="26">
        <f t="shared" si="2"/>
        <v>102.83290781887194</v>
      </c>
    </row>
    <row r="133" spans="19:21" ht="14.65" thickBot="1" x14ac:dyDescent="0.5">
      <c r="S133" s="37">
        <f t="shared" si="3"/>
        <v>199.81123689706067</v>
      </c>
      <c r="U133" s="26">
        <f t="shared" si="2"/>
        <v>104.81123689706067</v>
      </c>
    </row>
    <row r="134" spans="19:21" ht="14.65" thickBot="1" x14ac:dyDescent="0.5">
      <c r="S134" s="37">
        <f t="shared" si="3"/>
        <v>201.80934926603126</v>
      </c>
      <c r="U134" s="26">
        <f t="shared" si="2"/>
        <v>106.80934926603126</v>
      </c>
    </row>
    <row r="135" spans="19:21" ht="14.65" thickBot="1" x14ac:dyDescent="0.5">
      <c r="S135" s="37">
        <f t="shared" si="3"/>
        <v>203.82744275869157</v>
      </c>
      <c r="U135" s="26">
        <f t="shared" si="2"/>
        <v>108.82744275869157</v>
      </c>
    </row>
    <row r="136" spans="19:21" ht="14.65" thickBot="1" x14ac:dyDescent="0.5">
      <c r="S136" s="37">
        <f t="shared" si="3"/>
        <v>205.86571718627849</v>
      </c>
      <c r="U136" s="26">
        <f t="shared" si="2"/>
        <v>110.86571718627849</v>
      </c>
    </row>
    <row r="137" spans="19:21" ht="14.65" thickBot="1" x14ac:dyDescent="0.5">
      <c r="S137" s="37">
        <f t="shared" si="3"/>
        <v>207.92437435814128</v>
      </c>
      <c r="U137" s="26">
        <f t="shared" si="2"/>
        <v>112.92437435814128</v>
      </c>
    </row>
    <row r="138" spans="19:21" ht="14.65" thickBot="1" x14ac:dyDescent="0.5">
      <c r="S138" s="37">
        <f t="shared" si="3"/>
        <v>210.00361810172268</v>
      </c>
      <c r="U138" s="26">
        <f t="shared" si="2"/>
        <v>115.00361810172268</v>
      </c>
    </row>
    <row r="139" spans="19:21" ht="14.65" thickBot="1" x14ac:dyDescent="0.5">
      <c r="S139" s="37">
        <f t="shared" si="3"/>
        <v>212.10365428273991</v>
      </c>
      <c r="U139" s="26">
        <f t="shared" si="2"/>
        <v>117.10365428273991</v>
      </c>
    </row>
    <row r="140" spans="19:21" ht="14.65" thickBot="1" x14ac:dyDescent="0.5">
      <c r="S140" s="37">
        <f t="shared" si="3"/>
        <v>214.22469082556731</v>
      </c>
      <c r="U140" s="26">
        <f t="shared" si="2"/>
        <v>119.22469082556731</v>
      </c>
    </row>
    <row r="141" spans="19:21" ht="14.65" thickBot="1" x14ac:dyDescent="0.5">
      <c r="S141" s="37">
        <f t="shared" si="3"/>
        <v>216.36693773382299</v>
      </c>
      <c r="U141" s="26">
        <f t="shared" si="2"/>
        <v>121.36693773382299</v>
      </c>
    </row>
    <row r="142" spans="19:21" ht="14.65" thickBot="1" x14ac:dyDescent="0.5">
      <c r="S142" s="37">
        <f t="shared" si="3"/>
        <v>218.53060711116123</v>
      </c>
      <c r="U142" s="26">
        <f t="shared" si="2"/>
        <v>123.53060711116123</v>
      </c>
    </row>
    <row r="143" spans="19:21" ht="14.65" thickBot="1" x14ac:dyDescent="0.5">
      <c r="S143" s="37">
        <f t="shared" si="3"/>
        <v>220.71591318227286</v>
      </c>
      <c r="U143" s="26">
        <f t="shared" si="2"/>
        <v>125.71591318227286</v>
      </c>
    </row>
    <row r="144" spans="19:21" ht="14.65" thickBot="1" x14ac:dyDescent="0.5">
      <c r="S144" s="37">
        <f t="shared" si="3"/>
        <v>222.92307231409558</v>
      </c>
      <c r="U144" s="26">
        <f t="shared" si="2"/>
        <v>127.92307231409558</v>
      </c>
    </row>
    <row r="145" spans="19:21" ht="14.65" thickBot="1" x14ac:dyDescent="0.5">
      <c r="S145" s="37">
        <f t="shared" si="3"/>
        <v>225.15230303723652</v>
      </c>
      <c r="U145" s="26">
        <f t="shared" ref="U145:U208" si="4">IF(S145&lt;$D$7,-$D$8,(S145-$D$7)-$D$8)</f>
        <v>130.15230303723652</v>
      </c>
    </row>
    <row r="146" spans="19:21" ht="14.65" thickBot="1" x14ac:dyDescent="0.5">
      <c r="S146" s="37">
        <f t="shared" si="3"/>
        <v>227.40382606760889</v>
      </c>
      <c r="U146" s="26">
        <f t="shared" si="4"/>
        <v>132.40382606760889</v>
      </c>
    </row>
    <row r="147" spans="19:21" ht="14.65" thickBot="1" x14ac:dyDescent="0.5">
      <c r="S147" s="37">
        <f t="shared" ref="S147:S210" si="5">S146*(1.01)</f>
        <v>229.67786432828498</v>
      </c>
      <c r="U147" s="26">
        <f t="shared" si="4"/>
        <v>134.67786432828498</v>
      </c>
    </row>
    <row r="148" spans="19:21" ht="14.65" thickBot="1" x14ac:dyDescent="0.5">
      <c r="S148" s="37">
        <f t="shared" si="5"/>
        <v>231.97464297156785</v>
      </c>
      <c r="U148" s="26">
        <f t="shared" si="4"/>
        <v>136.97464297156785</v>
      </c>
    </row>
    <row r="149" spans="19:21" ht="14.65" thickBot="1" x14ac:dyDescent="0.5">
      <c r="S149" s="37">
        <f t="shared" si="5"/>
        <v>234.29438940128352</v>
      </c>
      <c r="U149" s="26">
        <f t="shared" si="4"/>
        <v>139.29438940128352</v>
      </c>
    </row>
    <row r="150" spans="19:21" ht="14.65" thickBot="1" x14ac:dyDescent="0.5">
      <c r="S150" s="37">
        <f t="shared" si="5"/>
        <v>236.63733329529637</v>
      </c>
      <c r="U150" s="26">
        <f t="shared" si="4"/>
        <v>141.63733329529637</v>
      </c>
    </row>
    <row r="151" spans="19:21" ht="14.65" thickBot="1" x14ac:dyDescent="0.5">
      <c r="S151" s="37">
        <f t="shared" si="5"/>
        <v>239.00370662824935</v>
      </c>
      <c r="U151" s="26">
        <f t="shared" si="4"/>
        <v>144.00370662824935</v>
      </c>
    </row>
    <row r="152" spans="19:21" ht="14.65" thickBot="1" x14ac:dyDescent="0.5">
      <c r="S152" s="37">
        <f t="shared" si="5"/>
        <v>241.39374369453185</v>
      </c>
      <c r="U152" s="26">
        <f t="shared" si="4"/>
        <v>146.39374369453185</v>
      </c>
    </row>
    <row r="153" spans="19:21" ht="14.65" thickBot="1" x14ac:dyDescent="0.5">
      <c r="S153" s="37">
        <f t="shared" si="5"/>
        <v>243.80768113147718</v>
      </c>
      <c r="U153" s="26">
        <f t="shared" si="4"/>
        <v>148.80768113147718</v>
      </c>
    </row>
    <row r="154" spans="19:21" ht="14.65" thickBot="1" x14ac:dyDescent="0.5">
      <c r="S154" s="37">
        <f t="shared" si="5"/>
        <v>246.24575794279195</v>
      </c>
      <c r="U154" s="26">
        <f t="shared" si="4"/>
        <v>151.24575794279195</v>
      </c>
    </row>
    <row r="155" spans="19:21" ht="14.65" thickBot="1" x14ac:dyDescent="0.5">
      <c r="S155" s="37">
        <f t="shared" si="5"/>
        <v>248.70821552221989</v>
      </c>
      <c r="U155" s="26">
        <f t="shared" si="4"/>
        <v>153.70821552221989</v>
      </c>
    </row>
    <row r="156" spans="19:21" ht="14.65" thickBot="1" x14ac:dyDescent="0.5">
      <c r="S156" s="37">
        <f t="shared" si="5"/>
        <v>251.19529767744208</v>
      </c>
      <c r="U156" s="26">
        <f t="shared" si="4"/>
        <v>156.19529767744208</v>
      </c>
    </row>
    <row r="157" spans="19:21" ht="14.65" thickBot="1" x14ac:dyDescent="0.5">
      <c r="S157" s="37">
        <f t="shared" si="5"/>
        <v>253.70725065421649</v>
      </c>
      <c r="U157" s="26">
        <f t="shared" si="4"/>
        <v>158.70725065421649</v>
      </c>
    </row>
    <row r="158" spans="19:21" ht="14.65" thickBot="1" x14ac:dyDescent="0.5">
      <c r="S158" s="37">
        <f t="shared" si="5"/>
        <v>256.24432316075865</v>
      </c>
      <c r="U158" s="26">
        <f t="shared" si="4"/>
        <v>161.24432316075865</v>
      </c>
    </row>
    <row r="159" spans="19:21" ht="14.65" thickBot="1" x14ac:dyDescent="0.5">
      <c r="S159" s="37">
        <f t="shared" si="5"/>
        <v>258.80676639236623</v>
      </c>
      <c r="U159" s="26">
        <f t="shared" si="4"/>
        <v>163.80676639236623</v>
      </c>
    </row>
    <row r="160" spans="19:21" ht="14.65" thickBot="1" x14ac:dyDescent="0.5">
      <c r="S160" s="37">
        <f t="shared" si="5"/>
        <v>261.39483405628988</v>
      </c>
      <c r="U160" s="26">
        <f t="shared" si="4"/>
        <v>166.39483405628988</v>
      </c>
    </row>
    <row r="161" spans="19:21" ht="14.65" thickBot="1" x14ac:dyDescent="0.5">
      <c r="S161" s="37">
        <f t="shared" si="5"/>
        <v>264.00878239685278</v>
      </c>
      <c r="U161" s="26">
        <f t="shared" si="4"/>
        <v>169.00878239685278</v>
      </c>
    </row>
    <row r="162" spans="19:21" ht="14.65" thickBot="1" x14ac:dyDescent="0.5">
      <c r="S162" s="37">
        <f t="shared" si="5"/>
        <v>266.64887022082132</v>
      </c>
      <c r="U162" s="26">
        <f t="shared" si="4"/>
        <v>171.64887022082132</v>
      </c>
    </row>
    <row r="163" spans="19:21" ht="14.65" thickBot="1" x14ac:dyDescent="0.5">
      <c r="S163" s="37">
        <f t="shared" si="5"/>
        <v>269.31535892302952</v>
      </c>
      <c r="U163" s="26">
        <f t="shared" si="4"/>
        <v>174.31535892302952</v>
      </c>
    </row>
    <row r="164" spans="19:21" ht="14.65" thickBot="1" x14ac:dyDescent="0.5">
      <c r="S164" s="37">
        <f t="shared" si="5"/>
        <v>272.00851251225981</v>
      </c>
      <c r="U164" s="26">
        <f t="shared" si="4"/>
        <v>177.00851251225981</v>
      </c>
    </row>
    <row r="165" spans="19:21" ht="14.65" thickBot="1" x14ac:dyDescent="0.5">
      <c r="S165" s="37">
        <f t="shared" si="5"/>
        <v>274.72859763738239</v>
      </c>
      <c r="U165" s="26">
        <f t="shared" si="4"/>
        <v>179.72859763738239</v>
      </c>
    </row>
    <row r="166" spans="19:21" ht="14.65" thickBot="1" x14ac:dyDescent="0.5">
      <c r="S166" s="37">
        <f t="shared" si="5"/>
        <v>277.4758836137562</v>
      </c>
      <c r="U166" s="26">
        <f t="shared" si="4"/>
        <v>182.4758836137562</v>
      </c>
    </row>
    <row r="167" spans="19:21" ht="14.65" thickBot="1" x14ac:dyDescent="0.5">
      <c r="S167" s="37">
        <f t="shared" si="5"/>
        <v>280.25064244989375</v>
      </c>
      <c r="U167" s="26">
        <f t="shared" si="4"/>
        <v>185.25064244989375</v>
      </c>
    </row>
    <row r="168" spans="19:21" ht="14.65" thickBot="1" x14ac:dyDescent="0.5">
      <c r="S168" s="37">
        <f t="shared" si="5"/>
        <v>283.05314887439266</v>
      </c>
      <c r="U168" s="26">
        <f t="shared" si="4"/>
        <v>188.05314887439266</v>
      </c>
    </row>
    <row r="169" spans="19:21" ht="14.65" thickBot="1" x14ac:dyDescent="0.5">
      <c r="S169" s="37">
        <f t="shared" si="5"/>
        <v>285.88368036313659</v>
      </c>
      <c r="U169" s="26">
        <f t="shared" si="4"/>
        <v>190.88368036313659</v>
      </c>
    </row>
    <row r="170" spans="19:21" ht="14.65" thickBot="1" x14ac:dyDescent="0.5">
      <c r="S170" s="37">
        <f t="shared" si="5"/>
        <v>288.74251716676798</v>
      </c>
      <c r="U170" s="26">
        <f t="shared" si="4"/>
        <v>193.74251716676798</v>
      </c>
    </row>
    <row r="171" spans="19:21" ht="14.65" thickBot="1" x14ac:dyDescent="0.5">
      <c r="S171" s="37">
        <f t="shared" si="5"/>
        <v>291.62994233843568</v>
      </c>
      <c r="U171" s="26">
        <f t="shared" si="4"/>
        <v>196.62994233843568</v>
      </c>
    </row>
    <row r="172" spans="19:21" ht="14.65" thickBot="1" x14ac:dyDescent="0.5">
      <c r="S172" s="37">
        <f t="shared" si="5"/>
        <v>294.54624176182006</v>
      </c>
      <c r="U172" s="26">
        <f t="shared" si="4"/>
        <v>199.54624176182006</v>
      </c>
    </row>
    <row r="173" spans="19:21" ht="14.65" thickBot="1" x14ac:dyDescent="0.5">
      <c r="S173" s="37">
        <f t="shared" si="5"/>
        <v>297.49170417943827</v>
      </c>
      <c r="U173" s="26">
        <f t="shared" si="4"/>
        <v>202.49170417943827</v>
      </c>
    </row>
    <row r="174" spans="19:21" ht="14.65" thickBot="1" x14ac:dyDescent="0.5">
      <c r="S174" s="37">
        <f t="shared" si="5"/>
        <v>300.46662122123269</v>
      </c>
      <c r="U174" s="26">
        <f t="shared" si="4"/>
        <v>205.46662122123269</v>
      </c>
    </row>
    <row r="175" spans="19:21" ht="14.65" thickBot="1" x14ac:dyDescent="0.5">
      <c r="S175" s="37">
        <f t="shared" si="5"/>
        <v>303.47128743344501</v>
      </c>
      <c r="U175" s="26">
        <f t="shared" si="4"/>
        <v>208.47128743344501</v>
      </c>
    </row>
    <row r="176" spans="19:21" ht="14.65" thickBot="1" x14ac:dyDescent="0.5">
      <c r="S176" s="37">
        <f t="shared" si="5"/>
        <v>306.50600030777946</v>
      </c>
      <c r="U176" s="26">
        <f t="shared" si="4"/>
        <v>211.50600030777946</v>
      </c>
    </row>
    <row r="177" spans="19:21" ht="14.65" thickBot="1" x14ac:dyDescent="0.5">
      <c r="S177" s="37">
        <f t="shared" si="5"/>
        <v>309.57106031085726</v>
      </c>
      <c r="U177" s="26">
        <f t="shared" si="4"/>
        <v>214.57106031085726</v>
      </c>
    </row>
    <row r="178" spans="19:21" ht="14.65" thickBot="1" x14ac:dyDescent="0.5">
      <c r="S178" s="37">
        <f t="shared" si="5"/>
        <v>312.66677091396582</v>
      </c>
      <c r="U178" s="26">
        <f t="shared" si="4"/>
        <v>217.66677091396582</v>
      </c>
    </row>
    <row r="179" spans="19:21" ht="14.65" thickBot="1" x14ac:dyDescent="0.5">
      <c r="S179" s="37">
        <f t="shared" si="5"/>
        <v>315.79343862310549</v>
      </c>
      <c r="U179" s="26">
        <f t="shared" si="4"/>
        <v>220.79343862310549</v>
      </c>
    </row>
    <row r="180" spans="19:21" ht="14.65" thickBot="1" x14ac:dyDescent="0.5">
      <c r="S180" s="37">
        <f t="shared" si="5"/>
        <v>318.95137300933652</v>
      </c>
      <c r="U180" s="26">
        <f t="shared" si="4"/>
        <v>223.95137300933652</v>
      </c>
    </row>
    <row r="181" spans="19:21" ht="14.65" thickBot="1" x14ac:dyDescent="0.5">
      <c r="S181" s="37">
        <f t="shared" si="5"/>
        <v>322.1408867394299</v>
      </c>
      <c r="U181" s="26">
        <f t="shared" si="4"/>
        <v>227.1408867394299</v>
      </c>
    </row>
    <row r="182" spans="19:21" ht="14.65" thickBot="1" x14ac:dyDescent="0.5">
      <c r="S182" s="37">
        <f t="shared" si="5"/>
        <v>325.3622956068242</v>
      </c>
      <c r="U182" s="26">
        <f t="shared" si="4"/>
        <v>230.3622956068242</v>
      </c>
    </row>
    <row r="183" spans="19:21" ht="14.65" thickBot="1" x14ac:dyDescent="0.5">
      <c r="S183" s="37">
        <f t="shared" si="5"/>
        <v>328.61591856289243</v>
      </c>
      <c r="U183" s="26">
        <f t="shared" si="4"/>
        <v>233.61591856289243</v>
      </c>
    </row>
    <row r="184" spans="19:21" ht="14.65" thickBot="1" x14ac:dyDescent="0.5">
      <c r="S184" s="37">
        <f t="shared" si="5"/>
        <v>331.90207774852138</v>
      </c>
      <c r="U184" s="26">
        <f t="shared" si="4"/>
        <v>236.90207774852138</v>
      </c>
    </row>
    <row r="185" spans="19:21" ht="14.65" thickBot="1" x14ac:dyDescent="0.5">
      <c r="S185" s="37">
        <f t="shared" si="5"/>
        <v>335.22109852600659</v>
      </c>
      <c r="U185" s="26">
        <f t="shared" si="4"/>
        <v>240.22109852600659</v>
      </c>
    </row>
    <row r="186" spans="19:21" ht="14.65" thickBot="1" x14ac:dyDescent="0.5">
      <c r="S186" s="37">
        <f t="shared" si="5"/>
        <v>338.57330951126664</v>
      </c>
      <c r="U186" s="26">
        <f t="shared" si="4"/>
        <v>243.57330951126664</v>
      </c>
    </row>
    <row r="187" spans="19:21" ht="14.65" thickBot="1" x14ac:dyDescent="0.5">
      <c r="S187" s="37">
        <f t="shared" si="5"/>
        <v>341.95904260637928</v>
      </c>
      <c r="U187" s="26">
        <f t="shared" si="4"/>
        <v>246.95904260637928</v>
      </c>
    </row>
    <row r="188" spans="19:21" ht="14.65" thickBot="1" x14ac:dyDescent="0.5">
      <c r="S188" s="37">
        <f t="shared" si="5"/>
        <v>345.37863303244308</v>
      </c>
      <c r="U188" s="26">
        <f t="shared" si="4"/>
        <v>250.37863303244308</v>
      </c>
    </row>
    <row r="189" spans="19:21" ht="14.65" thickBot="1" x14ac:dyDescent="0.5">
      <c r="S189" s="37">
        <f t="shared" si="5"/>
        <v>348.8324193627675</v>
      </c>
      <c r="U189" s="26">
        <f t="shared" si="4"/>
        <v>253.8324193627675</v>
      </c>
    </row>
    <row r="190" spans="19:21" ht="14.65" thickBot="1" x14ac:dyDescent="0.5">
      <c r="S190" s="37">
        <f t="shared" si="5"/>
        <v>352.3207435563952</v>
      </c>
      <c r="U190" s="26">
        <f t="shared" si="4"/>
        <v>257.3207435563952</v>
      </c>
    </row>
    <row r="191" spans="19:21" ht="14.65" thickBot="1" x14ac:dyDescent="0.5">
      <c r="S191" s="37">
        <f t="shared" si="5"/>
        <v>355.84395099195916</v>
      </c>
      <c r="U191" s="26">
        <f t="shared" si="4"/>
        <v>260.84395099195916</v>
      </c>
    </row>
    <row r="192" spans="19:21" ht="14.65" thickBot="1" x14ac:dyDescent="0.5">
      <c r="S192" s="37">
        <f t="shared" si="5"/>
        <v>359.40239050187876</v>
      </c>
      <c r="U192" s="26">
        <f t="shared" si="4"/>
        <v>264.40239050187876</v>
      </c>
    </row>
    <row r="193" spans="19:21" ht="14.65" thickBot="1" x14ac:dyDescent="0.5">
      <c r="S193" s="37">
        <f t="shared" si="5"/>
        <v>362.99641440689754</v>
      </c>
      <c r="U193" s="26">
        <f t="shared" si="4"/>
        <v>267.99641440689754</v>
      </c>
    </row>
    <row r="194" spans="19:21" ht="14.65" thickBot="1" x14ac:dyDescent="0.5">
      <c r="S194" s="37">
        <f t="shared" si="5"/>
        <v>366.62637855096654</v>
      </c>
      <c r="U194" s="26">
        <f t="shared" si="4"/>
        <v>271.62637855096654</v>
      </c>
    </row>
    <row r="195" spans="19:21" ht="14.65" thickBot="1" x14ac:dyDescent="0.5">
      <c r="S195" s="37">
        <f t="shared" si="5"/>
        <v>370.29264233647621</v>
      </c>
      <c r="U195" s="26">
        <f t="shared" si="4"/>
        <v>275.29264233647621</v>
      </c>
    </row>
    <row r="196" spans="19:21" ht="14.65" thickBot="1" x14ac:dyDescent="0.5">
      <c r="S196" s="37">
        <f t="shared" si="5"/>
        <v>373.99556875984098</v>
      </c>
      <c r="U196" s="26">
        <f t="shared" si="4"/>
        <v>278.99556875984098</v>
      </c>
    </row>
    <row r="197" spans="19:21" ht="14.65" thickBot="1" x14ac:dyDescent="0.5">
      <c r="S197" s="37">
        <f t="shared" si="5"/>
        <v>377.73552444743939</v>
      </c>
      <c r="U197" s="26">
        <f t="shared" si="4"/>
        <v>282.73552444743939</v>
      </c>
    </row>
    <row r="198" spans="19:21" ht="14.65" thickBot="1" x14ac:dyDescent="0.5">
      <c r="S198" s="37">
        <f t="shared" si="5"/>
        <v>381.51287969191378</v>
      </c>
      <c r="U198" s="26">
        <f t="shared" si="4"/>
        <v>286.51287969191378</v>
      </c>
    </row>
    <row r="199" spans="19:21" ht="14.65" thickBot="1" x14ac:dyDescent="0.5">
      <c r="S199" s="37">
        <f t="shared" si="5"/>
        <v>385.32800848883295</v>
      </c>
      <c r="U199" s="26">
        <f t="shared" si="4"/>
        <v>290.32800848883295</v>
      </c>
    </row>
    <row r="200" spans="19:21" ht="14.65" thickBot="1" x14ac:dyDescent="0.5">
      <c r="S200" s="37">
        <f t="shared" si="5"/>
        <v>389.1812885737213</v>
      </c>
      <c r="U200" s="26">
        <f t="shared" si="4"/>
        <v>294.1812885737213</v>
      </c>
    </row>
    <row r="201" spans="19:21" ht="14.65" thickBot="1" x14ac:dyDescent="0.5">
      <c r="S201" s="37">
        <f t="shared" si="5"/>
        <v>393.07310145945854</v>
      </c>
      <c r="U201" s="26">
        <f t="shared" si="4"/>
        <v>298.07310145945854</v>
      </c>
    </row>
    <row r="202" spans="19:21" ht="14.65" thickBot="1" x14ac:dyDescent="0.5">
      <c r="S202" s="37">
        <f t="shared" si="5"/>
        <v>397.00383247405313</v>
      </c>
      <c r="U202" s="26">
        <f t="shared" si="4"/>
        <v>302.00383247405313</v>
      </c>
    </row>
    <row r="203" spans="19:21" ht="14.65" thickBot="1" x14ac:dyDescent="0.5">
      <c r="S203" s="37">
        <f t="shared" si="5"/>
        <v>400.97387079879366</v>
      </c>
      <c r="U203" s="26">
        <f t="shared" si="4"/>
        <v>305.97387079879366</v>
      </c>
    </row>
    <row r="204" spans="19:21" ht="14.65" thickBot="1" x14ac:dyDescent="0.5">
      <c r="S204" s="37">
        <f t="shared" si="5"/>
        <v>404.98360950678159</v>
      </c>
      <c r="U204" s="26">
        <f t="shared" si="4"/>
        <v>309.98360950678159</v>
      </c>
    </row>
    <row r="205" spans="19:21" ht="14.65" thickBot="1" x14ac:dyDescent="0.5">
      <c r="S205" s="37">
        <f t="shared" si="5"/>
        <v>409.03344560184939</v>
      </c>
      <c r="U205" s="26">
        <f t="shared" si="4"/>
        <v>314.03344560184939</v>
      </c>
    </row>
    <row r="206" spans="19:21" ht="14.65" thickBot="1" x14ac:dyDescent="0.5">
      <c r="S206" s="37">
        <f t="shared" si="5"/>
        <v>413.12378005786792</v>
      </c>
      <c r="U206" s="26">
        <f t="shared" si="4"/>
        <v>318.12378005786792</v>
      </c>
    </row>
    <row r="207" spans="19:21" ht="14.65" thickBot="1" x14ac:dyDescent="0.5">
      <c r="S207" s="37">
        <f t="shared" si="5"/>
        <v>417.25501785844659</v>
      </c>
      <c r="U207" s="26">
        <f t="shared" si="4"/>
        <v>322.25501785844659</v>
      </c>
    </row>
    <row r="208" spans="19:21" ht="14.65" thickBot="1" x14ac:dyDescent="0.5">
      <c r="S208" s="37">
        <f t="shared" si="5"/>
        <v>421.42756803703105</v>
      </c>
      <c r="U208" s="26">
        <f t="shared" si="4"/>
        <v>326.42756803703105</v>
      </c>
    </row>
    <row r="209" spans="19:21" ht="14.65" thickBot="1" x14ac:dyDescent="0.5">
      <c r="S209" s="37">
        <f t="shared" si="5"/>
        <v>425.64184371740134</v>
      </c>
      <c r="U209" s="26">
        <f t="shared" ref="U209:U272" si="6">IF(S209&lt;$D$7,-$D$8,(S209-$D$7)-$D$8)</f>
        <v>330.64184371740134</v>
      </c>
    </row>
    <row r="210" spans="19:21" ht="14.65" thickBot="1" x14ac:dyDescent="0.5">
      <c r="S210" s="37">
        <f t="shared" si="5"/>
        <v>429.89826215457538</v>
      </c>
      <c r="U210" s="26">
        <f t="shared" si="6"/>
        <v>334.89826215457538</v>
      </c>
    </row>
    <row r="211" spans="19:21" ht="14.65" thickBot="1" x14ac:dyDescent="0.5">
      <c r="S211" s="37">
        <f t="shared" ref="S211:S274" si="7">S210*(1.01)</f>
        <v>434.19724477612112</v>
      </c>
      <c r="U211" s="26">
        <f t="shared" si="6"/>
        <v>339.19724477612112</v>
      </c>
    </row>
    <row r="212" spans="19:21" ht="14.65" thickBot="1" x14ac:dyDescent="0.5">
      <c r="S212" s="37">
        <f t="shared" si="7"/>
        <v>438.53921722388236</v>
      </c>
      <c r="U212" s="26">
        <f t="shared" si="6"/>
        <v>343.53921722388236</v>
      </c>
    </row>
    <row r="213" spans="19:21" ht="14.65" thickBot="1" x14ac:dyDescent="0.5">
      <c r="S213" s="37">
        <f t="shared" si="7"/>
        <v>442.92460939612118</v>
      </c>
      <c r="U213" s="26">
        <f t="shared" si="6"/>
        <v>347.92460939612118</v>
      </c>
    </row>
    <row r="214" spans="19:21" ht="14.65" thickBot="1" x14ac:dyDescent="0.5">
      <c r="S214" s="37">
        <f t="shared" si="7"/>
        <v>447.35385549008242</v>
      </c>
      <c r="U214" s="26">
        <f t="shared" si="6"/>
        <v>352.35385549008242</v>
      </c>
    </row>
    <row r="215" spans="19:21" ht="14.65" thickBot="1" x14ac:dyDescent="0.5">
      <c r="S215" s="37">
        <f t="shared" si="7"/>
        <v>451.82739404498324</v>
      </c>
      <c r="U215" s="26">
        <f t="shared" si="6"/>
        <v>356.82739404498324</v>
      </c>
    </row>
    <row r="216" spans="19:21" ht="14.65" thickBot="1" x14ac:dyDescent="0.5">
      <c r="S216" s="37">
        <f t="shared" si="7"/>
        <v>456.34566798543307</v>
      </c>
      <c r="U216" s="26">
        <f t="shared" si="6"/>
        <v>361.34566798543307</v>
      </c>
    </row>
    <row r="217" spans="19:21" ht="14.65" thickBot="1" x14ac:dyDescent="0.5">
      <c r="S217" s="37">
        <f t="shared" si="7"/>
        <v>460.90912466528738</v>
      </c>
      <c r="U217" s="26">
        <f t="shared" si="6"/>
        <v>365.90912466528738</v>
      </c>
    </row>
    <row r="218" spans="19:21" ht="14.65" thickBot="1" x14ac:dyDescent="0.5">
      <c r="S218" s="37">
        <f t="shared" si="7"/>
        <v>465.51821591194027</v>
      </c>
      <c r="U218" s="26">
        <f t="shared" si="6"/>
        <v>370.51821591194027</v>
      </c>
    </row>
    <row r="219" spans="19:21" ht="14.65" thickBot="1" x14ac:dyDescent="0.5">
      <c r="S219" s="37">
        <f t="shared" si="7"/>
        <v>470.17339807105969</v>
      </c>
      <c r="U219" s="26">
        <f t="shared" si="6"/>
        <v>375.17339807105969</v>
      </c>
    </row>
    <row r="220" spans="19:21" ht="14.65" thickBot="1" x14ac:dyDescent="0.5">
      <c r="S220" s="37">
        <f t="shared" si="7"/>
        <v>474.87513205177032</v>
      </c>
      <c r="U220" s="26">
        <f t="shared" si="6"/>
        <v>379.87513205177032</v>
      </c>
    </row>
    <row r="221" spans="19:21" ht="14.65" thickBot="1" x14ac:dyDescent="0.5">
      <c r="S221" s="37">
        <f t="shared" si="7"/>
        <v>479.62388337228805</v>
      </c>
      <c r="U221" s="26">
        <f t="shared" si="6"/>
        <v>384.62388337228805</v>
      </c>
    </row>
    <row r="222" spans="19:21" ht="14.65" thickBot="1" x14ac:dyDescent="0.5">
      <c r="S222" s="37">
        <f t="shared" si="7"/>
        <v>484.42012220601094</v>
      </c>
      <c r="U222" s="26">
        <f t="shared" si="6"/>
        <v>389.42012220601094</v>
      </c>
    </row>
    <row r="223" spans="19:21" ht="14.65" thickBot="1" x14ac:dyDescent="0.5">
      <c r="S223" s="37">
        <f t="shared" si="7"/>
        <v>489.26432342807107</v>
      </c>
      <c r="U223" s="26">
        <f t="shared" si="6"/>
        <v>394.26432342807107</v>
      </c>
    </row>
    <row r="224" spans="19:21" ht="14.65" thickBot="1" x14ac:dyDescent="0.5">
      <c r="S224" s="37">
        <f t="shared" si="7"/>
        <v>494.15696666235181</v>
      </c>
      <c r="U224" s="26">
        <f t="shared" si="6"/>
        <v>399.15696666235181</v>
      </c>
    </row>
    <row r="225" spans="19:21" ht="14.65" thickBot="1" x14ac:dyDescent="0.5">
      <c r="S225" s="37">
        <f t="shared" si="7"/>
        <v>499.09853632897534</v>
      </c>
      <c r="U225" s="26">
        <f t="shared" si="6"/>
        <v>404.09853632897534</v>
      </c>
    </row>
    <row r="226" spans="19:21" ht="14.65" thickBot="1" x14ac:dyDescent="0.5">
      <c r="S226" s="37">
        <f t="shared" si="7"/>
        <v>504.08952169226512</v>
      </c>
      <c r="U226" s="26">
        <f t="shared" si="6"/>
        <v>409.08952169226512</v>
      </c>
    </row>
    <row r="227" spans="19:21" ht="14.65" thickBot="1" x14ac:dyDescent="0.5">
      <c r="S227" s="37">
        <f t="shared" si="7"/>
        <v>509.13041690918777</v>
      </c>
      <c r="U227" s="26">
        <f t="shared" si="6"/>
        <v>414.13041690918777</v>
      </c>
    </row>
    <row r="228" spans="19:21" ht="14.65" thickBot="1" x14ac:dyDescent="0.5">
      <c r="S228" s="37">
        <f t="shared" si="7"/>
        <v>514.22172107827964</v>
      </c>
      <c r="U228" s="26">
        <f t="shared" si="6"/>
        <v>419.22172107827964</v>
      </c>
    </row>
    <row r="229" spans="19:21" ht="14.65" thickBot="1" x14ac:dyDescent="0.5">
      <c r="S229" s="37">
        <f t="shared" si="7"/>
        <v>519.36393828906239</v>
      </c>
      <c r="U229" s="26">
        <f t="shared" si="6"/>
        <v>424.36393828906239</v>
      </c>
    </row>
    <row r="230" spans="19:21" ht="14.65" thickBot="1" x14ac:dyDescent="0.5">
      <c r="S230" s="37">
        <f t="shared" si="7"/>
        <v>524.55757767195303</v>
      </c>
      <c r="U230" s="26">
        <f t="shared" si="6"/>
        <v>429.55757767195303</v>
      </c>
    </row>
    <row r="231" spans="19:21" ht="14.65" thickBot="1" x14ac:dyDescent="0.5">
      <c r="S231" s="37">
        <f t="shared" si="7"/>
        <v>529.80315344867256</v>
      </c>
      <c r="U231" s="26">
        <f t="shared" si="6"/>
        <v>434.80315344867256</v>
      </c>
    </row>
    <row r="232" spans="19:21" ht="14.65" thickBot="1" x14ac:dyDescent="0.5">
      <c r="S232" s="37">
        <f t="shared" si="7"/>
        <v>535.10118498315933</v>
      </c>
      <c r="U232" s="26">
        <f t="shared" si="6"/>
        <v>440.10118498315933</v>
      </c>
    </row>
    <row r="233" spans="19:21" ht="14.65" thickBot="1" x14ac:dyDescent="0.5">
      <c r="S233" s="37">
        <f t="shared" si="7"/>
        <v>540.45219683299092</v>
      </c>
      <c r="U233" s="26">
        <f t="shared" si="6"/>
        <v>445.45219683299092</v>
      </c>
    </row>
    <row r="234" spans="19:21" ht="14.65" thickBot="1" x14ac:dyDescent="0.5">
      <c r="S234" s="37">
        <f t="shared" si="7"/>
        <v>545.85671880132088</v>
      </c>
      <c r="U234" s="26">
        <f t="shared" si="6"/>
        <v>450.85671880132088</v>
      </c>
    </row>
    <row r="235" spans="19:21" ht="14.65" thickBot="1" x14ac:dyDescent="0.5">
      <c r="S235" s="37">
        <f t="shared" si="7"/>
        <v>551.31528598933414</v>
      </c>
      <c r="U235" s="26">
        <f t="shared" si="6"/>
        <v>456.31528598933414</v>
      </c>
    </row>
    <row r="236" spans="19:21" ht="14.65" thickBot="1" x14ac:dyDescent="0.5">
      <c r="S236" s="37">
        <f t="shared" si="7"/>
        <v>556.8284388492275</v>
      </c>
      <c r="U236" s="26">
        <f t="shared" si="6"/>
        <v>461.8284388492275</v>
      </c>
    </row>
    <row r="237" spans="19:21" ht="14.65" thickBot="1" x14ac:dyDescent="0.5">
      <c r="S237" s="37">
        <f t="shared" si="7"/>
        <v>562.39672323771981</v>
      </c>
      <c r="U237" s="26">
        <f t="shared" si="6"/>
        <v>467.39672323771981</v>
      </c>
    </row>
    <row r="238" spans="19:21" ht="14.65" thickBot="1" x14ac:dyDescent="0.5">
      <c r="S238" s="37">
        <f t="shared" si="7"/>
        <v>568.02069047009707</v>
      </c>
      <c r="U238" s="26">
        <f t="shared" si="6"/>
        <v>473.02069047009707</v>
      </c>
    </row>
    <row r="239" spans="19:21" ht="14.65" thickBot="1" x14ac:dyDescent="0.5">
      <c r="S239" s="37">
        <f t="shared" si="7"/>
        <v>573.70089737479805</v>
      </c>
      <c r="U239" s="26">
        <f t="shared" si="6"/>
        <v>478.70089737479805</v>
      </c>
    </row>
    <row r="240" spans="19:21" ht="14.65" thickBot="1" x14ac:dyDescent="0.5">
      <c r="S240" s="37">
        <f t="shared" si="7"/>
        <v>579.43790634854599</v>
      </c>
      <c r="U240" s="26">
        <f t="shared" si="6"/>
        <v>484.43790634854599</v>
      </c>
    </row>
    <row r="241" spans="19:21" ht="14.65" thickBot="1" x14ac:dyDescent="0.5">
      <c r="S241" s="37">
        <f t="shared" si="7"/>
        <v>585.2322854120315</v>
      </c>
      <c r="U241" s="26">
        <f t="shared" si="6"/>
        <v>490.2322854120315</v>
      </c>
    </row>
    <row r="242" spans="19:21" ht="14.65" thickBot="1" x14ac:dyDescent="0.5">
      <c r="S242" s="37">
        <f t="shared" si="7"/>
        <v>591.0846082661518</v>
      </c>
      <c r="U242" s="26">
        <f t="shared" si="6"/>
        <v>496.0846082661518</v>
      </c>
    </row>
    <row r="243" spans="19:21" ht="14.65" thickBot="1" x14ac:dyDescent="0.5">
      <c r="S243" s="37">
        <f t="shared" si="7"/>
        <v>596.99545434881338</v>
      </c>
      <c r="U243" s="26">
        <f t="shared" si="6"/>
        <v>501.99545434881338</v>
      </c>
    </row>
    <row r="244" spans="19:21" ht="14.65" thickBot="1" x14ac:dyDescent="0.5">
      <c r="S244" s="37">
        <f t="shared" si="7"/>
        <v>602.96540889230153</v>
      </c>
      <c r="U244" s="26">
        <f t="shared" si="6"/>
        <v>507.96540889230153</v>
      </c>
    </row>
    <row r="245" spans="19:21" ht="14.65" thickBot="1" x14ac:dyDescent="0.5">
      <c r="S245" s="37">
        <f t="shared" si="7"/>
        <v>608.99506298122458</v>
      </c>
      <c r="U245" s="26">
        <f t="shared" si="6"/>
        <v>513.99506298122458</v>
      </c>
    </row>
    <row r="246" spans="19:21" ht="14.65" thickBot="1" x14ac:dyDescent="0.5">
      <c r="S246" s="37">
        <f t="shared" si="7"/>
        <v>615.08501361103686</v>
      </c>
      <c r="U246" s="26">
        <f t="shared" si="6"/>
        <v>520.08501361103686</v>
      </c>
    </row>
    <row r="247" spans="19:21" ht="14.65" thickBot="1" x14ac:dyDescent="0.5">
      <c r="S247" s="37">
        <f t="shared" si="7"/>
        <v>621.23586374714728</v>
      </c>
      <c r="U247" s="26">
        <f t="shared" si="6"/>
        <v>526.23586374714728</v>
      </c>
    </row>
    <row r="248" spans="19:21" ht="14.65" thickBot="1" x14ac:dyDescent="0.5">
      <c r="S248" s="37">
        <f t="shared" si="7"/>
        <v>627.4482223846187</v>
      </c>
      <c r="U248" s="26">
        <f t="shared" si="6"/>
        <v>532.4482223846187</v>
      </c>
    </row>
    <row r="249" spans="19:21" ht="14.65" thickBot="1" x14ac:dyDescent="0.5">
      <c r="S249" s="37">
        <f t="shared" si="7"/>
        <v>633.72270460846494</v>
      </c>
      <c r="U249" s="26">
        <f t="shared" si="6"/>
        <v>538.72270460846494</v>
      </c>
    </row>
    <row r="250" spans="19:21" ht="14.65" thickBot="1" x14ac:dyDescent="0.5">
      <c r="S250" s="37">
        <f t="shared" si="7"/>
        <v>640.05993165454959</v>
      </c>
      <c r="U250" s="26">
        <f t="shared" si="6"/>
        <v>545.05993165454959</v>
      </c>
    </row>
    <row r="251" spans="19:21" ht="14.65" thickBot="1" x14ac:dyDescent="0.5">
      <c r="S251" s="37">
        <f t="shared" si="7"/>
        <v>646.46053097109507</v>
      </c>
      <c r="U251" s="26">
        <f t="shared" si="6"/>
        <v>551.46053097109507</v>
      </c>
    </row>
    <row r="252" spans="19:21" ht="14.65" thickBot="1" x14ac:dyDescent="0.5">
      <c r="S252" s="37">
        <f t="shared" si="7"/>
        <v>652.92513628080599</v>
      </c>
      <c r="U252" s="26">
        <f t="shared" si="6"/>
        <v>557.92513628080599</v>
      </c>
    </row>
    <row r="253" spans="19:21" ht="14.65" thickBot="1" x14ac:dyDescent="0.5">
      <c r="S253" s="37">
        <f t="shared" si="7"/>
        <v>659.45438764361404</v>
      </c>
      <c r="U253" s="26">
        <f t="shared" si="6"/>
        <v>564.45438764361404</v>
      </c>
    </row>
    <row r="254" spans="19:21" ht="14.65" thickBot="1" x14ac:dyDescent="0.5">
      <c r="S254" s="37">
        <f t="shared" si="7"/>
        <v>666.04893152005013</v>
      </c>
      <c r="U254" s="26">
        <f t="shared" si="6"/>
        <v>571.04893152005013</v>
      </c>
    </row>
    <row r="255" spans="19:21" ht="14.65" thickBot="1" x14ac:dyDescent="0.5">
      <c r="S255" s="37">
        <f t="shared" si="7"/>
        <v>672.70942083525063</v>
      </c>
      <c r="U255" s="26">
        <f t="shared" si="6"/>
        <v>577.70942083525063</v>
      </c>
    </row>
    <row r="256" spans="19:21" ht="14.65" thickBot="1" x14ac:dyDescent="0.5">
      <c r="S256" s="37">
        <f t="shared" si="7"/>
        <v>679.43651504360309</v>
      </c>
      <c r="U256" s="26">
        <f t="shared" si="6"/>
        <v>584.43651504360309</v>
      </c>
    </row>
    <row r="257" spans="19:21" ht="14.65" thickBot="1" x14ac:dyDescent="0.5">
      <c r="S257" s="37">
        <f t="shared" si="7"/>
        <v>686.23088019403917</v>
      </c>
      <c r="U257" s="26">
        <f t="shared" si="6"/>
        <v>591.23088019403917</v>
      </c>
    </row>
    <row r="258" spans="19:21" ht="14.65" thickBot="1" x14ac:dyDescent="0.5">
      <c r="S258" s="37">
        <f t="shared" si="7"/>
        <v>693.09318899597952</v>
      </c>
      <c r="U258" s="26">
        <f t="shared" si="6"/>
        <v>598.09318899597952</v>
      </c>
    </row>
    <row r="259" spans="19:21" ht="14.65" thickBot="1" x14ac:dyDescent="0.5">
      <c r="S259" s="37">
        <f t="shared" si="7"/>
        <v>700.02412088593928</v>
      </c>
      <c r="U259" s="26">
        <f t="shared" si="6"/>
        <v>605.02412088593928</v>
      </c>
    </row>
    <row r="260" spans="19:21" ht="14.65" thickBot="1" x14ac:dyDescent="0.5">
      <c r="S260" s="37">
        <f t="shared" si="7"/>
        <v>707.02436209479868</v>
      </c>
      <c r="U260" s="26">
        <f t="shared" si="6"/>
        <v>612.02436209479868</v>
      </c>
    </row>
    <row r="261" spans="19:21" ht="14.65" thickBot="1" x14ac:dyDescent="0.5">
      <c r="S261" s="37">
        <f t="shared" si="7"/>
        <v>714.09460571574664</v>
      </c>
      <c r="U261" s="26">
        <f t="shared" si="6"/>
        <v>619.09460571574664</v>
      </c>
    </row>
    <row r="262" spans="19:21" ht="14.65" thickBot="1" x14ac:dyDescent="0.5">
      <c r="S262" s="37">
        <f t="shared" si="7"/>
        <v>721.23555177290416</v>
      </c>
      <c r="U262" s="26">
        <f t="shared" si="6"/>
        <v>626.23555177290416</v>
      </c>
    </row>
    <row r="263" spans="19:21" ht="14.65" thickBot="1" x14ac:dyDescent="0.5">
      <c r="S263" s="37">
        <f t="shared" si="7"/>
        <v>728.44790729063322</v>
      </c>
      <c r="U263" s="26">
        <f t="shared" si="6"/>
        <v>633.44790729063322</v>
      </c>
    </row>
    <row r="264" spans="19:21" ht="14.65" thickBot="1" x14ac:dyDescent="0.5">
      <c r="S264" s="37">
        <f t="shared" si="7"/>
        <v>735.7323863635396</v>
      </c>
      <c r="U264" s="26">
        <f t="shared" si="6"/>
        <v>640.7323863635396</v>
      </c>
    </row>
    <row r="265" spans="19:21" ht="14.65" thickBot="1" x14ac:dyDescent="0.5">
      <c r="S265" s="37">
        <f t="shared" si="7"/>
        <v>743.08971022717503</v>
      </c>
      <c r="U265" s="26">
        <f t="shared" si="6"/>
        <v>648.08971022717503</v>
      </c>
    </row>
    <row r="266" spans="19:21" ht="14.65" thickBot="1" x14ac:dyDescent="0.5">
      <c r="S266" s="37">
        <f t="shared" si="7"/>
        <v>750.52060732944676</v>
      </c>
      <c r="U266" s="26">
        <f t="shared" si="6"/>
        <v>655.52060732944676</v>
      </c>
    </row>
    <row r="267" spans="19:21" ht="14.65" thickBot="1" x14ac:dyDescent="0.5">
      <c r="S267" s="37">
        <f t="shared" si="7"/>
        <v>758.02581340274128</v>
      </c>
      <c r="U267" s="26">
        <f t="shared" si="6"/>
        <v>663.02581340274128</v>
      </c>
    </row>
    <row r="268" spans="19:21" ht="14.65" thickBot="1" x14ac:dyDescent="0.5">
      <c r="S268" s="37">
        <f t="shared" si="7"/>
        <v>765.6060715367687</v>
      </c>
      <c r="U268" s="26">
        <f t="shared" si="6"/>
        <v>670.6060715367687</v>
      </c>
    </row>
    <row r="269" spans="19:21" ht="14.65" thickBot="1" x14ac:dyDescent="0.5">
      <c r="S269" s="37">
        <f t="shared" si="7"/>
        <v>773.26213225213644</v>
      </c>
      <c r="U269" s="26">
        <f t="shared" si="6"/>
        <v>678.26213225213644</v>
      </c>
    </row>
    <row r="270" spans="19:21" ht="14.65" thickBot="1" x14ac:dyDescent="0.5">
      <c r="S270" s="37">
        <f t="shared" si="7"/>
        <v>780.99475357465781</v>
      </c>
      <c r="U270" s="26">
        <f t="shared" si="6"/>
        <v>685.99475357465781</v>
      </c>
    </row>
    <row r="271" spans="19:21" ht="14.65" thickBot="1" x14ac:dyDescent="0.5">
      <c r="S271" s="37">
        <f t="shared" si="7"/>
        <v>788.80470111040438</v>
      </c>
      <c r="U271" s="26">
        <f t="shared" si="6"/>
        <v>693.80470111040438</v>
      </c>
    </row>
    <row r="272" spans="19:21" ht="14.65" thickBot="1" x14ac:dyDescent="0.5">
      <c r="S272" s="37">
        <f t="shared" si="7"/>
        <v>796.69274812150843</v>
      </c>
      <c r="U272" s="26">
        <f t="shared" si="6"/>
        <v>701.69274812150843</v>
      </c>
    </row>
    <row r="273" spans="19:21" ht="14.65" thickBot="1" x14ac:dyDescent="0.5">
      <c r="S273" s="37">
        <f t="shared" si="7"/>
        <v>804.6596756027235</v>
      </c>
      <c r="U273" s="26">
        <f t="shared" ref="U273:U336" si="8">IF(S273&lt;$D$7,-$D$8,(S273-$D$7)-$D$8)</f>
        <v>709.6596756027235</v>
      </c>
    </row>
    <row r="274" spans="19:21" ht="14.65" thickBot="1" x14ac:dyDescent="0.5">
      <c r="S274" s="37">
        <f t="shared" si="7"/>
        <v>812.70627235875077</v>
      </c>
      <c r="U274" s="26">
        <f t="shared" si="8"/>
        <v>717.70627235875077</v>
      </c>
    </row>
    <row r="275" spans="19:21" ht="14.65" thickBot="1" x14ac:dyDescent="0.5">
      <c r="S275" s="37">
        <f t="shared" ref="S275:S338" si="9">S274*(1.01)</f>
        <v>820.83333508233829</v>
      </c>
      <c r="U275" s="26">
        <f t="shared" si="8"/>
        <v>725.83333508233829</v>
      </c>
    </row>
    <row r="276" spans="19:21" ht="14.65" thickBot="1" x14ac:dyDescent="0.5">
      <c r="S276" s="37">
        <f t="shared" si="9"/>
        <v>829.0416684331617</v>
      </c>
      <c r="U276" s="26">
        <f t="shared" si="8"/>
        <v>734.0416684331617</v>
      </c>
    </row>
    <row r="277" spans="19:21" ht="14.65" thickBot="1" x14ac:dyDescent="0.5">
      <c r="S277" s="37">
        <f t="shared" si="9"/>
        <v>837.33208511749331</v>
      </c>
      <c r="U277" s="26">
        <f t="shared" si="8"/>
        <v>742.33208511749331</v>
      </c>
    </row>
    <row r="278" spans="19:21" ht="14.65" thickBot="1" x14ac:dyDescent="0.5">
      <c r="S278" s="37">
        <f t="shared" si="9"/>
        <v>845.70540596866829</v>
      </c>
      <c r="U278" s="26">
        <f t="shared" si="8"/>
        <v>750.70540596866829</v>
      </c>
    </row>
    <row r="279" spans="19:21" ht="14.65" thickBot="1" x14ac:dyDescent="0.5">
      <c r="S279" s="37">
        <f t="shared" si="9"/>
        <v>854.16246002835499</v>
      </c>
      <c r="U279" s="26">
        <f t="shared" si="8"/>
        <v>759.16246002835499</v>
      </c>
    </row>
    <row r="280" spans="19:21" ht="14.65" thickBot="1" x14ac:dyDescent="0.5">
      <c r="S280" s="37">
        <f t="shared" si="9"/>
        <v>862.7040846286385</v>
      </c>
      <c r="U280" s="26">
        <f t="shared" si="8"/>
        <v>767.7040846286385</v>
      </c>
    </row>
    <row r="281" spans="19:21" ht="14.65" thickBot="1" x14ac:dyDescent="0.5">
      <c r="S281" s="37">
        <f t="shared" si="9"/>
        <v>871.33112547492487</v>
      </c>
      <c r="U281" s="26">
        <f t="shared" si="8"/>
        <v>776.33112547492487</v>
      </c>
    </row>
    <row r="282" spans="19:21" ht="14.65" thickBot="1" x14ac:dyDescent="0.5">
      <c r="S282" s="37">
        <f t="shared" si="9"/>
        <v>880.04443672967409</v>
      </c>
      <c r="U282" s="26">
        <f t="shared" si="8"/>
        <v>785.04443672967409</v>
      </c>
    </row>
    <row r="283" spans="19:21" ht="14.65" thickBot="1" x14ac:dyDescent="0.5">
      <c r="S283" s="37">
        <f t="shared" si="9"/>
        <v>888.84488109697088</v>
      </c>
      <c r="U283" s="26">
        <f t="shared" si="8"/>
        <v>793.84488109697088</v>
      </c>
    </row>
    <row r="284" spans="19:21" ht="14.65" thickBot="1" x14ac:dyDescent="0.5">
      <c r="S284" s="37">
        <f t="shared" si="9"/>
        <v>897.73332990794063</v>
      </c>
      <c r="U284" s="26">
        <f t="shared" si="8"/>
        <v>802.73332990794063</v>
      </c>
    </row>
    <row r="285" spans="19:21" ht="14.65" thickBot="1" x14ac:dyDescent="0.5">
      <c r="S285" s="37">
        <f t="shared" si="9"/>
        <v>906.71066320702005</v>
      </c>
      <c r="U285" s="26">
        <f t="shared" si="8"/>
        <v>811.71066320702005</v>
      </c>
    </row>
    <row r="286" spans="19:21" ht="14.65" thickBot="1" x14ac:dyDescent="0.5">
      <c r="S286" s="37">
        <f t="shared" si="9"/>
        <v>915.7777698390903</v>
      </c>
      <c r="U286" s="26">
        <f t="shared" si="8"/>
        <v>820.7777698390903</v>
      </c>
    </row>
    <row r="287" spans="19:21" ht="14.65" thickBot="1" x14ac:dyDescent="0.5">
      <c r="S287" s="37">
        <f t="shared" si="9"/>
        <v>924.93554753748117</v>
      </c>
      <c r="U287" s="26">
        <f t="shared" si="8"/>
        <v>829.93554753748117</v>
      </c>
    </row>
    <row r="288" spans="19:21" ht="14.65" thickBot="1" x14ac:dyDescent="0.5">
      <c r="S288" s="37">
        <f t="shared" si="9"/>
        <v>934.18490301285601</v>
      </c>
      <c r="U288" s="26">
        <f t="shared" si="8"/>
        <v>839.18490301285601</v>
      </c>
    </row>
    <row r="289" spans="19:21" ht="14.65" thickBot="1" x14ac:dyDescent="0.5">
      <c r="S289" s="37">
        <f t="shared" si="9"/>
        <v>943.52675204298453</v>
      </c>
      <c r="U289" s="26">
        <f t="shared" si="8"/>
        <v>848.52675204298453</v>
      </c>
    </row>
    <row r="290" spans="19:21" ht="14.65" thickBot="1" x14ac:dyDescent="0.5">
      <c r="S290" s="37">
        <f t="shared" si="9"/>
        <v>952.9620195634144</v>
      </c>
      <c r="U290" s="26">
        <f t="shared" si="8"/>
        <v>857.9620195634144</v>
      </c>
    </row>
    <row r="291" spans="19:21" ht="14.65" thickBot="1" x14ac:dyDescent="0.5">
      <c r="S291" s="37">
        <f t="shared" si="9"/>
        <v>962.49163975904855</v>
      </c>
      <c r="U291" s="26">
        <f t="shared" si="8"/>
        <v>867.49163975904855</v>
      </c>
    </row>
    <row r="292" spans="19:21" ht="14.65" thickBot="1" x14ac:dyDescent="0.5">
      <c r="S292" s="37">
        <f t="shared" si="9"/>
        <v>972.11655615663904</v>
      </c>
      <c r="U292" s="26">
        <f t="shared" si="8"/>
        <v>877.11655615663904</v>
      </c>
    </row>
    <row r="293" spans="19:21" ht="14.65" thickBot="1" x14ac:dyDescent="0.5">
      <c r="S293" s="37">
        <f t="shared" si="9"/>
        <v>981.83772171820544</v>
      </c>
      <c r="U293" s="26">
        <f t="shared" si="8"/>
        <v>886.83772171820544</v>
      </c>
    </row>
    <row r="294" spans="19:21" ht="14.65" thickBot="1" x14ac:dyDescent="0.5">
      <c r="S294" s="37">
        <f t="shared" si="9"/>
        <v>991.65609893538749</v>
      </c>
      <c r="U294" s="26">
        <f t="shared" si="8"/>
        <v>896.65609893538749</v>
      </c>
    </row>
    <row r="295" spans="19:21" ht="14.65" thickBot="1" x14ac:dyDescent="0.5">
      <c r="S295" s="37">
        <f t="shared" si="9"/>
        <v>1001.5726599247414</v>
      </c>
      <c r="U295" s="26">
        <f t="shared" si="8"/>
        <v>906.5726599247414</v>
      </c>
    </row>
    <row r="296" spans="19:21" ht="14.65" thickBot="1" x14ac:dyDescent="0.5">
      <c r="S296" s="37">
        <f t="shared" si="9"/>
        <v>1011.5883865239888</v>
      </c>
      <c r="U296" s="26">
        <f t="shared" si="8"/>
        <v>916.58838652398879</v>
      </c>
    </row>
    <row r="297" spans="19:21" ht="14.65" thickBot="1" x14ac:dyDescent="0.5">
      <c r="S297" s="37">
        <f t="shared" si="9"/>
        <v>1021.7042703892287</v>
      </c>
      <c r="U297" s="26">
        <f t="shared" si="8"/>
        <v>926.70427038922867</v>
      </c>
    </row>
    <row r="298" spans="19:21" ht="14.65" thickBot="1" x14ac:dyDescent="0.5">
      <c r="S298" s="37">
        <f t="shared" si="9"/>
        <v>1031.9213130931209</v>
      </c>
      <c r="U298" s="26">
        <f t="shared" si="8"/>
        <v>936.92131309312094</v>
      </c>
    </row>
    <row r="299" spans="19:21" ht="14.65" thickBot="1" x14ac:dyDescent="0.5">
      <c r="S299" s="37">
        <f t="shared" si="9"/>
        <v>1042.2405262240522</v>
      </c>
      <c r="U299" s="26">
        <f t="shared" si="8"/>
        <v>947.24052622405225</v>
      </c>
    </row>
    <row r="300" spans="19:21" ht="14.65" thickBot="1" x14ac:dyDescent="0.5">
      <c r="S300" s="37">
        <f t="shared" si="9"/>
        <v>1052.6629314862928</v>
      </c>
      <c r="U300" s="26">
        <f t="shared" si="8"/>
        <v>957.66293148629279</v>
      </c>
    </row>
    <row r="301" spans="19:21" ht="14.65" thickBot="1" x14ac:dyDescent="0.5">
      <c r="S301" s="37">
        <f t="shared" si="9"/>
        <v>1063.1895608011557</v>
      </c>
      <c r="U301" s="26">
        <f t="shared" si="8"/>
        <v>968.18956080115572</v>
      </c>
    </row>
    <row r="302" spans="19:21" ht="14.65" thickBot="1" x14ac:dyDescent="0.5">
      <c r="S302" s="37">
        <f t="shared" si="9"/>
        <v>1073.8214564091672</v>
      </c>
      <c r="U302" s="26">
        <f t="shared" si="8"/>
        <v>978.82145640916724</v>
      </c>
    </row>
    <row r="303" spans="19:21" ht="14.65" thickBot="1" x14ac:dyDescent="0.5">
      <c r="S303" s="37">
        <f t="shared" si="9"/>
        <v>1084.559670973259</v>
      </c>
      <c r="U303" s="26">
        <f t="shared" si="8"/>
        <v>989.55967097325902</v>
      </c>
    </row>
    <row r="304" spans="19:21" ht="14.65" thickBot="1" x14ac:dyDescent="0.5">
      <c r="S304" s="37">
        <f t="shared" si="9"/>
        <v>1095.4052676829915</v>
      </c>
      <c r="U304" s="26">
        <f t="shared" si="8"/>
        <v>1000.4052676829915</v>
      </c>
    </row>
    <row r="305" spans="19:21" ht="14.65" thickBot="1" x14ac:dyDescent="0.5">
      <c r="S305" s="37">
        <f t="shared" si="9"/>
        <v>1106.3593203598214</v>
      </c>
      <c r="U305" s="26">
        <f t="shared" si="8"/>
        <v>1011.3593203598214</v>
      </c>
    </row>
    <row r="306" spans="19:21" ht="14.65" thickBot="1" x14ac:dyDescent="0.5">
      <c r="S306" s="37">
        <f t="shared" si="9"/>
        <v>1117.4229135634196</v>
      </c>
      <c r="U306" s="26">
        <f t="shared" si="8"/>
        <v>1022.4229135634196</v>
      </c>
    </row>
    <row r="307" spans="19:21" ht="14.65" thickBot="1" x14ac:dyDescent="0.5">
      <c r="S307" s="37">
        <f t="shared" si="9"/>
        <v>1128.5971426990538</v>
      </c>
      <c r="U307" s="26">
        <f t="shared" si="8"/>
        <v>1033.5971426990538</v>
      </c>
    </row>
    <row r="308" spans="19:21" ht="14.65" thickBot="1" x14ac:dyDescent="0.5">
      <c r="S308" s="37">
        <f t="shared" si="9"/>
        <v>1139.8831141260443</v>
      </c>
      <c r="U308" s="26">
        <f t="shared" si="8"/>
        <v>1044.8831141260443</v>
      </c>
    </row>
    <row r="309" spans="19:21" ht="14.65" thickBot="1" x14ac:dyDescent="0.5">
      <c r="S309" s="37">
        <f t="shared" si="9"/>
        <v>1151.2819452673048</v>
      </c>
      <c r="U309" s="26">
        <f t="shared" si="8"/>
        <v>1056.2819452673048</v>
      </c>
    </row>
    <row r="310" spans="19:21" ht="14.65" thickBot="1" x14ac:dyDescent="0.5">
      <c r="S310" s="37">
        <f t="shared" si="9"/>
        <v>1162.7947647199778</v>
      </c>
      <c r="U310" s="26">
        <f t="shared" si="8"/>
        <v>1067.7947647199778</v>
      </c>
    </row>
    <row r="311" spans="19:21" ht="14.65" thickBot="1" x14ac:dyDescent="0.5">
      <c r="S311" s="37">
        <f t="shared" si="9"/>
        <v>1174.4227123671776</v>
      </c>
      <c r="U311" s="26">
        <f t="shared" si="8"/>
        <v>1079.4227123671776</v>
      </c>
    </row>
    <row r="312" spans="19:21" ht="14.65" thickBot="1" x14ac:dyDescent="0.5">
      <c r="S312" s="37">
        <f t="shared" si="9"/>
        <v>1186.1669394908495</v>
      </c>
      <c r="U312" s="26">
        <f t="shared" si="8"/>
        <v>1091.1669394908495</v>
      </c>
    </row>
    <row r="313" spans="19:21" ht="14.65" thickBot="1" x14ac:dyDescent="0.5">
      <c r="S313" s="37">
        <f t="shared" si="9"/>
        <v>1198.0286088857579</v>
      </c>
      <c r="U313" s="26">
        <f t="shared" si="8"/>
        <v>1103.0286088857579</v>
      </c>
    </row>
    <row r="314" spans="19:21" ht="14.65" thickBot="1" x14ac:dyDescent="0.5">
      <c r="S314" s="37">
        <f t="shared" si="9"/>
        <v>1210.0088949746155</v>
      </c>
      <c r="U314" s="26">
        <f t="shared" si="8"/>
        <v>1115.0088949746155</v>
      </c>
    </row>
    <row r="315" spans="19:21" ht="14.65" thickBot="1" x14ac:dyDescent="0.5">
      <c r="S315" s="37">
        <f t="shared" si="9"/>
        <v>1222.1089839243616</v>
      </c>
      <c r="U315" s="26">
        <f t="shared" si="8"/>
        <v>1127.1089839243616</v>
      </c>
    </row>
    <row r="316" spans="19:21" ht="14.65" thickBot="1" x14ac:dyDescent="0.5">
      <c r="S316" s="37">
        <f t="shared" si="9"/>
        <v>1234.3300737636052</v>
      </c>
      <c r="U316" s="26">
        <f t="shared" si="8"/>
        <v>1139.3300737636052</v>
      </c>
    </row>
    <row r="317" spans="19:21" ht="14.65" thickBot="1" x14ac:dyDescent="0.5">
      <c r="S317" s="37">
        <f t="shared" si="9"/>
        <v>1246.6733745012414</v>
      </c>
      <c r="U317" s="26">
        <f t="shared" si="8"/>
        <v>1151.6733745012414</v>
      </c>
    </row>
    <row r="318" spans="19:21" ht="14.65" thickBot="1" x14ac:dyDescent="0.5">
      <c r="S318" s="37">
        <f t="shared" si="9"/>
        <v>1259.1401082462537</v>
      </c>
      <c r="U318" s="26">
        <f t="shared" si="8"/>
        <v>1164.1401082462537</v>
      </c>
    </row>
    <row r="319" spans="19:21" ht="14.65" thickBot="1" x14ac:dyDescent="0.5">
      <c r="S319" s="37">
        <f t="shared" si="9"/>
        <v>1271.7315093287164</v>
      </c>
      <c r="U319" s="26">
        <f t="shared" si="8"/>
        <v>1176.7315093287164</v>
      </c>
    </row>
    <row r="320" spans="19:21" ht="14.65" thickBot="1" x14ac:dyDescent="0.5">
      <c r="S320" s="37">
        <f t="shared" si="9"/>
        <v>1284.4488244220036</v>
      </c>
      <c r="U320" s="26">
        <f t="shared" si="8"/>
        <v>1189.4488244220036</v>
      </c>
    </row>
    <row r="321" spans="19:21" ht="14.65" thickBot="1" x14ac:dyDescent="0.5">
      <c r="S321" s="37">
        <f t="shared" si="9"/>
        <v>1297.2933126662235</v>
      </c>
      <c r="U321" s="26">
        <f t="shared" si="8"/>
        <v>1202.2933126662235</v>
      </c>
    </row>
    <row r="322" spans="19:21" ht="14.65" thickBot="1" x14ac:dyDescent="0.5">
      <c r="S322" s="37">
        <f t="shared" si="9"/>
        <v>1310.2662457928857</v>
      </c>
      <c r="U322" s="26">
        <f t="shared" si="8"/>
        <v>1215.2662457928857</v>
      </c>
    </row>
    <row r="323" spans="19:21" ht="14.65" thickBot="1" x14ac:dyDescent="0.5">
      <c r="S323" s="37">
        <f t="shared" si="9"/>
        <v>1323.3689082508145</v>
      </c>
      <c r="U323" s="26">
        <f t="shared" si="8"/>
        <v>1228.3689082508145</v>
      </c>
    </row>
    <row r="324" spans="19:21" ht="14.65" thickBot="1" x14ac:dyDescent="0.5">
      <c r="S324" s="37">
        <f t="shared" si="9"/>
        <v>1336.6025973333226</v>
      </c>
      <c r="U324" s="26">
        <f t="shared" si="8"/>
        <v>1241.6025973333226</v>
      </c>
    </row>
    <row r="325" spans="19:21" ht="14.65" thickBot="1" x14ac:dyDescent="0.5">
      <c r="S325" s="37">
        <f t="shared" si="9"/>
        <v>1349.9686233066559</v>
      </c>
      <c r="U325" s="26">
        <f t="shared" si="8"/>
        <v>1254.9686233066559</v>
      </c>
    </row>
    <row r="326" spans="19:21" ht="14.65" thickBot="1" x14ac:dyDescent="0.5">
      <c r="S326" s="37">
        <f t="shared" si="9"/>
        <v>1363.4683095397224</v>
      </c>
      <c r="U326" s="26">
        <f t="shared" si="8"/>
        <v>1268.4683095397224</v>
      </c>
    </row>
    <row r="327" spans="19:21" ht="14.65" thickBot="1" x14ac:dyDescent="0.5">
      <c r="S327" s="37">
        <f t="shared" si="9"/>
        <v>1377.1029926351198</v>
      </c>
      <c r="U327" s="26">
        <f t="shared" si="8"/>
        <v>1282.1029926351198</v>
      </c>
    </row>
    <row r="328" spans="19:21" ht="14.65" thickBot="1" x14ac:dyDescent="0.5">
      <c r="S328" s="37">
        <f t="shared" si="9"/>
        <v>1390.8740225614711</v>
      </c>
      <c r="U328" s="26">
        <f t="shared" si="8"/>
        <v>1295.8740225614711</v>
      </c>
    </row>
    <row r="329" spans="19:21" ht="14.65" thickBot="1" x14ac:dyDescent="0.5">
      <c r="S329" s="37">
        <f t="shared" si="9"/>
        <v>1404.7827627870859</v>
      </c>
      <c r="U329" s="26">
        <f t="shared" si="8"/>
        <v>1309.7827627870859</v>
      </c>
    </row>
    <row r="330" spans="19:21" ht="14.65" thickBot="1" x14ac:dyDescent="0.5">
      <c r="S330" s="37">
        <f t="shared" si="9"/>
        <v>1418.8305904149568</v>
      </c>
      <c r="U330" s="26">
        <f t="shared" si="8"/>
        <v>1323.8305904149568</v>
      </c>
    </row>
    <row r="331" spans="19:21" ht="14.65" thickBot="1" x14ac:dyDescent="0.5">
      <c r="S331" s="37">
        <f t="shared" si="9"/>
        <v>1433.0188963191063</v>
      </c>
      <c r="U331" s="26">
        <f t="shared" si="8"/>
        <v>1338.0188963191063</v>
      </c>
    </row>
    <row r="332" spans="19:21" ht="14.65" thickBot="1" x14ac:dyDescent="0.5">
      <c r="S332" s="37">
        <f t="shared" si="9"/>
        <v>1447.3490852822974</v>
      </c>
      <c r="U332" s="26">
        <f t="shared" si="8"/>
        <v>1352.3490852822974</v>
      </c>
    </row>
    <row r="333" spans="19:21" ht="14.65" thickBot="1" x14ac:dyDescent="0.5">
      <c r="S333" s="37">
        <f t="shared" si="9"/>
        <v>1461.8225761351205</v>
      </c>
      <c r="U333" s="26">
        <f t="shared" si="8"/>
        <v>1366.8225761351205</v>
      </c>
    </row>
    <row r="334" spans="19:21" ht="14.65" thickBot="1" x14ac:dyDescent="0.5">
      <c r="S334" s="37">
        <f t="shared" si="9"/>
        <v>1476.4408018964716</v>
      </c>
      <c r="U334" s="26">
        <f t="shared" si="8"/>
        <v>1381.4408018964716</v>
      </c>
    </row>
    <row r="335" spans="19:21" ht="14.65" thickBot="1" x14ac:dyDescent="0.5">
      <c r="S335" s="37">
        <f t="shared" si="9"/>
        <v>1491.2052099154364</v>
      </c>
      <c r="U335" s="26">
        <f t="shared" si="8"/>
        <v>1396.2052099154364</v>
      </c>
    </row>
    <row r="336" spans="19:21" ht="14.65" thickBot="1" x14ac:dyDescent="0.5">
      <c r="S336" s="37">
        <f t="shared" si="9"/>
        <v>1506.1172620145908</v>
      </c>
      <c r="U336" s="26">
        <f t="shared" si="8"/>
        <v>1411.1172620145908</v>
      </c>
    </row>
    <row r="337" spans="19:21" ht="14.65" thickBot="1" x14ac:dyDescent="0.5">
      <c r="S337" s="37">
        <f t="shared" si="9"/>
        <v>1521.1784346347367</v>
      </c>
      <c r="U337" s="26">
        <f t="shared" ref="U337:U400" si="10">IF(S337&lt;$D$7,-$D$8,(S337-$D$7)-$D$8)</f>
        <v>1426.1784346347367</v>
      </c>
    </row>
    <row r="338" spans="19:21" ht="14.65" thickBot="1" x14ac:dyDescent="0.5">
      <c r="S338" s="37">
        <f t="shared" si="9"/>
        <v>1536.3902189810842</v>
      </c>
      <c r="U338" s="26">
        <f t="shared" si="10"/>
        <v>1441.3902189810842</v>
      </c>
    </row>
    <row r="339" spans="19:21" ht="14.65" thickBot="1" x14ac:dyDescent="0.5">
      <c r="S339" s="37">
        <f t="shared" ref="S339:S402" si="11">S338*(1.01)</f>
        <v>1551.7541211708951</v>
      </c>
      <c r="U339" s="26">
        <f t="shared" si="10"/>
        <v>1456.7541211708951</v>
      </c>
    </row>
    <row r="340" spans="19:21" ht="14.65" thickBot="1" x14ac:dyDescent="0.5">
      <c r="S340" s="37">
        <f t="shared" si="11"/>
        <v>1567.2716623826041</v>
      </c>
      <c r="U340" s="26">
        <f t="shared" si="10"/>
        <v>1472.2716623826041</v>
      </c>
    </row>
    <row r="341" spans="19:21" ht="14.65" thickBot="1" x14ac:dyDescent="0.5">
      <c r="S341" s="37">
        <f t="shared" si="11"/>
        <v>1582.9443790064302</v>
      </c>
      <c r="U341" s="26">
        <f t="shared" si="10"/>
        <v>1487.9443790064302</v>
      </c>
    </row>
    <row r="342" spans="19:21" ht="14.65" thickBot="1" x14ac:dyDescent="0.5">
      <c r="S342" s="37">
        <f t="shared" si="11"/>
        <v>1598.7738227964944</v>
      </c>
      <c r="U342" s="26">
        <f t="shared" si="10"/>
        <v>1503.7738227964944</v>
      </c>
    </row>
    <row r="343" spans="19:21" ht="14.65" thickBot="1" x14ac:dyDescent="0.5">
      <c r="S343" s="37">
        <f t="shared" si="11"/>
        <v>1614.7615610244593</v>
      </c>
      <c r="U343" s="26">
        <f t="shared" si="10"/>
        <v>1519.7615610244593</v>
      </c>
    </row>
    <row r="344" spans="19:21" ht="14.65" thickBot="1" x14ac:dyDescent="0.5">
      <c r="S344" s="37">
        <f t="shared" si="11"/>
        <v>1630.909176634704</v>
      </c>
      <c r="U344" s="26">
        <f t="shared" si="10"/>
        <v>1535.909176634704</v>
      </c>
    </row>
    <row r="345" spans="19:21" ht="14.65" thickBot="1" x14ac:dyDescent="0.5">
      <c r="S345" s="37">
        <f t="shared" si="11"/>
        <v>1647.2182684010511</v>
      </c>
      <c r="U345" s="26">
        <f t="shared" si="10"/>
        <v>1552.2182684010511</v>
      </c>
    </row>
    <row r="346" spans="19:21" ht="14.65" thickBot="1" x14ac:dyDescent="0.5">
      <c r="S346" s="37">
        <f t="shared" si="11"/>
        <v>1663.6904510850616</v>
      </c>
      <c r="U346" s="26">
        <f t="shared" si="10"/>
        <v>1568.6904510850616</v>
      </c>
    </row>
    <row r="347" spans="19:21" ht="14.65" thickBot="1" x14ac:dyDescent="0.5">
      <c r="S347" s="37">
        <f t="shared" si="11"/>
        <v>1680.3273555959122</v>
      </c>
      <c r="U347" s="26">
        <f t="shared" si="10"/>
        <v>1585.3273555959122</v>
      </c>
    </row>
    <row r="348" spans="19:21" ht="14.65" thickBot="1" x14ac:dyDescent="0.5">
      <c r="S348" s="37">
        <f t="shared" si="11"/>
        <v>1697.1306291518713</v>
      </c>
      <c r="U348" s="26">
        <f t="shared" si="10"/>
        <v>1602.1306291518713</v>
      </c>
    </row>
    <row r="349" spans="19:21" ht="14.65" thickBot="1" x14ac:dyDescent="0.5">
      <c r="S349" s="37">
        <f t="shared" si="11"/>
        <v>1714.1019354433899</v>
      </c>
      <c r="U349" s="26">
        <f t="shared" si="10"/>
        <v>1619.1019354433899</v>
      </c>
    </row>
    <row r="350" spans="19:21" ht="14.65" thickBot="1" x14ac:dyDescent="0.5">
      <c r="S350" s="37">
        <f t="shared" si="11"/>
        <v>1731.2429547978238</v>
      </c>
      <c r="U350" s="26">
        <f t="shared" si="10"/>
        <v>1636.2429547978238</v>
      </c>
    </row>
    <row r="351" spans="19:21" ht="14.65" thickBot="1" x14ac:dyDescent="0.5">
      <c r="S351" s="37">
        <f t="shared" si="11"/>
        <v>1748.5553843458022</v>
      </c>
      <c r="U351" s="26">
        <f t="shared" si="10"/>
        <v>1653.5553843458022</v>
      </c>
    </row>
    <row r="352" spans="19:21" ht="14.65" thickBot="1" x14ac:dyDescent="0.5">
      <c r="S352" s="37">
        <f t="shared" si="11"/>
        <v>1766.0409381892603</v>
      </c>
      <c r="U352" s="26">
        <f t="shared" si="10"/>
        <v>1671.0409381892603</v>
      </c>
    </row>
    <row r="353" spans="19:21" ht="14.65" thickBot="1" x14ac:dyDescent="0.5">
      <c r="S353" s="37">
        <f t="shared" si="11"/>
        <v>1783.7013475711528</v>
      </c>
      <c r="U353" s="26">
        <f t="shared" si="10"/>
        <v>1688.7013475711528</v>
      </c>
    </row>
    <row r="354" spans="19:21" ht="14.65" thickBot="1" x14ac:dyDescent="0.5">
      <c r="S354" s="37">
        <f t="shared" si="11"/>
        <v>1801.5383610468643</v>
      </c>
      <c r="U354" s="26">
        <f t="shared" si="10"/>
        <v>1706.5383610468643</v>
      </c>
    </row>
    <row r="355" spans="19:21" ht="14.65" thickBot="1" x14ac:dyDescent="0.5">
      <c r="S355" s="37">
        <f t="shared" si="11"/>
        <v>1819.553744657333</v>
      </c>
      <c r="U355" s="26">
        <f t="shared" si="10"/>
        <v>1724.553744657333</v>
      </c>
    </row>
    <row r="356" spans="19:21" ht="14.65" thickBot="1" x14ac:dyDescent="0.5">
      <c r="S356" s="37">
        <f t="shared" si="11"/>
        <v>1837.7492821039064</v>
      </c>
      <c r="U356" s="26">
        <f t="shared" si="10"/>
        <v>1742.7492821039064</v>
      </c>
    </row>
    <row r="357" spans="19:21" ht="14.65" thickBot="1" x14ac:dyDescent="0.5">
      <c r="S357" s="37">
        <f t="shared" si="11"/>
        <v>1856.1267749249455</v>
      </c>
      <c r="U357" s="26">
        <f t="shared" si="10"/>
        <v>1761.1267749249455</v>
      </c>
    </row>
    <row r="358" spans="19:21" ht="14.65" thickBot="1" x14ac:dyDescent="0.5">
      <c r="S358" s="37">
        <f t="shared" si="11"/>
        <v>1874.688042674195</v>
      </c>
      <c r="U358" s="26">
        <f t="shared" si="10"/>
        <v>1779.688042674195</v>
      </c>
    </row>
    <row r="359" spans="19:21" ht="14.65" thickBot="1" x14ac:dyDescent="0.5">
      <c r="S359" s="37">
        <f t="shared" si="11"/>
        <v>1893.4349231009369</v>
      </c>
      <c r="U359" s="26">
        <f t="shared" si="10"/>
        <v>1798.4349231009369</v>
      </c>
    </row>
    <row r="360" spans="19:21" ht="14.65" thickBot="1" x14ac:dyDescent="0.5">
      <c r="S360" s="37">
        <f t="shared" si="11"/>
        <v>1912.3692723319464</v>
      </c>
      <c r="U360" s="26">
        <f t="shared" si="10"/>
        <v>1817.3692723319464</v>
      </c>
    </row>
    <row r="361" spans="19:21" ht="14.65" thickBot="1" x14ac:dyDescent="0.5">
      <c r="S361" s="37">
        <f t="shared" si="11"/>
        <v>1931.4929650552658</v>
      </c>
      <c r="U361" s="26">
        <f t="shared" si="10"/>
        <v>1836.4929650552658</v>
      </c>
    </row>
    <row r="362" spans="19:21" ht="14.65" thickBot="1" x14ac:dyDescent="0.5">
      <c r="S362" s="37">
        <f t="shared" si="11"/>
        <v>1950.8078947058184</v>
      </c>
      <c r="U362" s="26">
        <f t="shared" si="10"/>
        <v>1855.8078947058184</v>
      </c>
    </row>
    <row r="363" spans="19:21" ht="14.65" thickBot="1" x14ac:dyDescent="0.5">
      <c r="S363" s="37">
        <f t="shared" si="11"/>
        <v>1970.3159736528767</v>
      </c>
      <c r="U363" s="26">
        <f t="shared" si="10"/>
        <v>1875.3159736528767</v>
      </c>
    </row>
    <row r="364" spans="19:21" ht="14.65" thickBot="1" x14ac:dyDescent="0.5">
      <c r="S364" s="37">
        <f t="shared" si="11"/>
        <v>1990.0191333894054</v>
      </c>
      <c r="U364" s="26">
        <f t="shared" si="10"/>
        <v>1895.0191333894054</v>
      </c>
    </row>
    <row r="365" spans="19:21" ht="14.65" thickBot="1" x14ac:dyDescent="0.5">
      <c r="S365" s="37">
        <f t="shared" si="11"/>
        <v>2009.9193247232995</v>
      </c>
      <c r="U365" s="26">
        <f t="shared" si="10"/>
        <v>1914.9193247232995</v>
      </c>
    </row>
    <row r="366" spans="19:21" ht="14.65" thickBot="1" x14ac:dyDescent="0.5">
      <c r="S366" s="37">
        <f t="shared" si="11"/>
        <v>2030.0185179705325</v>
      </c>
      <c r="U366" s="26">
        <f t="shared" si="10"/>
        <v>1935.0185179705325</v>
      </c>
    </row>
    <row r="367" spans="19:21" ht="14.65" thickBot="1" x14ac:dyDescent="0.5">
      <c r="S367" s="37">
        <f t="shared" si="11"/>
        <v>2050.318703150238</v>
      </c>
      <c r="U367" s="26">
        <f t="shared" si="10"/>
        <v>1955.318703150238</v>
      </c>
    </row>
    <row r="368" spans="19:21" ht="14.65" thickBot="1" x14ac:dyDescent="0.5">
      <c r="S368" s="37">
        <f t="shared" si="11"/>
        <v>2070.8218901817404</v>
      </c>
      <c r="U368" s="26">
        <f t="shared" si="10"/>
        <v>1975.8218901817404</v>
      </c>
    </row>
    <row r="369" spans="19:21" ht="14.65" thickBot="1" x14ac:dyDescent="0.5">
      <c r="S369" s="37">
        <f t="shared" si="11"/>
        <v>2091.5301090835578</v>
      </c>
      <c r="U369" s="26">
        <f t="shared" si="10"/>
        <v>1996.5301090835578</v>
      </c>
    </row>
    <row r="370" spans="19:21" ht="14.65" thickBot="1" x14ac:dyDescent="0.5">
      <c r="S370" s="37">
        <f t="shared" si="11"/>
        <v>2112.4454101743936</v>
      </c>
      <c r="U370" s="26">
        <f t="shared" si="10"/>
        <v>2017.4454101743936</v>
      </c>
    </row>
    <row r="371" spans="19:21" ht="14.65" thickBot="1" x14ac:dyDescent="0.5">
      <c r="S371" s="37">
        <f t="shared" si="11"/>
        <v>2133.5698642761377</v>
      </c>
      <c r="U371" s="26">
        <f t="shared" si="10"/>
        <v>2038.5698642761377</v>
      </c>
    </row>
    <row r="372" spans="19:21" ht="14.65" thickBot="1" x14ac:dyDescent="0.5">
      <c r="S372" s="37">
        <f t="shared" si="11"/>
        <v>2154.9055629188992</v>
      </c>
      <c r="U372" s="26">
        <f t="shared" si="10"/>
        <v>2059.9055629188992</v>
      </c>
    </row>
    <row r="373" spans="19:21" ht="14.65" thickBot="1" x14ac:dyDescent="0.5">
      <c r="S373" s="37">
        <f t="shared" si="11"/>
        <v>2176.4546185480881</v>
      </c>
      <c r="U373" s="26">
        <f t="shared" si="10"/>
        <v>2081.4546185480881</v>
      </c>
    </row>
    <row r="374" spans="19:21" ht="14.65" thickBot="1" x14ac:dyDescent="0.5">
      <c r="S374" s="37">
        <f t="shared" si="11"/>
        <v>2198.219164733569</v>
      </c>
      <c r="U374" s="26">
        <f t="shared" si="10"/>
        <v>2103.219164733569</v>
      </c>
    </row>
    <row r="375" spans="19:21" ht="14.65" thickBot="1" x14ac:dyDescent="0.5">
      <c r="S375" s="37">
        <f t="shared" si="11"/>
        <v>2220.2013563809046</v>
      </c>
      <c r="U375" s="26">
        <f t="shared" si="10"/>
        <v>2125.2013563809046</v>
      </c>
    </row>
    <row r="376" spans="19:21" ht="14.65" thickBot="1" x14ac:dyDescent="0.5">
      <c r="S376" s="37">
        <f t="shared" si="11"/>
        <v>2242.4033699447136</v>
      </c>
      <c r="U376" s="26">
        <f t="shared" si="10"/>
        <v>2147.4033699447136</v>
      </c>
    </row>
    <row r="377" spans="19:21" ht="14.65" thickBot="1" x14ac:dyDescent="0.5">
      <c r="S377" s="37">
        <f t="shared" si="11"/>
        <v>2264.8274036441608</v>
      </c>
      <c r="U377" s="26">
        <f t="shared" si="10"/>
        <v>2169.8274036441608</v>
      </c>
    </row>
    <row r="378" spans="19:21" ht="14.65" thickBot="1" x14ac:dyDescent="0.5">
      <c r="S378" s="37">
        <f t="shared" si="11"/>
        <v>2287.4756776806025</v>
      </c>
      <c r="U378" s="26">
        <f t="shared" si="10"/>
        <v>2192.4756776806025</v>
      </c>
    </row>
    <row r="379" spans="19:21" ht="14.65" thickBot="1" x14ac:dyDescent="0.5">
      <c r="S379" s="37">
        <f t="shared" si="11"/>
        <v>2310.3504344574085</v>
      </c>
      <c r="U379" s="26">
        <f t="shared" si="10"/>
        <v>2215.3504344574085</v>
      </c>
    </row>
    <row r="380" spans="19:21" ht="14.65" thickBot="1" x14ac:dyDescent="0.5">
      <c r="S380" s="37">
        <f t="shared" si="11"/>
        <v>2333.4539388019825</v>
      </c>
      <c r="U380" s="26">
        <f t="shared" si="10"/>
        <v>2238.4539388019825</v>
      </c>
    </row>
    <row r="381" spans="19:21" ht="14.65" thickBot="1" x14ac:dyDescent="0.5">
      <c r="S381" s="37">
        <f t="shared" si="11"/>
        <v>2356.7884781900025</v>
      </c>
      <c r="U381" s="26">
        <f t="shared" si="10"/>
        <v>2261.7884781900025</v>
      </c>
    </row>
    <row r="382" spans="19:21" ht="14.65" thickBot="1" x14ac:dyDescent="0.5">
      <c r="S382" s="37">
        <f t="shared" si="11"/>
        <v>2380.3563629719024</v>
      </c>
      <c r="U382" s="26">
        <f t="shared" si="10"/>
        <v>2285.3563629719024</v>
      </c>
    </row>
    <row r="383" spans="19:21" ht="14.65" thickBot="1" x14ac:dyDescent="0.5">
      <c r="S383" s="37">
        <f t="shared" si="11"/>
        <v>2404.1599266016215</v>
      </c>
      <c r="U383" s="26">
        <f t="shared" si="10"/>
        <v>2309.1599266016215</v>
      </c>
    </row>
    <row r="384" spans="19:21" ht="14.65" thickBot="1" x14ac:dyDescent="0.5">
      <c r="S384" s="37">
        <f t="shared" si="11"/>
        <v>2428.2015258676379</v>
      </c>
      <c r="U384" s="26">
        <f t="shared" si="10"/>
        <v>2333.2015258676379</v>
      </c>
    </row>
    <row r="385" spans="19:21" ht="14.65" thickBot="1" x14ac:dyDescent="0.5">
      <c r="S385" s="37">
        <f t="shared" si="11"/>
        <v>2452.4835411263143</v>
      </c>
      <c r="U385" s="26">
        <f t="shared" si="10"/>
        <v>2357.4835411263143</v>
      </c>
    </row>
    <row r="386" spans="19:21" ht="14.65" thickBot="1" x14ac:dyDescent="0.5">
      <c r="S386" s="37">
        <f t="shared" si="11"/>
        <v>2477.0083765375775</v>
      </c>
      <c r="U386" s="26">
        <f t="shared" si="10"/>
        <v>2382.0083765375775</v>
      </c>
    </row>
    <row r="387" spans="19:21" ht="14.65" thickBot="1" x14ac:dyDescent="0.5">
      <c r="S387" s="37">
        <f t="shared" si="11"/>
        <v>2501.7784603029531</v>
      </c>
      <c r="U387" s="26">
        <f t="shared" si="10"/>
        <v>2406.7784603029531</v>
      </c>
    </row>
    <row r="388" spans="19:21" ht="14.65" thickBot="1" x14ac:dyDescent="0.5">
      <c r="S388" s="37">
        <f t="shared" si="11"/>
        <v>2526.7962449059828</v>
      </c>
      <c r="U388" s="26">
        <f t="shared" si="10"/>
        <v>2431.7962449059828</v>
      </c>
    </row>
    <row r="389" spans="19:21" ht="14.65" thickBot="1" x14ac:dyDescent="0.5">
      <c r="S389" s="37">
        <f t="shared" si="11"/>
        <v>2552.0642073550425</v>
      </c>
      <c r="U389" s="26">
        <f t="shared" si="10"/>
        <v>2457.0642073550425</v>
      </c>
    </row>
    <row r="390" spans="19:21" ht="14.65" thickBot="1" x14ac:dyDescent="0.5">
      <c r="S390" s="37">
        <f t="shared" si="11"/>
        <v>2577.5848494285929</v>
      </c>
      <c r="U390" s="26">
        <f t="shared" si="10"/>
        <v>2482.5848494285929</v>
      </c>
    </row>
    <row r="391" spans="19:21" ht="14.65" thickBot="1" x14ac:dyDescent="0.5">
      <c r="S391" s="37">
        <f t="shared" si="11"/>
        <v>2603.3606979228789</v>
      </c>
      <c r="U391" s="26">
        <f t="shared" si="10"/>
        <v>2508.3606979228789</v>
      </c>
    </row>
    <row r="392" spans="19:21" ht="14.65" thickBot="1" x14ac:dyDescent="0.5">
      <c r="S392" s="37">
        <f t="shared" si="11"/>
        <v>2629.3943049021077</v>
      </c>
      <c r="U392" s="26">
        <f t="shared" si="10"/>
        <v>2534.3943049021077</v>
      </c>
    </row>
    <row r="393" spans="19:21" ht="14.65" thickBot="1" x14ac:dyDescent="0.5">
      <c r="S393" s="37">
        <f t="shared" si="11"/>
        <v>2655.6882479511287</v>
      </c>
      <c r="U393" s="26">
        <f t="shared" si="10"/>
        <v>2560.6882479511287</v>
      </c>
    </row>
    <row r="394" spans="19:21" ht="14.65" thickBot="1" x14ac:dyDescent="0.5">
      <c r="S394" s="37">
        <f t="shared" si="11"/>
        <v>2682.2451304306401</v>
      </c>
      <c r="U394" s="26">
        <f t="shared" si="10"/>
        <v>2587.2451304306401</v>
      </c>
    </row>
    <row r="395" spans="19:21" ht="14.65" thickBot="1" x14ac:dyDescent="0.5">
      <c r="S395" s="37">
        <f t="shared" si="11"/>
        <v>2709.0675817349465</v>
      </c>
      <c r="U395" s="26">
        <f t="shared" si="10"/>
        <v>2614.0675817349465</v>
      </c>
    </row>
    <row r="396" spans="19:21" ht="14.65" thickBot="1" x14ac:dyDescent="0.5">
      <c r="S396" s="37">
        <f t="shared" si="11"/>
        <v>2736.1582575522962</v>
      </c>
      <c r="U396" s="26">
        <f t="shared" si="10"/>
        <v>2641.1582575522962</v>
      </c>
    </row>
    <row r="397" spans="19:21" ht="14.65" thickBot="1" x14ac:dyDescent="0.5">
      <c r="S397" s="37">
        <f t="shared" si="11"/>
        <v>2763.519840127819</v>
      </c>
      <c r="U397" s="26">
        <f t="shared" si="10"/>
        <v>2668.519840127819</v>
      </c>
    </row>
    <row r="398" spans="19:21" ht="14.65" thickBot="1" x14ac:dyDescent="0.5">
      <c r="S398" s="37">
        <f t="shared" si="11"/>
        <v>2791.1550385290971</v>
      </c>
      <c r="U398" s="26">
        <f t="shared" si="10"/>
        <v>2696.1550385290971</v>
      </c>
    </row>
    <row r="399" spans="19:21" ht="14.65" thickBot="1" x14ac:dyDescent="0.5">
      <c r="S399" s="37">
        <f t="shared" si="11"/>
        <v>2819.0665889143879</v>
      </c>
      <c r="U399" s="26">
        <f t="shared" si="10"/>
        <v>2724.0665889143879</v>
      </c>
    </row>
    <row r="400" spans="19:21" ht="14.65" thickBot="1" x14ac:dyDescent="0.5">
      <c r="S400" s="37">
        <f t="shared" si="11"/>
        <v>2847.2572548035319</v>
      </c>
      <c r="U400" s="26">
        <f t="shared" si="10"/>
        <v>2752.2572548035319</v>
      </c>
    </row>
    <row r="401" spans="19:21" ht="14.65" thickBot="1" x14ac:dyDescent="0.5">
      <c r="S401" s="37">
        <f t="shared" si="11"/>
        <v>2875.7298273515671</v>
      </c>
      <c r="U401" s="26">
        <f t="shared" ref="U401:U464" si="12">IF(S401&lt;$D$7,-$D$8,(S401-$D$7)-$D$8)</f>
        <v>2780.7298273515671</v>
      </c>
    </row>
    <row r="402" spans="19:21" ht="14.65" thickBot="1" x14ac:dyDescent="0.5">
      <c r="S402" s="37">
        <f t="shared" si="11"/>
        <v>2904.4871256250826</v>
      </c>
      <c r="U402" s="26">
        <f t="shared" si="12"/>
        <v>2809.4871256250826</v>
      </c>
    </row>
    <row r="403" spans="19:21" ht="14.65" thickBot="1" x14ac:dyDescent="0.5">
      <c r="S403" s="37">
        <f t="shared" ref="S403:S466" si="13">S402*(1.01)</f>
        <v>2933.5319968813333</v>
      </c>
      <c r="U403" s="26">
        <f t="shared" si="12"/>
        <v>2838.5319968813333</v>
      </c>
    </row>
    <row r="404" spans="19:21" ht="14.65" thickBot="1" x14ac:dyDescent="0.5">
      <c r="S404" s="37">
        <f t="shared" si="13"/>
        <v>2962.8673168501468</v>
      </c>
      <c r="U404" s="26">
        <f t="shared" si="12"/>
        <v>2867.8673168501468</v>
      </c>
    </row>
    <row r="405" spans="19:21" ht="14.65" thickBot="1" x14ac:dyDescent="0.5">
      <c r="S405" s="37">
        <f t="shared" si="13"/>
        <v>2992.4959900186482</v>
      </c>
      <c r="U405" s="26">
        <f t="shared" si="12"/>
        <v>2897.4959900186482</v>
      </c>
    </row>
    <row r="406" spans="19:21" ht="14.65" thickBot="1" x14ac:dyDescent="0.5">
      <c r="S406" s="37">
        <f t="shared" si="13"/>
        <v>3022.4209499188346</v>
      </c>
      <c r="U406" s="26">
        <f t="shared" si="12"/>
        <v>2927.4209499188346</v>
      </c>
    </row>
    <row r="407" spans="19:21" ht="14.65" thickBot="1" x14ac:dyDescent="0.5">
      <c r="S407" s="37">
        <f t="shared" si="13"/>
        <v>3052.645159418023</v>
      </c>
      <c r="U407" s="26">
        <f t="shared" si="12"/>
        <v>2957.645159418023</v>
      </c>
    </row>
    <row r="408" spans="19:21" ht="14.65" thickBot="1" x14ac:dyDescent="0.5">
      <c r="S408" s="37">
        <f t="shared" si="13"/>
        <v>3083.1716110122034</v>
      </c>
      <c r="U408" s="26">
        <f t="shared" si="12"/>
        <v>2988.1716110122034</v>
      </c>
    </row>
    <row r="409" spans="19:21" ht="14.65" thickBot="1" x14ac:dyDescent="0.5">
      <c r="S409" s="37">
        <f t="shared" si="13"/>
        <v>3114.0033271223256</v>
      </c>
      <c r="U409" s="26">
        <f t="shared" si="12"/>
        <v>3019.0033271223256</v>
      </c>
    </row>
    <row r="410" spans="19:21" ht="14.65" thickBot="1" x14ac:dyDescent="0.5">
      <c r="S410" s="37">
        <f t="shared" si="13"/>
        <v>3145.1433603935488</v>
      </c>
      <c r="U410" s="26">
        <f t="shared" si="12"/>
        <v>3050.1433603935488</v>
      </c>
    </row>
    <row r="411" spans="19:21" ht="14.65" thickBot="1" x14ac:dyDescent="0.5">
      <c r="S411" s="37">
        <f t="shared" si="13"/>
        <v>3176.5947939974844</v>
      </c>
      <c r="U411" s="26">
        <f t="shared" si="12"/>
        <v>3081.5947939974844</v>
      </c>
    </row>
    <row r="412" spans="19:21" ht="14.65" thickBot="1" x14ac:dyDescent="0.5">
      <c r="S412" s="37">
        <f t="shared" si="13"/>
        <v>3208.3607419374594</v>
      </c>
      <c r="U412" s="26">
        <f t="shared" si="12"/>
        <v>3113.3607419374594</v>
      </c>
    </row>
    <row r="413" spans="19:21" ht="14.65" thickBot="1" x14ac:dyDescent="0.5">
      <c r="S413" s="37">
        <f t="shared" si="13"/>
        <v>3240.4443493568338</v>
      </c>
      <c r="U413" s="26">
        <f t="shared" si="12"/>
        <v>3145.4443493568338</v>
      </c>
    </row>
    <row r="414" spans="19:21" ht="14.65" thickBot="1" x14ac:dyDescent="0.5">
      <c r="S414" s="37">
        <f t="shared" si="13"/>
        <v>3272.8487928504023</v>
      </c>
      <c r="U414" s="26">
        <f t="shared" si="12"/>
        <v>3177.8487928504023</v>
      </c>
    </row>
    <row r="415" spans="19:21" ht="14.65" thickBot="1" x14ac:dyDescent="0.5">
      <c r="S415" s="37">
        <f t="shared" si="13"/>
        <v>3305.5772807789062</v>
      </c>
      <c r="U415" s="26">
        <f t="shared" si="12"/>
        <v>3210.5772807789062</v>
      </c>
    </row>
    <row r="416" spans="19:21" ht="14.65" thickBot="1" x14ac:dyDescent="0.5">
      <c r="S416" s="37">
        <f t="shared" si="13"/>
        <v>3338.6330535866955</v>
      </c>
      <c r="U416" s="26">
        <f t="shared" si="12"/>
        <v>3243.6330535866955</v>
      </c>
    </row>
    <row r="417" spans="19:21" ht="14.65" thickBot="1" x14ac:dyDescent="0.5">
      <c r="S417" s="37">
        <f t="shared" si="13"/>
        <v>3372.0193841225623</v>
      </c>
      <c r="U417" s="26">
        <f t="shared" si="12"/>
        <v>3277.0193841225623</v>
      </c>
    </row>
    <row r="418" spans="19:21" ht="14.65" thickBot="1" x14ac:dyDescent="0.5">
      <c r="S418" s="37">
        <f t="shared" si="13"/>
        <v>3405.7395779637882</v>
      </c>
      <c r="U418" s="26">
        <f t="shared" si="12"/>
        <v>3310.7395779637882</v>
      </c>
    </row>
    <row r="419" spans="19:21" ht="14.65" thickBot="1" x14ac:dyDescent="0.5">
      <c r="S419" s="37">
        <f t="shared" si="13"/>
        <v>3439.796973743426</v>
      </c>
      <c r="U419" s="26">
        <f t="shared" si="12"/>
        <v>3344.796973743426</v>
      </c>
    </row>
    <row r="420" spans="19:21" ht="14.65" thickBot="1" x14ac:dyDescent="0.5">
      <c r="S420" s="37">
        <f t="shared" si="13"/>
        <v>3474.1949434808603</v>
      </c>
      <c r="U420" s="26">
        <f t="shared" si="12"/>
        <v>3379.1949434808603</v>
      </c>
    </row>
    <row r="421" spans="19:21" ht="14.65" thickBot="1" x14ac:dyDescent="0.5">
      <c r="S421" s="37">
        <f t="shared" si="13"/>
        <v>3508.936892915669</v>
      </c>
      <c r="U421" s="26">
        <f t="shared" si="12"/>
        <v>3413.936892915669</v>
      </c>
    </row>
    <row r="422" spans="19:21" ht="14.65" thickBot="1" x14ac:dyDescent="0.5">
      <c r="S422" s="37">
        <f t="shared" si="13"/>
        <v>3544.0262618448255</v>
      </c>
      <c r="U422" s="26">
        <f t="shared" si="12"/>
        <v>3449.0262618448255</v>
      </c>
    </row>
    <row r="423" spans="19:21" ht="14.65" thickBot="1" x14ac:dyDescent="0.5">
      <c r="S423" s="37">
        <f t="shared" si="13"/>
        <v>3579.4665244632738</v>
      </c>
      <c r="U423" s="26">
        <f t="shared" si="12"/>
        <v>3484.4665244632738</v>
      </c>
    </row>
    <row r="424" spans="19:21" ht="14.65" thickBot="1" x14ac:dyDescent="0.5">
      <c r="S424" s="37">
        <f t="shared" si="13"/>
        <v>3615.2611897079064</v>
      </c>
      <c r="U424" s="26">
        <f t="shared" si="12"/>
        <v>3520.2611897079064</v>
      </c>
    </row>
    <row r="425" spans="19:21" ht="14.65" thickBot="1" x14ac:dyDescent="0.5">
      <c r="S425" s="37">
        <f t="shared" si="13"/>
        <v>3651.4138016049856</v>
      </c>
      <c r="U425" s="26">
        <f t="shared" si="12"/>
        <v>3556.4138016049856</v>
      </c>
    </row>
    <row r="426" spans="19:21" ht="14.65" thickBot="1" x14ac:dyDescent="0.5">
      <c r="S426" s="37">
        <f t="shared" si="13"/>
        <v>3687.9279396210354</v>
      </c>
      <c r="U426" s="26">
        <f t="shared" si="12"/>
        <v>3592.9279396210354</v>
      </c>
    </row>
    <row r="427" spans="19:21" ht="14.65" thickBot="1" x14ac:dyDescent="0.5">
      <c r="S427" s="37">
        <f t="shared" si="13"/>
        <v>3724.8072190172456</v>
      </c>
      <c r="U427" s="26">
        <f t="shared" si="12"/>
        <v>3629.8072190172456</v>
      </c>
    </row>
    <row r="428" spans="19:21" ht="14.65" thickBot="1" x14ac:dyDescent="0.5">
      <c r="S428" s="37">
        <f t="shared" si="13"/>
        <v>3762.0552912074181</v>
      </c>
      <c r="U428" s="26">
        <f t="shared" si="12"/>
        <v>3667.0552912074181</v>
      </c>
    </row>
    <row r="429" spans="19:21" ht="14.65" thickBot="1" x14ac:dyDescent="0.5">
      <c r="S429" s="37">
        <f t="shared" si="13"/>
        <v>3799.6758441194925</v>
      </c>
      <c r="U429" s="26">
        <f t="shared" si="12"/>
        <v>3704.6758441194925</v>
      </c>
    </row>
    <row r="430" spans="19:21" ht="14.65" thickBot="1" x14ac:dyDescent="0.5">
      <c r="S430" s="37">
        <f t="shared" si="13"/>
        <v>3837.6726025606872</v>
      </c>
      <c r="U430" s="26">
        <f t="shared" si="12"/>
        <v>3742.6726025606872</v>
      </c>
    </row>
    <row r="431" spans="19:21" ht="14.65" thickBot="1" x14ac:dyDescent="0.5">
      <c r="S431" s="37">
        <f t="shared" si="13"/>
        <v>3876.049328586294</v>
      </c>
      <c r="U431" s="26">
        <f t="shared" si="12"/>
        <v>3781.049328586294</v>
      </c>
    </row>
    <row r="432" spans="19:21" ht="14.65" thickBot="1" x14ac:dyDescent="0.5">
      <c r="S432" s="37">
        <f t="shared" si="13"/>
        <v>3914.809821872157</v>
      </c>
      <c r="U432" s="26">
        <f t="shared" si="12"/>
        <v>3819.809821872157</v>
      </c>
    </row>
    <row r="433" spans="19:21" ht="14.65" thickBot="1" x14ac:dyDescent="0.5">
      <c r="S433" s="37">
        <f t="shared" si="13"/>
        <v>3953.9579200908788</v>
      </c>
      <c r="U433" s="26">
        <f t="shared" si="12"/>
        <v>3858.9579200908788</v>
      </c>
    </row>
    <row r="434" spans="19:21" ht="14.65" thickBot="1" x14ac:dyDescent="0.5">
      <c r="S434" s="37">
        <f t="shared" si="13"/>
        <v>3993.4974992917878</v>
      </c>
      <c r="U434" s="26">
        <f t="shared" si="12"/>
        <v>3898.4974992917878</v>
      </c>
    </row>
    <row r="435" spans="19:21" ht="14.65" thickBot="1" x14ac:dyDescent="0.5">
      <c r="S435" s="37">
        <f t="shared" si="13"/>
        <v>4033.4324742847057</v>
      </c>
      <c r="U435" s="26">
        <f t="shared" si="12"/>
        <v>3938.4324742847057</v>
      </c>
    </row>
    <row r="436" spans="19:21" ht="14.65" thickBot="1" x14ac:dyDescent="0.5">
      <c r="S436" s="37">
        <f t="shared" si="13"/>
        <v>4073.7667990275527</v>
      </c>
      <c r="U436" s="26">
        <f t="shared" si="12"/>
        <v>3978.7667990275527</v>
      </c>
    </row>
    <row r="437" spans="19:21" ht="14.65" thickBot="1" x14ac:dyDescent="0.5">
      <c r="S437" s="37">
        <f t="shared" si="13"/>
        <v>4114.5044670178286</v>
      </c>
      <c r="U437" s="26">
        <f t="shared" si="12"/>
        <v>4019.5044670178286</v>
      </c>
    </row>
    <row r="438" spans="19:21" ht="14.65" thickBot="1" x14ac:dyDescent="0.5">
      <c r="S438" s="37">
        <f t="shared" si="13"/>
        <v>4155.6495116880069</v>
      </c>
      <c r="U438" s="26">
        <f t="shared" si="12"/>
        <v>4060.6495116880069</v>
      </c>
    </row>
    <row r="439" spans="19:21" ht="14.65" thickBot="1" x14ac:dyDescent="0.5">
      <c r="S439" s="37">
        <f t="shared" si="13"/>
        <v>4197.2060068048868</v>
      </c>
      <c r="U439" s="26">
        <f t="shared" si="12"/>
        <v>4102.2060068048868</v>
      </c>
    </row>
    <row r="440" spans="19:21" ht="14.65" thickBot="1" x14ac:dyDescent="0.5">
      <c r="S440" s="37">
        <f t="shared" si="13"/>
        <v>4239.1780668729361</v>
      </c>
      <c r="U440" s="26">
        <f t="shared" si="12"/>
        <v>4144.1780668729361</v>
      </c>
    </row>
    <row r="441" spans="19:21" ht="14.65" thickBot="1" x14ac:dyDescent="0.5">
      <c r="S441" s="37">
        <f t="shared" si="13"/>
        <v>4281.5698475416657</v>
      </c>
      <c r="U441" s="26">
        <f t="shared" si="12"/>
        <v>4186.5698475416657</v>
      </c>
    </row>
    <row r="442" spans="19:21" ht="14.65" thickBot="1" x14ac:dyDescent="0.5">
      <c r="S442" s="37">
        <f t="shared" si="13"/>
        <v>4324.3855460170826</v>
      </c>
      <c r="U442" s="26">
        <f t="shared" si="12"/>
        <v>4229.3855460170826</v>
      </c>
    </row>
    <row r="443" spans="19:21" ht="14.65" thickBot="1" x14ac:dyDescent="0.5">
      <c r="S443" s="37">
        <f t="shared" si="13"/>
        <v>4367.6294014772539</v>
      </c>
      <c r="U443" s="26">
        <f t="shared" si="12"/>
        <v>4272.6294014772539</v>
      </c>
    </row>
    <row r="444" spans="19:21" ht="14.65" thickBot="1" x14ac:dyDescent="0.5">
      <c r="S444" s="37">
        <f t="shared" si="13"/>
        <v>4411.3056954920266</v>
      </c>
      <c r="U444" s="26">
        <f t="shared" si="12"/>
        <v>4316.3056954920266</v>
      </c>
    </row>
    <row r="445" spans="19:21" ht="14.65" thickBot="1" x14ac:dyDescent="0.5">
      <c r="S445" s="37">
        <f t="shared" si="13"/>
        <v>4455.4187524469471</v>
      </c>
      <c r="U445" s="26">
        <f t="shared" si="12"/>
        <v>4360.4187524469471</v>
      </c>
    </row>
    <row r="446" spans="19:21" ht="14.65" thickBot="1" x14ac:dyDescent="0.5">
      <c r="S446" s="37">
        <f t="shared" si="13"/>
        <v>4499.972939971417</v>
      </c>
      <c r="U446" s="26">
        <f t="shared" si="12"/>
        <v>4404.972939971417</v>
      </c>
    </row>
    <row r="447" spans="19:21" ht="14.65" thickBot="1" x14ac:dyDescent="0.5">
      <c r="S447" s="37">
        <f t="shared" si="13"/>
        <v>4544.9726693711309</v>
      </c>
      <c r="U447" s="26">
        <f t="shared" si="12"/>
        <v>4449.9726693711309</v>
      </c>
    </row>
    <row r="448" spans="19:21" ht="14.65" thickBot="1" x14ac:dyDescent="0.5">
      <c r="S448" s="37">
        <f t="shared" si="13"/>
        <v>4590.4223960648424</v>
      </c>
      <c r="U448" s="26">
        <f t="shared" si="12"/>
        <v>4495.4223960648424</v>
      </c>
    </row>
    <row r="449" spans="19:21" ht="14.65" thickBot="1" x14ac:dyDescent="0.5">
      <c r="S449" s="37">
        <f t="shared" si="13"/>
        <v>4636.3266200254911</v>
      </c>
      <c r="U449" s="26">
        <f t="shared" si="12"/>
        <v>4541.3266200254911</v>
      </c>
    </row>
    <row r="450" spans="19:21" ht="14.65" thickBot="1" x14ac:dyDescent="0.5">
      <c r="S450" s="37">
        <f t="shared" si="13"/>
        <v>4682.6898862257458</v>
      </c>
      <c r="U450" s="26">
        <f t="shared" si="12"/>
        <v>4587.6898862257458</v>
      </c>
    </row>
    <row r="451" spans="19:21" ht="14.65" thickBot="1" x14ac:dyDescent="0.5">
      <c r="S451" s="37">
        <f t="shared" si="13"/>
        <v>4729.5167850880034</v>
      </c>
      <c r="U451" s="26">
        <f t="shared" si="12"/>
        <v>4634.5167850880034</v>
      </c>
    </row>
    <row r="452" spans="19:21" ht="14.65" thickBot="1" x14ac:dyDescent="0.5">
      <c r="S452" s="37">
        <f t="shared" si="13"/>
        <v>4776.8119529388832</v>
      </c>
      <c r="U452" s="26">
        <f t="shared" si="12"/>
        <v>4681.8119529388832</v>
      </c>
    </row>
    <row r="453" spans="19:21" ht="14.65" thickBot="1" x14ac:dyDescent="0.5">
      <c r="S453" s="37">
        <f t="shared" si="13"/>
        <v>4824.5800724682722</v>
      </c>
      <c r="U453" s="26">
        <f t="shared" si="12"/>
        <v>4729.5800724682722</v>
      </c>
    </row>
    <row r="454" spans="19:21" ht="14.65" thickBot="1" x14ac:dyDescent="0.5">
      <c r="S454" s="37">
        <f t="shared" si="13"/>
        <v>4872.8258731929545</v>
      </c>
      <c r="U454" s="26">
        <f t="shared" si="12"/>
        <v>4777.8258731929545</v>
      </c>
    </row>
    <row r="455" spans="19:21" ht="14.65" thickBot="1" x14ac:dyDescent="0.5">
      <c r="S455" s="37">
        <f t="shared" si="13"/>
        <v>4921.5541319248841</v>
      </c>
      <c r="U455" s="26">
        <f t="shared" si="12"/>
        <v>4826.5541319248841</v>
      </c>
    </row>
    <row r="456" spans="19:21" ht="14.65" thickBot="1" x14ac:dyDescent="0.5">
      <c r="S456" s="37">
        <f t="shared" si="13"/>
        <v>4970.7696732441327</v>
      </c>
      <c r="U456" s="26">
        <f t="shared" si="12"/>
        <v>4875.7696732441327</v>
      </c>
    </row>
    <row r="457" spans="19:21" ht="14.65" thickBot="1" x14ac:dyDescent="0.5">
      <c r="S457" s="37">
        <f t="shared" si="13"/>
        <v>5020.4773699765738</v>
      </c>
      <c r="U457" s="26">
        <f t="shared" si="12"/>
        <v>4925.4773699765738</v>
      </c>
    </row>
    <row r="458" spans="19:21" ht="14.65" thickBot="1" x14ac:dyDescent="0.5">
      <c r="S458" s="37">
        <f t="shared" si="13"/>
        <v>5070.6821436763394</v>
      </c>
      <c r="U458" s="26">
        <f t="shared" si="12"/>
        <v>4975.6821436763394</v>
      </c>
    </row>
    <row r="459" spans="19:21" ht="14.65" thickBot="1" x14ac:dyDescent="0.5">
      <c r="S459" s="37">
        <f t="shared" si="13"/>
        <v>5121.388965113103</v>
      </c>
      <c r="U459" s="26">
        <f t="shared" si="12"/>
        <v>5026.388965113103</v>
      </c>
    </row>
    <row r="460" spans="19:21" ht="14.65" thickBot="1" x14ac:dyDescent="0.5">
      <c r="S460" s="37">
        <f t="shared" si="13"/>
        <v>5172.6028547642345</v>
      </c>
      <c r="U460" s="26">
        <f t="shared" si="12"/>
        <v>5077.6028547642345</v>
      </c>
    </row>
    <row r="461" spans="19:21" ht="14.65" thickBot="1" x14ac:dyDescent="0.5">
      <c r="S461" s="37">
        <f t="shared" si="13"/>
        <v>5224.3288833118768</v>
      </c>
      <c r="U461" s="26">
        <f t="shared" si="12"/>
        <v>5129.3288833118768</v>
      </c>
    </row>
    <row r="462" spans="19:21" ht="14.65" thickBot="1" x14ac:dyDescent="0.5">
      <c r="S462" s="37">
        <f t="shared" si="13"/>
        <v>5276.5721721449954</v>
      </c>
      <c r="U462" s="26">
        <f t="shared" si="12"/>
        <v>5181.5721721449954</v>
      </c>
    </row>
    <row r="463" spans="19:21" ht="14.65" thickBot="1" x14ac:dyDescent="0.5">
      <c r="S463" s="37">
        <f t="shared" si="13"/>
        <v>5329.3378938664455</v>
      </c>
      <c r="U463" s="26">
        <f t="shared" si="12"/>
        <v>5234.3378938664455</v>
      </c>
    </row>
    <row r="464" spans="19:21" ht="14.65" thickBot="1" x14ac:dyDescent="0.5">
      <c r="S464" s="37">
        <f t="shared" si="13"/>
        <v>5382.6312728051098</v>
      </c>
      <c r="U464" s="26">
        <f t="shared" si="12"/>
        <v>5287.6312728051098</v>
      </c>
    </row>
    <row r="465" spans="19:21" ht="14.65" thickBot="1" x14ac:dyDescent="0.5">
      <c r="S465" s="37">
        <f t="shared" si="13"/>
        <v>5436.4575855331614</v>
      </c>
      <c r="U465" s="26">
        <f t="shared" ref="U465:U528" si="14">IF(S465&lt;$D$7,-$D$8,(S465-$D$7)-$D$8)</f>
        <v>5341.4575855331614</v>
      </c>
    </row>
    <row r="466" spans="19:21" ht="14.65" thickBot="1" x14ac:dyDescent="0.5">
      <c r="S466" s="37">
        <f t="shared" si="13"/>
        <v>5490.8221613884934</v>
      </c>
      <c r="U466" s="26">
        <f t="shared" si="14"/>
        <v>5395.8221613884934</v>
      </c>
    </row>
    <row r="467" spans="19:21" ht="14.65" thickBot="1" x14ac:dyDescent="0.5">
      <c r="S467" s="37">
        <f t="shared" ref="S467:S530" si="15">S466*(1.01)</f>
        <v>5545.7303830023784</v>
      </c>
      <c r="U467" s="26">
        <f t="shared" si="14"/>
        <v>5450.7303830023784</v>
      </c>
    </row>
    <row r="468" spans="19:21" ht="14.65" thickBot="1" x14ac:dyDescent="0.5">
      <c r="S468" s="37">
        <f t="shared" si="15"/>
        <v>5601.1876868324025</v>
      </c>
      <c r="U468" s="26">
        <f t="shared" si="14"/>
        <v>5506.1876868324025</v>
      </c>
    </row>
    <row r="469" spans="19:21" ht="14.65" thickBot="1" x14ac:dyDescent="0.5">
      <c r="S469" s="37">
        <f t="shared" si="15"/>
        <v>5657.1995637007267</v>
      </c>
      <c r="U469" s="26">
        <f t="shared" si="14"/>
        <v>5562.1995637007267</v>
      </c>
    </row>
    <row r="470" spans="19:21" ht="14.65" thickBot="1" x14ac:dyDescent="0.5">
      <c r="S470" s="37">
        <f t="shared" si="15"/>
        <v>5713.7715593377343</v>
      </c>
      <c r="U470" s="26">
        <f t="shared" si="14"/>
        <v>5618.7715593377343</v>
      </c>
    </row>
    <row r="471" spans="19:21" ht="14.65" thickBot="1" x14ac:dyDescent="0.5">
      <c r="S471" s="37">
        <f t="shared" si="15"/>
        <v>5770.9092749311121</v>
      </c>
      <c r="U471" s="26">
        <f t="shared" si="14"/>
        <v>5675.9092749311121</v>
      </c>
    </row>
    <row r="472" spans="19:21" ht="14.65" thickBot="1" x14ac:dyDescent="0.5">
      <c r="S472" s="37">
        <f t="shared" si="15"/>
        <v>5828.618367680423</v>
      </c>
      <c r="U472" s="26">
        <f t="shared" si="14"/>
        <v>5733.618367680423</v>
      </c>
    </row>
    <row r="473" spans="19:21" ht="14.65" thickBot="1" x14ac:dyDescent="0.5">
      <c r="S473" s="37">
        <f t="shared" si="15"/>
        <v>5886.9045513572273</v>
      </c>
      <c r="U473" s="26">
        <f t="shared" si="14"/>
        <v>5791.9045513572273</v>
      </c>
    </row>
    <row r="474" spans="19:21" ht="14.65" thickBot="1" x14ac:dyDescent="0.5">
      <c r="S474" s="37">
        <f t="shared" si="15"/>
        <v>5945.7735968707993</v>
      </c>
      <c r="U474" s="26">
        <f t="shared" si="14"/>
        <v>5850.7735968707993</v>
      </c>
    </row>
    <row r="475" spans="19:21" ht="14.65" thickBot="1" x14ac:dyDescent="0.5">
      <c r="S475" s="37">
        <f t="shared" si="15"/>
        <v>6005.2313328395076</v>
      </c>
      <c r="U475" s="26">
        <f t="shared" si="14"/>
        <v>5910.2313328395076</v>
      </c>
    </row>
    <row r="476" spans="19:21" ht="14.65" thickBot="1" x14ac:dyDescent="0.5">
      <c r="S476" s="37">
        <f t="shared" si="15"/>
        <v>6065.2836461679026</v>
      </c>
      <c r="U476" s="26">
        <f t="shared" si="14"/>
        <v>5970.2836461679026</v>
      </c>
    </row>
    <row r="477" spans="19:21" ht="14.65" thickBot="1" x14ac:dyDescent="0.5">
      <c r="S477" s="37">
        <f t="shared" si="15"/>
        <v>6125.9364826295814</v>
      </c>
      <c r="U477" s="26">
        <f t="shared" si="14"/>
        <v>6030.9364826295814</v>
      </c>
    </row>
    <row r="478" spans="19:21" ht="14.65" thickBot="1" x14ac:dyDescent="0.5">
      <c r="S478" s="37">
        <f t="shared" si="15"/>
        <v>6187.1958474558769</v>
      </c>
      <c r="U478" s="26">
        <f t="shared" si="14"/>
        <v>6092.1958474558769</v>
      </c>
    </row>
    <row r="479" spans="19:21" ht="14.65" thickBot="1" x14ac:dyDescent="0.5">
      <c r="S479" s="37">
        <f t="shared" si="15"/>
        <v>6249.0678059304355</v>
      </c>
      <c r="U479" s="26">
        <f t="shared" si="14"/>
        <v>6154.0678059304355</v>
      </c>
    </row>
    <row r="480" spans="19:21" ht="14.65" thickBot="1" x14ac:dyDescent="0.5">
      <c r="S480" s="37">
        <f t="shared" si="15"/>
        <v>6311.5584839897401</v>
      </c>
      <c r="U480" s="26">
        <f t="shared" si="14"/>
        <v>6216.5584839897401</v>
      </c>
    </row>
    <row r="481" spans="19:21" ht="14.65" thickBot="1" x14ac:dyDescent="0.5">
      <c r="S481" s="37">
        <f t="shared" si="15"/>
        <v>6374.6740688296377</v>
      </c>
      <c r="U481" s="26">
        <f t="shared" si="14"/>
        <v>6279.6740688296377</v>
      </c>
    </row>
    <row r="482" spans="19:21" ht="14.65" thickBot="1" x14ac:dyDescent="0.5">
      <c r="S482" s="37">
        <f t="shared" si="15"/>
        <v>6438.4208095179338</v>
      </c>
      <c r="U482" s="26">
        <f t="shared" si="14"/>
        <v>6343.4208095179338</v>
      </c>
    </row>
    <row r="483" spans="19:21" ht="14.65" thickBot="1" x14ac:dyDescent="0.5">
      <c r="S483" s="37">
        <f t="shared" si="15"/>
        <v>6502.8050176131128</v>
      </c>
      <c r="U483" s="26">
        <f t="shared" si="14"/>
        <v>6407.8050176131128</v>
      </c>
    </row>
    <row r="484" spans="19:21" ht="14.65" thickBot="1" x14ac:dyDescent="0.5">
      <c r="S484" s="37">
        <f t="shared" si="15"/>
        <v>6567.8330677892436</v>
      </c>
      <c r="U484" s="26">
        <f t="shared" si="14"/>
        <v>6472.8330677892436</v>
      </c>
    </row>
    <row r="485" spans="19:21" ht="14.65" thickBot="1" x14ac:dyDescent="0.5">
      <c r="S485" s="37">
        <f t="shared" si="15"/>
        <v>6633.5113984671361</v>
      </c>
      <c r="U485" s="26">
        <f t="shared" si="14"/>
        <v>6538.5113984671361</v>
      </c>
    </row>
    <row r="486" spans="19:21" ht="14.65" thickBot="1" x14ac:dyDescent="0.5">
      <c r="S486" s="37">
        <f t="shared" si="15"/>
        <v>6699.8465124518079</v>
      </c>
      <c r="U486" s="26">
        <f t="shared" si="14"/>
        <v>6604.8465124518079</v>
      </c>
    </row>
    <row r="487" spans="19:21" ht="14.65" thickBot="1" x14ac:dyDescent="0.5">
      <c r="S487" s="37">
        <f t="shared" si="15"/>
        <v>6766.8449775763265</v>
      </c>
      <c r="U487" s="26">
        <f t="shared" si="14"/>
        <v>6671.8449775763265</v>
      </c>
    </row>
    <row r="488" spans="19:21" ht="14.65" thickBot="1" x14ac:dyDescent="0.5">
      <c r="S488" s="37">
        <f t="shared" si="15"/>
        <v>6834.5134273520898</v>
      </c>
      <c r="U488" s="26">
        <f t="shared" si="14"/>
        <v>6739.5134273520898</v>
      </c>
    </row>
    <row r="489" spans="19:21" ht="14.65" thickBot="1" x14ac:dyDescent="0.5">
      <c r="S489" s="37">
        <f t="shared" si="15"/>
        <v>6902.8585616256105</v>
      </c>
      <c r="U489" s="26">
        <f t="shared" si="14"/>
        <v>6807.8585616256105</v>
      </c>
    </row>
    <row r="490" spans="19:21" ht="14.65" thickBot="1" x14ac:dyDescent="0.5">
      <c r="S490" s="37">
        <f t="shared" si="15"/>
        <v>6971.8871472418668</v>
      </c>
      <c r="U490" s="26">
        <f t="shared" si="14"/>
        <v>6876.8871472418668</v>
      </c>
    </row>
    <row r="491" spans="19:21" ht="14.65" thickBot="1" x14ac:dyDescent="0.5">
      <c r="S491" s="37">
        <f t="shared" si="15"/>
        <v>7041.6060187142857</v>
      </c>
      <c r="U491" s="26">
        <f t="shared" si="14"/>
        <v>6946.6060187142857</v>
      </c>
    </row>
    <row r="492" spans="19:21" ht="14.65" thickBot="1" x14ac:dyDescent="0.5">
      <c r="S492" s="37">
        <f t="shared" si="15"/>
        <v>7112.0220789014284</v>
      </c>
      <c r="U492" s="26">
        <f t="shared" si="14"/>
        <v>7017.0220789014284</v>
      </c>
    </row>
    <row r="493" spans="19:21" ht="14.65" thickBot="1" x14ac:dyDescent="0.5">
      <c r="S493" s="37">
        <f t="shared" si="15"/>
        <v>7183.142299690443</v>
      </c>
      <c r="U493" s="26">
        <f t="shared" si="14"/>
        <v>7088.142299690443</v>
      </c>
    </row>
    <row r="494" spans="19:21" ht="14.65" thickBot="1" x14ac:dyDescent="0.5">
      <c r="S494" s="37">
        <f t="shared" si="15"/>
        <v>7254.9737226873476</v>
      </c>
      <c r="U494" s="26">
        <f t="shared" si="14"/>
        <v>7159.9737226873476</v>
      </c>
    </row>
    <row r="495" spans="19:21" ht="14.65" thickBot="1" x14ac:dyDescent="0.5">
      <c r="S495" s="37">
        <f t="shared" si="15"/>
        <v>7327.5234599142213</v>
      </c>
      <c r="U495" s="26">
        <f t="shared" si="14"/>
        <v>7232.5234599142213</v>
      </c>
    </row>
    <row r="496" spans="19:21" ht="14.65" thickBot="1" x14ac:dyDescent="0.5">
      <c r="S496" s="37">
        <f t="shared" si="15"/>
        <v>7400.7986945133634</v>
      </c>
      <c r="U496" s="26">
        <f t="shared" si="14"/>
        <v>7305.7986945133634</v>
      </c>
    </row>
    <row r="497" spans="19:21" ht="14.65" thickBot="1" x14ac:dyDescent="0.5">
      <c r="S497" s="37">
        <f t="shared" si="15"/>
        <v>7474.8066814584972</v>
      </c>
      <c r="U497" s="26">
        <f t="shared" si="14"/>
        <v>7379.8066814584972</v>
      </c>
    </row>
    <row r="498" spans="19:21" ht="14.65" thickBot="1" x14ac:dyDescent="0.5">
      <c r="S498" s="37">
        <f t="shared" si="15"/>
        <v>7549.5547482730826</v>
      </c>
      <c r="U498" s="26">
        <f t="shared" si="14"/>
        <v>7454.5547482730826</v>
      </c>
    </row>
    <row r="499" spans="19:21" ht="14.65" thickBot="1" x14ac:dyDescent="0.5">
      <c r="S499" s="37">
        <f t="shared" si="15"/>
        <v>7625.0502957558137</v>
      </c>
      <c r="U499" s="26">
        <f t="shared" si="14"/>
        <v>7530.0502957558137</v>
      </c>
    </row>
    <row r="500" spans="19:21" ht="14.65" thickBot="1" x14ac:dyDescent="0.5">
      <c r="S500" s="37">
        <f t="shared" si="15"/>
        <v>7701.3007987133724</v>
      </c>
      <c r="U500" s="26">
        <f t="shared" si="14"/>
        <v>7606.3007987133724</v>
      </c>
    </row>
    <row r="501" spans="19:21" ht="14.65" thickBot="1" x14ac:dyDescent="0.5">
      <c r="S501" s="37">
        <f t="shared" si="15"/>
        <v>7778.3138067005066</v>
      </c>
      <c r="U501" s="26">
        <f t="shared" si="14"/>
        <v>7683.3138067005066</v>
      </c>
    </row>
    <row r="502" spans="19:21" ht="14.65" thickBot="1" x14ac:dyDescent="0.5">
      <c r="S502" s="37">
        <f t="shared" si="15"/>
        <v>7856.0969447675116</v>
      </c>
      <c r="U502" s="26">
        <f t="shared" si="14"/>
        <v>7761.0969447675116</v>
      </c>
    </row>
    <row r="503" spans="19:21" ht="14.65" thickBot="1" x14ac:dyDescent="0.5">
      <c r="S503" s="37">
        <f t="shared" si="15"/>
        <v>7934.6579142151868</v>
      </c>
      <c r="U503" s="26">
        <f t="shared" si="14"/>
        <v>7839.6579142151868</v>
      </c>
    </row>
    <row r="504" spans="19:21" ht="14.65" thickBot="1" x14ac:dyDescent="0.5">
      <c r="S504" s="37">
        <f t="shared" si="15"/>
        <v>8014.004493357339</v>
      </c>
      <c r="U504" s="26">
        <f t="shared" si="14"/>
        <v>7919.004493357339</v>
      </c>
    </row>
    <row r="505" spans="19:21" ht="14.65" thickBot="1" x14ac:dyDescent="0.5">
      <c r="S505" s="37">
        <f t="shared" si="15"/>
        <v>8094.1445382909124</v>
      </c>
      <c r="U505" s="26">
        <f t="shared" si="14"/>
        <v>7999.1445382909124</v>
      </c>
    </row>
    <row r="506" spans="19:21" ht="14.65" thickBot="1" x14ac:dyDescent="0.5">
      <c r="S506" s="37">
        <f t="shared" si="15"/>
        <v>8175.0859836738218</v>
      </c>
      <c r="U506" s="26">
        <f t="shared" si="14"/>
        <v>8080.0859836738218</v>
      </c>
    </row>
    <row r="507" spans="19:21" ht="14.65" thickBot="1" x14ac:dyDescent="0.5">
      <c r="S507" s="37">
        <f t="shared" si="15"/>
        <v>8256.8368435105604</v>
      </c>
      <c r="U507" s="26">
        <f t="shared" si="14"/>
        <v>8161.8368435105604</v>
      </c>
    </row>
    <row r="508" spans="19:21" ht="14.65" thickBot="1" x14ac:dyDescent="0.5">
      <c r="S508" s="37">
        <f t="shared" si="15"/>
        <v>8339.4052119456665</v>
      </c>
      <c r="U508" s="26">
        <f t="shared" si="14"/>
        <v>8244.4052119456665</v>
      </c>
    </row>
    <row r="509" spans="19:21" ht="14.65" thickBot="1" x14ac:dyDescent="0.5">
      <c r="S509" s="37">
        <f t="shared" si="15"/>
        <v>8422.7992640651228</v>
      </c>
      <c r="U509" s="26">
        <f t="shared" si="14"/>
        <v>8327.7992640651228</v>
      </c>
    </row>
    <row r="510" spans="19:21" ht="14.65" thickBot="1" x14ac:dyDescent="0.5">
      <c r="S510" s="37">
        <f t="shared" si="15"/>
        <v>8507.0272567057746</v>
      </c>
      <c r="U510" s="26">
        <f t="shared" si="14"/>
        <v>8412.0272567057746</v>
      </c>
    </row>
    <row r="511" spans="19:21" ht="14.65" thickBot="1" x14ac:dyDescent="0.5">
      <c r="S511" s="37">
        <f t="shared" si="15"/>
        <v>8592.0975292728326</v>
      </c>
      <c r="U511" s="26">
        <f t="shared" si="14"/>
        <v>8497.0975292728326</v>
      </c>
    </row>
    <row r="512" spans="19:21" ht="14.65" thickBot="1" x14ac:dyDescent="0.5">
      <c r="S512" s="37">
        <f t="shared" si="15"/>
        <v>8678.0185045655617</v>
      </c>
      <c r="U512" s="26">
        <f t="shared" si="14"/>
        <v>8583.0185045655617</v>
      </c>
    </row>
    <row r="513" spans="19:21" ht="14.65" thickBot="1" x14ac:dyDescent="0.5">
      <c r="S513" s="37">
        <f t="shared" si="15"/>
        <v>8764.7986896112179</v>
      </c>
      <c r="U513" s="26">
        <f t="shared" si="14"/>
        <v>8669.7986896112179</v>
      </c>
    </row>
    <row r="514" spans="19:21" ht="14.65" thickBot="1" x14ac:dyDescent="0.5">
      <c r="S514" s="37">
        <f t="shared" si="15"/>
        <v>8852.4466765073303</v>
      </c>
      <c r="U514" s="26">
        <f t="shared" si="14"/>
        <v>8757.4466765073303</v>
      </c>
    </row>
    <row r="515" spans="19:21" ht="14.65" thickBot="1" x14ac:dyDescent="0.5">
      <c r="S515" s="37">
        <f t="shared" si="15"/>
        <v>8940.9711432724034</v>
      </c>
      <c r="U515" s="26">
        <f t="shared" si="14"/>
        <v>8845.9711432724034</v>
      </c>
    </row>
    <row r="516" spans="19:21" ht="14.65" thickBot="1" x14ac:dyDescent="0.5">
      <c r="S516" s="37">
        <f t="shared" si="15"/>
        <v>9030.3808547051267</v>
      </c>
      <c r="U516" s="26">
        <f t="shared" si="14"/>
        <v>8935.3808547051267</v>
      </c>
    </row>
    <row r="517" spans="19:21" ht="14.65" thickBot="1" x14ac:dyDescent="0.5">
      <c r="S517" s="37">
        <f t="shared" si="15"/>
        <v>9120.6846632521774</v>
      </c>
      <c r="U517" s="26">
        <f t="shared" si="14"/>
        <v>9025.6846632521774</v>
      </c>
    </row>
    <row r="518" spans="19:21" ht="14.65" thickBot="1" x14ac:dyDescent="0.5">
      <c r="S518" s="37">
        <f t="shared" si="15"/>
        <v>9211.8915098846992</v>
      </c>
      <c r="U518" s="26">
        <f t="shared" si="14"/>
        <v>9116.8915098846992</v>
      </c>
    </row>
    <row r="519" spans="19:21" ht="14.65" thickBot="1" x14ac:dyDescent="0.5">
      <c r="S519" s="37">
        <f t="shared" si="15"/>
        <v>9304.0104249835458</v>
      </c>
      <c r="U519" s="26">
        <f t="shared" si="14"/>
        <v>9209.0104249835458</v>
      </c>
    </row>
    <row r="520" spans="19:21" ht="14.65" thickBot="1" x14ac:dyDescent="0.5">
      <c r="S520" s="37">
        <f t="shared" si="15"/>
        <v>9397.0505292333819</v>
      </c>
      <c r="U520" s="26">
        <f t="shared" si="14"/>
        <v>9302.0505292333819</v>
      </c>
    </row>
    <row r="521" spans="19:21" ht="14.65" thickBot="1" x14ac:dyDescent="0.5">
      <c r="S521" s="37">
        <f t="shared" si="15"/>
        <v>9491.0210345257165</v>
      </c>
      <c r="U521" s="26">
        <f t="shared" si="14"/>
        <v>9396.0210345257165</v>
      </c>
    </row>
    <row r="522" spans="19:21" ht="14.65" thickBot="1" x14ac:dyDescent="0.5">
      <c r="S522" s="37">
        <f t="shared" si="15"/>
        <v>9585.9312448709734</v>
      </c>
      <c r="U522" s="26">
        <f t="shared" si="14"/>
        <v>9490.9312448709734</v>
      </c>
    </row>
    <row r="523" spans="19:21" ht="14.65" thickBot="1" x14ac:dyDescent="0.5">
      <c r="S523" s="37">
        <f t="shared" si="15"/>
        <v>9681.790557319684</v>
      </c>
      <c r="U523" s="26">
        <f t="shared" si="14"/>
        <v>9586.790557319684</v>
      </c>
    </row>
    <row r="524" spans="19:21" ht="14.65" thickBot="1" x14ac:dyDescent="0.5">
      <c r="S524" s="37">
        <f t="shared" si="15"/>
        <v>9778.6084628928802</v>
      </c>
      <c r="U524" s="26">
        <f t="shared" si="14"/>
        <v>9683.6084628928802</v>
      </c>
    </row>
    <row r="525" spans="19:21" ht="14.65" thickBot="1" x14ac:dyDescent="0.5">
      <c r="S525" s="37">
        <f t="shared" si="15"/>
        <v>9876.3945475218097</v>
      </c>
      <c r="U525" s="26">
        <f t="shared" si="14"/>
        <v>9781.3945475218097</v>
      </c>
    </row>
    <row r="526" spans="19:21" ht="14.65" thickBot="1" x14ac:dyDescent="0.5">
      <c r="S526" s="37">
        <f t="shared" si="15"/>
        <v>9975.1584929970286</v>
      </c>
      <c r="U526" s="26">
        <f t="shared" si="14"/>
        <v>9880.1584929970286</v>
      </c>
    </row>
    <row r="527" spans="19:21" ht="14.65" thickBot="1" x14ac:dyDescent="0.5">
      <c r="S527" s="37">
        <f t="shared" si="15"/>
        <v>10074.910077926999</v>
      </c>
      <c r="U527" s="26">
        <f t="shared" si="14"/>
        <v>9979.9100779269993</v>
      </c>
    </row>
    <row r="528" spans="19:21" ht="14.65" thickBot="1" x14ac:dyDescent="0.5">
      <c r="S528" s="37">
        <f t="shared" si="15"/>
        <v>10175.65917870627</v>
      </c>
      <c r="U528" s="26">
        <f t="shared" si="14"/>
        <v>10080.65917870627</v>
      </c>
    </row>
    <row r="529" spans="19:21" ht="14.65" thickBot="1" x14ac:dyDescent="0.5">
      <c r="S529" s="37">
        <f t="shared" si="15"/>
        <v>10277.415770493333</v>
      </c>
      <c r="U529" s="26">
        <f t="shared" ref="U529:U592" si="16">IF(S529&lt;$D$7,-$D$8,(S529-$D$7)-$D$8)</f>
        <v>10182.415770493333</v>
      </c>
    </row>
    <row r="530" spans="19:21" ht="14.65" thickBot="1" x14ac:dyDescent="0.5">
      <c r="S530" s="37">
        <f t="shared" si="15"/>
        <v>10380.189928198266</v>
      </c>
      <c r="U530" s="26">
        <f t="shared" si="16"/>
        <v>10285.189928198266</v>
      </c>
    </row>
    <row r="531" spans="19:21" ht="14.65" thickBot="1" x14ac:dyDescent="0.5">
      <c r="S531" s="37">
        <f t="shared" ref="S531:S594" si="17">S530*(1.01)</f>
        <v>10483.991827480249</v>
      </c>
      <c r="U531" s="26">
        <f t="shared" si="16"/>
        <v>10388.991827480249</v>
      </c>
    </row>
    <row r="532" spans="19:21" ht="14.65" thickBot="1" x14ac:dyDescent="0.5">
      <c r="S532" s="37">
        <f t="shared" si="17"/>
        <v>10588.831745755053</v>
      </c>
      <c r="U532" s="26">
        <f t="shared" si="16"/>
        <v>10493.831745755053</v>
      </c>
    </row>
    <row r="533" spans="19:21" ht="14.65" thickBot="1" x14ac:dyDescent="0.5">
      <c r="S533" s="37">
        <f t="shared" si="17"/>
        <v>10694.720063212604</v>
      </c>
      <c r="U533" s="26">
        <f t="shared" si="16"/>
        <v>10599.720063212604</v>
      </c>
    </row>
    <row r="534" spans="19:21" ht="14.65" thickBot="1" x14ac:dyDescent="0.5">
      <c r="S534" s="37">
        <f t="shared" si="17"/>
        <v>10801.667263844731</v>
      </c>
      <c r="U534" s="26">
        <f t="shared" si="16"/>
        <v>10706.667263844731</v>
      </c>
    </row>
    <row r="535" spans="19:21" ht="14.65" thickBot="1" x14ac:dyDescent="0.5">
      <c r="S535" s="37">
        <f t="shared" si="17"/>
        <v>10909.683936483178</v>
      </c>
      <c r="U535" s="26">
        <f t="shared" si="16"/>
        <v>10814.683936483178</v>
      </c>
    </row>
    <row r="536" spans="19:21" ht="14.65" thickBot="1" x14ac:dyDescent="0.5">
      <c r="S536" s="37">
        <f t="shared" si="17"/>
        <v>11018.78077584801</v>
      </c>
      <c r="U536" s="26">
        <f t="shared" si="16"/>
        <v>10923.78077584801</v>
      </c>
    </row>
    <row r="537" spans="19:21" ht="14.65" thickBot="1" x14ac:dyDescent="0.5">
      <c r="S537" s="37">
        <f t="shared" si="17"/>
        <v>11128.968583606491</v>
      </c>
      <c r="U537" s="26">
        <f t="shared" si="16"/>
        <v>11033.968583606491</v>
      </c>
    </row>
    <row r="538" spans="19:21" ht="14.65" thickBot="1" x14ac:dyDescent="0.5">
      <c r="S538" s="37">
        <f t="shared" si="17"/>
        <v>11240.258269442556</v>
      </c>
      <c r="U538" s="26">
        <f t="shared" si="16"/>
        <v>11145.258269442556</v>
      </c>
    </row>
    <row r="539" spans="19:21" ht="14.65" thickBot="1" x14ac:dyDescent="0.5">
      <c r="S539" s="37">
        <f t="shared" si="17"/>
        <v>11352.660852136982</v>
      </c>
      <c r="U539" s="26">
        <f t="shared" si="16"/>
        <v>11257.660852136982</v>
      </c>
    </row>
    <row r="540" spans="19:21" ht="14.65" thickBot="1" x14ac:dyDescent="0.5">
      <c r="S540" s="37">
        <f t="shared" si="17"/>
        <v>11466.187460658351</v>
      </c>
      <c r="U540" s="26">
        <f t="shared" si="16"/>
        <v>11371.187460658351</v>
      </c>
    </row>
    <row r="541" spans="19:21" ht="14.65" thickBot="1" x14ac:dyDescent="0.5">
      <c r="S541" s="37">
        <f t="shared" si="17"/>
        <v>11580.849335264935</v>
      </c>
      <c r="U541" s="26">
        <f t="shared" si="16"/>
        <v>11485.849335264935</v>
      </c>
    </row>
    <row r="542" spans="19:21" ht="14.65" thickBot="1" x14ac:dyDescent="0.5">
      <c r="S542" s="37">
        <f t="shared" si="17"/>
        <v>11696.657828617585</v>
      </c>
      <c r="U542" s="26">
        <f t="shared" si="16"/>
        <v>11601.657828617585</v>
      </c>
    </row>
    <row r="543" spans="19:21" ht="14.65" thickBot="1" x14ac:dyDescent="0.5">
      <c r="S543" s="37">
        <f t="shared" si="17"/>
        <v>11813.62440690376</v>
      </c>
      <c r="U543" s="26">
        <f t="shared" si="16"/>
        <v>11718.62440690376</v>
      </c>
    </row>
    <row r="544" spans="19:21" ht="14.65" thickBot="1" x14ac:dyDescent="0.5">
      <c r="S544" s="37">
        <f t="shared" si="17"/>
        <v>11931.760650972798</v>
      </c>
      <c r="U544" s="26">
        <f t="shared" si="16"/>
        <v>11836.760650972798</v>
      </c>
    </row>
    <row r="545" spans="19:21" ht="14.65" thickBot="1" x14ac:dyDescent="0.5">
      <c r="S545" s="37">
        <f t="shared" si="17"/>
        <v>12051.078257482526</v>
      </c>
      <c r="U545" s="26">
        <f t="shared" si="16"/>
        <v>11956.078257482526</v>
      </c>
    </row>
    <row r="546" spans="19:21" ht="14.65" thickBot="1" x14ac:dyDescent="0.5">
      <c r="S546" s="37">
        <f t="shared" si="17"/>
        <v>12171.589040057352</v>
      </c>
      <c r="U546" s="26">
        <f t="shared" si="16"/>
        <v>12076.589040057352</v>
      </c>
    </row>
    <row r="547" spans="19:21" ht="14.65" thickBot="1" x14ac:dyDescent="0.5">
      <c r="S547" s="37">
        <f t="shared" si="17"/>
        <v>12293.304930457925</v>
      </c>
      <c r="U547" s="26">
        <f t="shared" si="16"/>
        <v>12198.304930457925</v>
      </c>
    </row>
    <row r="548" spans="19:21" ht="14.65" thickBot="1" x14ac:dyDescent="0.5">
      <c r="S548" s="37">
        <f t="shared" si="17"/>
        <v>12416.237979762505</v>
      </c>
      <c r="U548" s="26">
        <f t="shared" si="16"/>
        <v>12321.237979762505</v>
      </c>
    </row>
    <row r="549" spans="19:21" ht="14.65" thickBot="1" x14ac:dyDescent="0.5">
      <c r="S549" s="37">
        <f t="shared" si="17"/>
        <v>12540.40035956013</v>
      </c>
      <c r="U549" s="26">
        <f t="shared" si="16"/>
        <v>12445.40035956013</v>
      </c>
    </row>
    <row r="550" spans="19:21" ht="14.65" thickBot="1" x14ac:dyDescent="0.5">
      <c r="S550" s="37">
        <f t="shared" si="17"/>
        <v>12665.804363155732</v>
      </c>
      <c r="U550" s="26">
        <f t="shared" si="16"/>
        <v>12570.804363155732</v>
      </c>
    </row>
    <row r="551" spans="19:21" ht="14.65" thickBot="1" x14ac:dyDescent="0.5">
      <c r="S551" s="37">
        <f t="shared" si="17"/>
        <v>12792.46240678729</v>
      </c>
      <c r="U551" s="26">
        <f t="shared" si="16"/>
        <v>12697.46240678729</v>
      </c>
    </row>
    <row r="552" spans="19:21" ht="14.65" thickBot="1" x14ac:dyDescent="0.5">
      <c r="S552" s="37">
        <f t="shared" si="17"/>
        <v>12920.387030855163</v>
      </c>
      <c r="U552" s="26">
        <f t="shared" si="16"/>
        <v>12825.387030855163</v>
      </c>
    </row>
    <row r="553" spans="19:21" ht="14.65" thickBot="1" x14ac:dyDescent="0.5">
      <c r="S553" s="37">
        <f t="shared" si="17"/>
        <v>13049.590901163714</v>
      </c>
      <c r="U553" s="26">
        <f t="shared" si="16"/>
        <v>12954.590901163714</v>
      </c>
    </row>
    <row r="554" spans="19:21" ht="14.65" thickBot="1" x14ac:dyDescent="0.5">
      <c r="S554" s="37">
        <f t="shared" si="17"/>
        <v>13180.086810175351</v>
      </c>
      <c r="U554" s="26">
        <f t="shared" si="16"/>
        <v>13085.086810175351</v>
      </c>
    </row>
    <row r="555" spans="19:21" ht="14.65" thickBot="1" x14ac:dyDescent="0.5">
      <c r="S555" s="37">
        <f t="shared" si="17"/>
        <v>13311.887678277106</v>
      </c>
      <c r="U555" s="26">
        <f t="shared" si="16"/>
        <v>13216.887678277106</v>
      </c>
    </row>
    <row r="556" spans="19:21" ht="14.65" thickBot="1" x14ac:dyDescent="0.5">
      <c r="S556" s="37">
        <f t="shared" si="17"/>
        <v>13445.006555059877</v>
      </c>
      <c r="U556" s="26">
        <f t="shared" si="16"/>
        <v>13350.006555059877</v>
      </c>
    </row>
    <row r="557" spans="19:21" ht="14.65" thickBot="1" x14ac:dyDescent="0.5">
      <c r="S557" s="37">
        <f t="shared" si="17"/>
        <v>13579.456620610476</v>
      </c>
      <c r="U557" s="26">
        <f t="shared" si="16"/>
        <v>13484.456620610476</v>
      </c>
    </row>
    <row r="558" spans="19:21" ht="14.65" thickBot="1" x14ac:dyDescent="0.5">
      <c r="S558" s="37">
        <f t="shared" si="17"/>
        <v>13715.25118681658</v>
      </c>
      <c r="U558" s="26">
        <f t="shared" si="16"/>
        <v>13620.25118681658</v>
      </c>
    </row>
    <row r="559" spans="19:21" ht="14.65" thickBot="1" x14ac:dyDescent="0.5">
      <c r="S559" s="37">
        <f t="shared" si="17"/>
        <v>13852.403698684746</v>
      </c>
      <c r="U559" s="26">
        <f t="shared" si="16"/>
        <v>13757.403698684746</v>
      </c>
    </row>
    <row r="560" spans="19:21" ht="14.65" thickBot="1" x14ac:dyDescent="0.5">
      <c r="S560" s="37">
        <f t="shared" si="17"/>
        <v>13990.927735671594</v>
      </c>
      <c r="U560" s="26">
        <f t="shared" si="16"/>
        <v>13895.927735671594</v>
      </c>
    </row>
    <row r="561" spans="19:21" ht="14.65" thickBot="1" x14ac:dyDescent="0.5">
      <c r="S561" s="37">
        <f t="shared" si="17"/>
        <v>14130.837013028309</v>
      </c>
      <c r="U561" s="26">
        <f t="shared" si="16"/>
        <v>14035.837013028309</v>
      </c>
    </row>
    <row r="562" spans="19:21" ht="14.65" thickBot="1" x14ac:dyDescent="0.5">
      <c r="S562" s="37">
        <f t="shared" si="17"/>
        <v>14272.145383158593</v>
      </c>
      <c r="U562" s="26">
        <f t="shared" si="16"/>
        <v>14177.145383158593</v>
      </c>
    </row>
    <row r="563" spans="19:21" ht="14.65" thickBot="1" x14ac:dyDescent="0.5">
      <c r="S563" s="37">
        <f t="shared" si="17"/>
        <v>14414.866836990179</v>
      </c>
      <c r="U563" s="26">
        <f t="shared" si="16"/>
        <v>14319.866836990179</v>
      </c>
    </row>
    <row r="564" spans="19:21" ht="14.65" thickBot="1" x14ac:dyDescent="0.5">
      <c r="S564" s="37">
        <f t="shared" si="17"/>
        <v>14559.015505360081</v>
      </c>
      <c r="U564" s="26">
        <f t="shared" si="16"/>
        <v>14464.015505360081</v>
      </c>
    </row>
    <row r="565" spans="19:21" ht="14.65" thickBot="1" x14ac:dyDescent="0.5">
      <c r="S565" s="37">
        <f t="shared" si="17"/>
        <v>14704.605660413683</v>
      </c>
      <c r="U565" s="26">
        <f t="shared" si="16"/>
        <v>14609.605660413683</v>
      </c>
    </row>
    <row r="566" spans="19:21" ht="14.65" thickBot="1" x14ac:dyDescent="0.5">
      <c r="S566" s="37">
        <f t="shared" si="17"/>
        <v>14851.651717017819</v>
      </c>
      <c r="U566" s="26">
        <f t="shared" si="16"/>
        <v>14756.651717017819</v>
      </c>
    </row>
    <row r="567" spans="19:21" ht="14.65" thickBot="1" x14ac:dyDescent="0.5">
      <c r="S567" s="37">
        <f t="shared" si="17"/>
        <v>15000.168234187999</v>
      </c>
      <c r="U567" s="26">
        <f t="shared" si="16"/>
        <v>14905.168234187999</v>
      </c>
    </row>
    <row r="568" spans="19:21" ht="14.65" thickBot="1" x14ac:dyDescent="0.5">
      <c r="S568" s="37">
        <f t="shared" si="17"/>
        <v>15150.16991652988</v>
      </c>
      <c r="U568" s="26">
        <f t="shared" si="16"/>
        <v>15055.16991652988</v>
      </c>
    </row>
    <row r="569" spans="19:21" ht="14.65" thickBot="1" x14ac:dyDescent="0.5">
      <c r="S569" s="37">
        <f t="shared" si="17"/>
        <v>15301.671615695179</v>
      </c>
      <c r="U569" s="26">
        <f t="shared" si="16"/>
        <v>15206.671615695179</v>
      </c>
    </row>
    <row r="570" spans="19:21" ht="14.65" thickBot="1" x14ac:dyDescent="0.5">
      <c r="S570" s="37">
        <f t="shared" si="17"/>
        <v>15454.68833185213</v>
      </c>
      <c r="U570" s="26">
        <f t="shared" si="16"/>
        <v>15359.68833185213</v>
      </c>
    </row>
    <row r="571" spans="19:21" ht="14.65" thickBot="1" x14ac:dyDescent="0.5">
      <c r="S571" s="37">
        <f t="shared" si="17"/>
        <v>15609.235215170653</v>
      </c>
      <c r="U571" s="26">
        <f t="shared" si="16"/>
        <v>15514.235215170653</v>
      </c>
    </row>
    <row r="572" spans="19:21" ht="14.65" thickBot="1" x14ac:dyDescent="0.5">
      <c r="S572" s="37">
        <f t="shared" si="17"/>
        <v>15765.32756732236</v>
      </c>
      <c r="U572" s="26">
        <f t="shared" si="16"/>
        <v>15670.32756732236</v>
      </c>
    </row>
    <row r="573" spans="19:21" ht="14.65" thickBot="1" x14ac:dyDescent="0.5">
      <c r="S573" s="37">
        <f t="shared" si="17"/>
        <v>15922.980842995583</v>
      </c>
      <c r="U573" s="26">
        <f t="shared" si="16"/>
        <v>15827.980842995583</v>
      </c>
    </row>
    <row r="574" spans="19:21" ht="14.65" thickBot="1" x14ac:dyDescent="0.5">
      <c r="S574" s="37">
        <f t="shared" si="17"/>
        <v>16082.210651425539</v>
      </c>
      <c r="U574" s="26">
        <f t="shared" si="16"/>
        <v>15987.210651425539</v>
      </c>
    </row>
    <row r="575" spans="19:21" ht="14.65" thickBot="1" x14ac:dyDescent="0.5">
      <c r="S575" s="37">
        <f t="shared" si="17"/>
        <v>16243.032757939794</v>
      </c>
      <c r="U575" s="26">
        <f t="shared" si="16"/>
        <v>16148.032757939794</v>
      </c>
    </row>
    <row r="576" spans="19:21" ht="14.65" thickBot="1" x14ac:dyDescent="0.5">
      <c r="S576" s="37">
        <f t="shared" si="17"/>
        <v>16405.463085519194</v>
      </c>
      <c r="U576" s="26">
        <f t="shared" si="16"/>
        <v>16310.463085519194</v>
      </c>
    </row>
    <row r="577" spans="19:21" ht="14.65" thickBot="1" x14ac:dyDescent="0.5">
      <c r="S577" s="37">
        <f t="shared" si="17"/>
        <v>16569.517716374387</v>
      </c>
      <c r="U577" s="26">
        <f t="shared" si="16"/>
        <v>16474.517716374387</v>
      </c>
    </row>
    <row r="578" spans="19:21" ht="14.65" thickBot="1" x14ac:dyDescent="0.5">
      <c r="S578" s="37">
        <f t="shared" si="17"/>
        <v>16735.21289353813</v>
      </c>
      <c r="U578" s="26">
        <f t="shared" si="16"/>
        <v>16640.21289353813</v>
      </c>
    </row>
    <row r="579" spans="19:21" ht="14.65" thickBot="1" x14ac:dyDescent="0.5">
      <c r="S579" s="37">
        <f t="shared" si="17"/>
        <v>16902.565022473511</v>
      </c>
      <c r="U579" s="26">
        <f t="shared" si="16"/>
        <v>16807.565022473511</v>
      </c>
    </row>
    <row r="580" spans="19:21" ht="14.65" thickBot="1" x14ac:dyDescent="0.5">
      <c r="S580" s="37">
        <f t="shared" si="17"/>
        <v>17071.590672698247</v>
      </c>
      <c r="U580" s="26">
        <f t="shared" si="16"/>
        <v>16976.590672698247</v>
      </c>
    </row>
    <row r="581" spans="19:21" ht="14.65" thickBot="1" x14ac:dyDescent="0.5">
      <c r="S581" s="37">
        <f t="shared" si="17"/>
        <v>17242.306579425229</v>
      </c>
      <c r="U581" s="26">
        <f t="shared" si="16"/>
        <v>17147.306579425229</v>
      </c>
    </row>
    <row r="582" spans="19:21" ht="14.65" thickBot="1" x14ac:dyDescent="0.5">
      <c r="S582" s="37">
        <f t="shared" si="17"/>
        <v>17414.729645219482</v>
      </c>
      <c r="U582" s="26">
        <f t="shared" si="16"/>
        <v>17319.729645219482</v>
      </c>
    </row>
    <row r="583" spans="19:21" ht="14.65" thickBot="1" x14ac:dyDescent="0.5">
      <c r="S583" s="37">
        <f t="shared" si="17"/>
        <v>17588.876941671679</v>
      </c>
      <c r="U583" s="26">
        <f t="shared" si="16"/>
        <v>17493.876941671679</v>
      </c>
    </row>
    <row r="584" spans="19:21" ht="14.65" thickBot="1" x14ac:dyDescent="0.5">
      <c r="S584" s="37">
        <f t="shared" si="17"/>
        <v>17764.765711088396</v>
      </c>
      <c r="U584" s="26">
        <f t="shared" si="16"/>
        <v>17669.765711088396</v>
      </c>
    </row>
    <row r="585" spans="19:21" ht="14.65" thickBot="1" x14ac:dyDescent="0.5">
      <c r="S585" s="37">
        <f t="shared" si="17"/>
        <v>17942.413368199279</v>
      </c>
      <c r="U585" s="26">
        <f t="shared" si="16"/>
        <v>17847.413368199279</v>
      </c>
    </row>
    <row r="586" spans="19:21" ht="14.65" thickBot="1" x14ac:dyDescent="0.5">
      <c r="S586" s="37">
        <f t="shared" si="17"/>
        <v>18121.837501881273</v>
      </c>
      <c r="U586" s="26">
        <f t="shared" si="16"/>
        <v>18026.837501881273</v>
      </c>
    </row>
    <row r="587" spans="19:21" ht="14.65" thickBot="1" x14ac:dyDescent="0.5">
      <c r="S587" s="37">
        <f t="shared" si="17"/>
        <v>18303.055876900085</v>
      </c>
      <c r="U587" s="26">
        <f t="shared" si="16"/>
        <v>18208.055876900085</v>
      </c>
    </row>
    <row r="588" spans="19:21" ht="14.65" thickBot="1" x14ac:dyDescent="0.5">
      <c r="S588" s="37">
        <f t="shared" si="17"/>
        <v>18486.086435669087</v>
      </c>
      <c r="U588" s="26">
        <f t="shared" si="16"/>
        <v>18391.086435669087</v>
      </c>
    </row>
    <row r="589" spans="19:21" ht="14.65" thickBot="1" x14ac:dyDescent="0.5">
      <c r="S589" s="37">
        <f t="shared" si="17"/>
        <v>18670.947300025779</v>
      </c>
      <c r="U589" s="26">
        <f t="shared" si="16"/>
        <v>18575.947300025779</v>
      </c>
    </row>
    <row r="590" spans="19:21" ht="14.65" thickBot="1" x14ac:dyDescent="0.5">
      <c r="S590" s="37">
        <f t="shared" si="17"/>
        <v>18857.656773026036</v>
      </c>
      <c r="U590" s="26">
        <f t="shared" si="16"/>
        <v>18762.656773026036</v>
      </c>
    </row>
    <row r="591" spans="19:21" ht="14.65" thickBot="1" x14ac:dyDescent="0.5">
      <c r="S591" s="37">
        <f t="shared" si="17"/>
        <v>19046.233340756295</v>
      </c>
      <c r="U591" s="26">
        <f t="shared" si="16"/>
        <v>18951.233340756295</v>
      </c>
    </row>
    <row r="592" spans="19:21" ht="14.65" thickBot="1" x14ac:dyDescent="0.5">
      <c r="S592" s="37">
        <f t="shared" si="17"/>
        <v>19236.695674163857</v>
      </c>
      <c r="U592" s="26">
        <f t="shared" si="16"/>
        <v>19141.695674163857</v>
      </c>
    </row>
    <row r="593" spans="19:21" ht="14.65" thickBot="1" x14ac:dyDescent="0.5">
      <c r="S593" s="37">
        <f t="shared" si="17"/>
        <v>19429.062630905497</v>
      </c>
      <c r="U593" s="26">
        <f t="shared" ref="U593:U656" si="18">IF(S593&lt;$D$7,-$D$8,(S593-$D$7)-$D$8)</f>
        <v>19334.062630905497</v>
      </c>
    </row>
    <row r="594" spans="19:21" ht="14.65" thickBot="1" x14ac:dyDescent="0.5">
      <c r="S594" s="37">
        <f t="shared" si="17"/>
        <v>19623.353257214552</v>
      </c>
      <c r="U594" s="26">
        <f t="shared" si="18"/>
        <v>19528.353257214552</v>
      </c>
    </row>
    <row r="595" spans="19:21" ht="14.65" thickBot="1" x14ac:dyDescent="0.5">
      <c r="S595" s="37">
        <f t="shared" ref="S595:S658" si="19">S594*(1.01)</f>
        <v>19819.586789786699</v>
      </c>
      <c r="U595" s="26">
        <f t="shared" si="18"/>
        <v>19724.586789786699</v>
      </c>
    </row>
    <row r="596" spans="19:21" ht="14.65" thickBot="1" x14ac:dyDescent="0.5">
      <c r="S596" s="37">
        <f t="shared" si="19"/>
        <v>20017.782657684565</v>
      </c>
      <c r="U596" s="26">
        <f t="shared" si="18"/>
        <v>19922.782657684565</v>
      </c>
    </row>
    <row r="597" spans="19:21" ht="14.65" thickBot="1" x14ac:dyDescent="0.5">
      <c r="S597" s="37">
        <f t="shared" si="19"/>
        <v>20217.96048426141</v>
      </c>
      <c r="U597" s="26">
        <f t="shared" si="18"/>
        <v>20122.96048426141</v>
      </c>
    </row>
    <row r="598" spans="19:21" ht="14.65" thickBot="1" x14ac:dyDescent="0.5">
      <c r="S598" s="37">
        <f t="shared" si="19"/>
        <v>20420.140089104025</v>
      </c>
      <c r="U598" s="26">
        <f t="shared" si="18"/>
        <v>20325.140089104025</v>
      </c>
    </row>
    <row r="599" spans="19:21" ht="14.65" thickBot="1" x14ac:dyDescent="0.5">
      <c r="S599" s="37">
        <f t="shared" si="19"/>
        <v>20624.341489995066</v>
      </c>
      <c r="U599" s="26">
        <f t="shared" si="18"/>
        <v>20529.341489995066</v>
      </c>
    </row>
    <row r="600" spans="19:21" ht="14.65" thickBot="1" x14ac:dyDescent="0.5">
      <c r="S600" s="37">
        <f t="shared" si="19"/>
        <v>20830.584904895015</v>
      </c>
      <c r="U600" s="26">
        <f t="shared" si="18"/>
        <v>20735.584904895015</v>
      </c>
    </row>
    <row r="601" spans="19:21" ht="14.65" thickBot="1" x14ac:dyDescent="0.5">
      <c r="S601" s="37">
        <f t="shared" si="19"/>
        <v>21038.890753943964</v>
      </c>
      <c r="U601" s="26">
        <f t="shared" si="18"/>
        <v>20943.890753943964</v>
      </c>
    </row>
    <row r="602" spans="19:21" ht="14.65" thickBot="1" x14ac:dyDescent="0.5">
      <c r="S602" s="37">
        <f t="shared" si="19"/>
        <v>21249.279661483404</v>
      </c>
      <c r="U602" s="26">
        <f t="shared" si="18"/>
        <v>21154.279661483404</v>
      </c>
    </row>
    <row r="603" spans="19:21" ht="14.65" thickBot="1" x14ac:dyDescent="0.5">
      <c r="S603" s="37">
        <f t="shared" si="19"/>
        <v>21461.772458098239</v>
      </c>
      <c r="U603" s="26">
        <f t="shared" si="18"/>
        <v>21366.772458098239</v>
      </c>
    </row>
    <row r="604" spans="19:21" ht="14.65" thickBot="1" x14ac:dyDescent="0.5">
      <c r="S604" s="37">
        <f t="shared" si="19"/>
        <v>21676.390182679221</v>
      </c>
      <c r="U604" s="26">
        <f t="shared" si="18"/>
        <v>21581.390182679221</v>
      </c>
    </row>
    <row r="605" spans="19:21" ht="14.65" thickBot="1" x14ac:dyDescent="0.5">
      <c r="S605" s="37">
        <f t="shared" si="19"/>
        <v>21893.154084506012</v>
      </c>
      <c r="U605" s="26">
        <f t="shared" si="18"/>
        <v>21798.154084506012</v>
      </c>
    </row>
    <row r="606" spans="19:21" ht="14.65" thickBot="1" x14ac:dyDescent="0.5">
      <c r="S606" s="37">
        <f t="shared" si="19"/>
        <v>22112.085625351072</v>
      </c>
      <c r="U606" s="26">
        <f t="shared" si="18"/>
        <v>22017.085625351072</v>
      </c>
    </row>
    <row r="607" spans="19:21" ht="14.65" thickBot="1" x14ac:dyDescent="0.5">
      <c r="S607" s="37">
        <f t="shared" si="19"/>
        <v>22333.206481604582</v>
      </c>
      <c r="U607" s="26">
        <f t="shared" si="18"/>
        <v>22238.206481604582</v>
      </c>
    </row>
    <row r="608" spans="19:21" ht="14.65" thickBot="1" x14ac:dyDescent="0.5">
      <c r="S608" s="37">
        <f t="shared" si="19"/>
        <v>22556.538546420627</v>
      </c>
      <c r="U608" s="26">
        <f t="shared" si="18"/>
        <v>22461.538546420627</v>
      </c>
    </row>
    <row r="609" spans="19:21" ht="14.65" thickBot="1" x14ac:dyDescent="0.5">
      <c r="S609" s="37">
        <f t="shared" si="19"/>
        <v>22782.103931884834</v>
      </c>
      <c r="U609" s="26">
        <f t="shared" si="18"/>
        <v>22687.103931884834</v>
      </c>
    </row>
    <row r="610" spans="19:21" ht="14.65" thickBot="1" x14ac:dyDescent="0.5">
      <c r="S610" s="37">
        <f t="shared" si="19"/>
        <v>23009.924971203684</v>
      </c>
      <c r="U610" s="26">
        <f t="shared" si="18"/>
        <v>22914.924971203684</v>
      </c>
    </row>
    <row r="611" spans="19:21" ht="14.65" thickBot="1" x14ac:dyDescent="0.5">
      <c r="S611" s="37">
        <f t="shared" si="19"/>
        <v>23240.024220915722</v>
      </c>
      <c r="U611" s="26">
        <f t="shared" si="18"/>
        <v>23145.024220915722</v>
      </c>
    </row>
    <row r="612" spans="19:21" ht="14.65" thickBot="1" x14ac:dyDescent="0.5">
      <c r="S612" s="37">
        <f t="shared" si="19"/>
        <v>23472.42446312488</v>
      </c>
      <c r="U612" s="26">
        <f t="shared" si="18"/>
        <v>23377.42446312488</v>
      </c>
    </row>
    <row r="613" spans="19:21" ht="14.65" thickBot="1" x14ac:dyDescent="0.5">
      <c r="S613" s="37">
        <f t="shared" si="19"/>
        <v>23707.148707756129</v>
      </c>
      <c r="U613" s="26">
        <f t="shared" si="18"/>
        <v>23612.148707756129</v>
      </c>
    </row>
    <row r="614" spans="19:21" ht="14.65" thickBot="1" x14ac:dyDescent="0.5">
      <c r="S614" s="37">
        <f t="shared" si="19"/>
        <v>23944.220194833691</v>
      </c>
      <c r="U614" s="26">
        <f t="shared" si="18"/>
        <v>23849.220194833691</v>
      </c>
    </row>
    <row r="615" spans="19:21" ht="14.65" thickBot="1" x14ac:dyDescent="0.5">
      <c r="S615" s="37">
        <f t="shared" si="19"/>
        <v>24183.662396782027</v>
      </c>
      <c r="U615" s="26">
        <f t="shared" si="18"/>
        <v>24088.662396782027</v>
      </c>
    </row>
    <row r="616" spans="19:21" ht="14.65" thickBot="1" x14ac:dyDescent="0.5">
      <c r="S616" s="37">
        <f t="shared" si="19"/>
        <v>24425.499020749849</v>
      </c>
      <c r="U616" s="26">
        <f t="shared" si="18"/>
        <v>24330.499020749849</v>
      </c>
    </row>
    <row r="617" spans="19:21" ht="14.65" thickBot="1" x14ac:dyDescent="0.5">
      <c r="S617" s="37">
        <f t="shared" si="19"/>
        <v>24669.754010957346</v>
      </c>
      <c r="U617" s="26">
        <f t="shared" si="18"/>
        <v>24574.754010957346</v>
      </c>
    </row>
    <row r="618" spans="19:21" ht="14.65" thickBot="1" x14ac:dyDescent="0.5">
      <c r="S618" s="37">
        <f t="shared" si="19"/>
        <v>24916.451551066919</v>
      </c>
      <c r="U618" s="26">
        <f t="shared" si="18"/>
        <v>24821.451551066919</v>
      </c>
    </row>
    <row r="619" spans="19:21" ht="14.65" thickBot="1" x14ac:dyDescent="0.5">
      <c r="S619" s="37">
        <f t="shared" si="19"/>
        <v>25165.61606657759</v>
      </c>
      <c r="U619" s="26">
        <f t="shared" si="18"/>
        <v>25070.61606657759</v>
      </c>
    </row>
    <row r="620" spans="19:21" ht="14.65" thickBot="1" x14ac:dyDescent="0.5">
      <c r="S620" s="37">
        <f t="shared" si="19"/>
        <v>25417.272227243368</v>
      </c>
      <c r="U620" s="26">
        <f t="shared" si="18"/>
        <v>25322.272227243368</v>
      </c>
    </row>
    <row r="621" spans="19:21" ht="14.65" thickBot="1" x14ac:dyDescent="0.5">
      <c r="S621" s="37">
        <f t="shared" si="19"/>
        <v>25671.444949515801</v>
      </c>
      <c r="U621" s="26">
        <f t="shared" si="18"/>
        <v>25576.444949515801</v>
      </c>
    </row>
    <row r="622" spans="19:21" ht="14.65" thickBot="1" x14ac:dyDescent="0.5">
      <c r="S622" s="37">
        <f t="shared" si="19"/>
        <v>25928.159399010958</v>
      </c>
      <c r="U622" s="26">
        <f t="shared" si="18"/>
        <v>25833.159399010958</v>
      </c>
    </row>
    <row r="623" spans="19:21" ht="14.65" thickBot="1" x14ac:dyDescent="0.5">
      <c r="S623" s="37">
        <f t="shared" si="19"/>
        <v>26187.440993001066</v>
      </c>
      <c r="U623" s="26">
        <f t="shared" si="18"/>
        <v>26092.440993001066</v>
      </c>
    </row>
    <row r="624" spans="19:21" ht="14.65" thickBot="1" x14ac:dyDescent="0.5">
      <c r="S624" s="37">
        <f t="shared" si="19"/>
        <v>26449.315402931075</v>
      </c>
      <c r="U624" s="26">
        <f t="shared" si="18"/>
        <v>26354.315402931075</v>
      </c>
    </row>
    <row r="625" spans="19:21" ht="14.65" thickBot="1" x14ac:dyDescent="0.5">
      <c r="S625" s="37">
        <f t="shared" si="19"/>
        <v>26713.808556960386</v>
      </c>
      <c r="U625" s="26">
        <f t="shared" si="18"/>
        <v>26618.808556960386</v>
      </c>
    </row>
    <row r="626" spans="19:21" ht="14.65" thickBot="1" x14ac:dyDescent="0.5">
      <c r="S626" s="37">
        <f t="shared" si="19"/>
        <v>26980.946642529991</v>
      </c>
      <c r="U626" s="26">
        <f t="shared" si="18"/>
        <v>26885.946642529991</v>
      </c>
    </row>
    <row r="627" spans="19:21" ht="14.65" thickBot="1" x14ac:dyDescent="0.5">
      <c r="S627" s="37">
        <f t="shared" si="19"/>
        <v>27250.756108955291</v>
      </c>
      <c r="U627" s="26">
        <f t="shared" si="18"/>
        <v>27155.756108955291</v>
      </c>
    </row>
    <row r="628" spans="19:21" ht="14.65" thickBot="1" x14ac:dyDescent="0.5">
      <c r="S628" s="37">
        <f t="shared" si="19"/>
        <v>27523.263670044846</v>
      </c>
      <c r="U628" s="26">
        <f t="shared" si="18"/>
        <v>27428.263670044846</v>
      </c>
    </row>
    <row r="629" spans="19:21" ht="14.65" thickBot="1" x14ac:dyDescent="0.5">
      <c r="S629" s="37">
        <f t="shared" si="19"/>
        <v>27798.496306745295</v>
      </c>
      <c r="U629" s="26">
        <f t="shared" si="18"/>
        <v>27703.496306745295</v>
      </c>
    </row>
    <row r="630" spans="19:21" ht="14.65" thickBot="1" x14ac:dyDescent="0.5">
      <c r="S630" s="37">
        <f t="shared" si="19"/>
        <v>28076.48126981275</v>
      </c>
      <c r="U630" s="26">
        <f t="shared" si="18"/>
        <v>27981.48126981275</v>
      </c>
    </row>
    <row r="631" spans="19:21" ht="14.65" thickBot="1" x14ac:dyDescent="0.5">
      <c r="S631" s="37">
        <f t="shared" si="19"/>
        <v>28357.246082510879</v>
      </c>
      <c r="U631" s="26">
        <f t="shared" si="18"/>
        <v>28262.246082510879</v>
      </c>
    </row>
    <row r="632" spans="19:21" ht="14.65" thickBot="1" x14ac:dyDescent="0.5">
      <c r="S632" s="37">
        <f t="shared" si="19"/>
        <v>28640.818543335987</v>
      </c>
      <c r="U632" s="26">
        <f t="shared" si="18"/>
        <v>28545.818543335987</v>
      </c>
    </row>
    <row r="633" spans="19:21" ht="14.65" thickBot="1" x14ac:dyDescent="0.5">
      <c r="S633" s="37">
        <f t="shared" si="19"/>
        <v>28927.226728769347</v>
      </c>
      <c r="U633" s="26">
        <f t="shared" si="18"/>
        <v>28832.226728769347</v>
      </c>
    </row>
    <row r="634" spans="19:21" ht="14.65" thickBot="1" x14ac:dyDescent="0.5">
      <c r="S634" s="37">
        <f t="shared" si="19"/>
        <v>29216.498996057042</v>
      </c>
      <c r="U634" s="26">
        <f t="shared" si="18"/>
        <v>29121.498996057042</v>
      </c>
    </row>
    <row r="635" spans="19:21" ht="14.65" thickBot="1" x14ac:dyDescent="0.5">
      <c r="S635" s="37">
        <f t="shared" si="19"/>
        <v>29508.663986017611</v>
      </c>
      <c r="U635" s="26">
        <f t="shared" si="18"/>
        <v>29413.663986017611</v>
      </c>
    </row>
    <row r="636" spans="19:21" ht="14.65" thickBot="1" x14ac:dyDescent="0.5">
      <c r="S636" s="37">
        <f t="shared" si="19"/>
        <v>29803.750625877787</v>
      </c>
      <c r="U636" s="26">
        <f t="shared" si="18"/>
        <v>29708.750625877787</v>
      </c>
    </row>
    <row r="637" spans="19:21" ht="14.65" thickBot="1" x14ac:dyDescent="0.5">
      <c r="S637" s="37">
        <f t="shared" si="19"/>
        <v>30101.788132136564</v>
      </c>
      <c r="U637" s="26">
        <f t="shared" si="18"/>
        <v>30006.788132136564</v>
      </c>
    </row>
    <row r="638" spans="19:21" ht="14.65" thickBot="1" x14ac:dyDescent="0.5">
      <c r="S638" s="37">
        <f t="shared" si="19"/>
        <v>30402.806013457928</v>
      </c>
      <c r="U638" s="26">
        <f t="shared" si="18"/>
        <v>30307.806013457928</v>
      </c>
    </row>
    <row r="639" spans="19:21" ht="14.65" thickBot="1" x14ac:dyDescent="0.5">
      <c r="S639" s="37">
        <f t="shared" si="19"/>
        <v>30706.834073592509</v>
      </c>
      <c r="U639" s="26">
        <f t="shared" si="18"/>
        <v>30611.834073592509</v>
      </c>
    </row>
    <row r="640" spans="19:21" ht="14.65" thickBot="1" x14ac:dyDescent="0.5">
      <c r="S640" s="37">
        <f t="shared" si="19"/>
        <v>31013.902414328433</v>
      </c>
      <c r="U640" s="26">
        <f t="shared" si="18"/>
        <v>30918.902414328433</v>
      </c>
    </row>
    <row r="641" spans="19:21" ht="14.65" thickBot="1" x14ac:dyDescent="0.5">
      <c r="S641" s="37">
        <f t="shared" si="19"/>
        <v>31324.041438471719</v>
      </c>
      <c r="U641" s="26">
        <f t="shared" si="18"/>
        <v>31229.041438471719</v>
      </c>
    </row>
    <row r="642" spans="19:21" ht="14.65" thickBot="1" x14ac:dyDescent="0.5">
      <c r="S642" s="37">
        <f t="shared" si="19"/>
        <v>31637.281852856435</v>
      </c>
      <c r="U642" s="26">
        <f t="shared" si="18"/>
        <v>31542.281852856435</v>
      </c>
    </row>
    <row r="643" spans="19:21" ht="14.65" thickBot="1" x14ac:dyDescent="0.5">
      <c r="S643" s="37">
        <f t="shared" si="19"/>
        <v>31953.654671385</v>
      </c>
      <c r="U643" s="26">
        <f t="shared" si="18"/>
        <v>31858.654671385</v>
      </c>
    </row>
    <row r="644" spans="19:21" ht="14.65" thickBot="1" x14ac:dyDescent="0.5">
      <c r="S644" s="37">
        <f t="shared" si="19"/>
        <v>32273.191218098851</v>
      </c>
      <c r="U644" s="26">
        <f t="shared" si="18"/>
        <v>32178.191218098851</v>
      </c>
    </row>
    <row r="645" spans="19:21" ht="14.65" thickBot="1" x14ac:dyDescent="0.5">
      <c r="S645" s="37">
        <f t="shared" si="19"/>
        <v>32595.92313027984</v>
      </c>
      <c r="U645" s="26">
        <f t="shared" si="18"/>
        <v>32500.92313027984</v>
      </c>
    </row>
    <row r="646" spans="19:21" ht="14.65" thickBot="1" x14ac:dyDescent="0.5">
      <c r="S646" s="37">
        <f t="shared" si="19"/>
        <v>32921.88236158264</v>
      </c>
      <c r="U646" s="26">
        <f t="shared" si="18"/>
        <v>32826.88236158264</v>
      </c>
    </row>
    <row r="647" spans="19:21" ht="14.65" thickBot="1" x14ac:dyDescent="0.5">
      <c r="S647" s="37">
        <f t="shared" si="19"/>
        <v>33251.101185198466</v>
      </c>
      <c r="U647" s="26">
        <f t="shared" si="18"/>
        <v>33156.101185198466</v>
      </c>
    </row>
    <row r="648" spans="19:21" ht="14.65" thickBot="1" x14ac:dyDescent="0.5">
      <c r="S648" s="37">
        <f t="shared" si="19"/>
        <v>33583.612197050454</v>
      </c>
      <c r="U648" s="26">
        <f t="shared" si="18"/>
        <v>33488.612197050454</v>
      </c>
    </row>
    <row r="649" spans="19:21" ht="14.65" thickBot="1" x14ac:dyDescent="0.5">
      <c r="S649" s="37">
        <f t="shared" si="19"/>
        <v>33919.448319020958</v>
      </c>
      <c r="U649" s="26">
        <f t="shared" si="18"/>
        <v>33824.448319020958</v>
      </c>
    </row>
    <row r="650" spans="19:21" ht="14.65" thickBot="1" x14ac:dyDescent="0.5">
      <c r="S650" s="37">
        <f t="shared" si="19"/>
        <v>34258.642802211165</v>
      </c>
      <c r="U650" s="26">
        <f t="shared" si="18"/>
        <v>34163.642802211165</v>
      </c>
    </row>
    <row r="651" spans="19:21" ht="14.65" thickBot="1" x14ac:dyDescent="0.5">
      <c r="S651" s="37">
        <f t="shared" si="19"/>
        <v>34601.229230233279</v>
      </c>
      <c r="U651" s="26">
        <f t="shared" si="18"/>
        <v>34506.229230233279</v>
      </c>
    </row>
    <row r="652" spans="19:21" ht="14.65" thickBot="1" x14ac:dyDescent="0.5">
      <c r="S652" s="37">
        <f t="shared" si="19"/>
        <v>34947.241522535609</v>
      </c>
      <c r="U652" s="26">
        <f t="shared" si="18"/>
        <v>34852.241522535609</v>
      </c>
    </row>
    <row r="653" spans="19:21" ht="14.65" thickBot="1" x14ac:dyDescent="0.5">
      <c r="S653" s="37">
        <f t="shared" si="19"/>
        <v>35296.713937760964</v>
      </c>
      <c r="U653" s="26">
        <f t="shared" si="18"/>
        <v>35201.713937760964</v>
      </c>
    </row>
    <row r="654" spans="19:21" ht="14.65" thickBot="1" x14ac:dyDescent="0.5">
      <c r="S654" s="37">
        <f t="shared" si="19"/>
        <v>35649.681077138572</v>
      </c>
      <c r="U654" s="26">
        <f t="shared" si="18"/>
        <v>35554.681077138572</v>
      </c>
    </row>
    <row r="655" spans="19:21" ht="14.65" thickBot="1" x14ac:dyDescent="0.5">
      <c r="S655" s="37">
        <f t="shared" si="19"/>
        <v>36006.177887909958</v>
      </c>
      <c r="U655" s="26">
        <f t="shared" si="18"/>
        <v>35911.177887909958</v>
      </c>
    </row>
    <row r="656" spans="19:21" ht="14.65" thickBot="1" x14ac:dyDescent="0.5">
      <c r="S656" s="37">
        <f t="shared" si="19"/>
        <v>36366.239666789057</v>
      </c>
      <c r="U656" s="26">
        <f t="shared" si="18"/>
        <v>36271.239666789057</v>
      </c>
    </row>
    <row r="657" spans="19:21" ht="14.65" thickBot="1" x14ac:dyDescent="0.5">
      <c r="S657" s="37">
        <f t="shared" si="19"/>
        <v>36729.902063456946</v>
      </c>
      <c r="U657" s="26">
        <f t="shared" ref="U657:U720" si="20">IF(S657&lt;$D$7,-$D$8,(S657-$D$7)-$D$8)</f>
        <v>36634.902063456946</v>
      </c>
    </row>
    <row r="658" spans="19:21" ht="14.65" thickBot="1" x14ac:dyDescent="0.5">
      <c r="S658" s="37">
        <f t="shared" si="19"/>
        <v>37097.201084091517</v>
      </c>
      <c r="U658" s="26">
        <f t="shared" si="20"/>
        <v>37002.201084091517</v>
      </c>
    </row>
    <row r="659" spans="19:21" ht="14.65" thickBot="1" x14ac:dyDescent="0.5">
      <c r="S659" s="37">
        <f t="shared" ref="S659:S722" si="21">S658*(1.01)</f>
        <v>37468.173094932434</v>
      </c>
      <c r="U659" s="26">
        <f t="shared" si="20"/>
        <v>37373.173094932434</v>
      </c>
    </row>
    <row r="660" spans="19:21" ht="14.65" thickBot="1" x14ac:dyDescent="0.5">
      <c r="S660" s="37">
        <f t="shared" si="21"/>
        <v>37842.854825881761</v>
      </c>
      <c r="U660" s="26">
        <f t="shared" si="20"/>
        <v>37747.854825881761</v>
      </c>
    </row>
    <row r="661" spans="19:21" ht="14.65" thickBot="1" x14ac:dyDescent="0.5">
      <c r="S661" s="37">
        <f t="shared" si="21"/>
        <v>38221.283374140578</v>
      </c>
      <c r="U661" s="26">
        <f t="shared" si="20"/>
        <v>38126.283374140578</v>
      </c>
    </row>
    <row r="662" spans="19:21" ht="14.65" thickBot="1" x14ac:dyDescent="0.5">
      <c r="S662" s="37">
        <f t="shared" si="21"/>
        <v>38603.496207881981</v>
      </c>
      <c r="U662" s="26">
        <f t="shared" si="20"/>
        <v>38508.496207881981</v>
      </c>
    </row>
    <row r="663" spans="19:21" ht="14.65" thickBot="1" x14ac:dyDescent="0.5">
      <c r="S663" s="37">
        <f t="shared" si="21"/>
        <v>38989.531169960799</v>
      </c>
      <c r="U663" s="26">
        <f t="shared" si="20"/>
        <v>38894.531169960799</v>
      </c>
    </row>
    <row r="664" spans="19:21" ht="14.65" thickBot="1" x14ac:dyDescent="0.5">
      <c r="S664" s="37">
        <f t="shared" si="21"/>
        <v>39379.426481660405</v>
      </c>
      <c r="U664" s="26">
        <f t="shared" si="20"/>
        <v>39284.426481660405</v>
      </c>
    </row>
    <row r="665" spans="19:21" ht="14.65" thickBot="1" x14ac:dyDescent="0.5">
      <c r="S665" s="37">
        <f t="shared" si="21"/>
        <v>39773.220746477011</v>
      </c>
      <c r="U665" s="26">
        <f t="shared" si="20"/>
        <v>39678.220746477011</v>
      </c>
    </row>
    <row r="666" spans="19:21" ht="14.65" thickBot="1" x14ac:dyDescent="0.5">
      <c r="S666" s="37">
        <f t="shared" si="21"/>
        <v>40170.952953941778</v>
      </c>
      <c r="U666" s="26">
        <f t="shared" si="20"/>
        <v>40075.952953941778</v>
      </c>
    </row>
    <row r="667" spans="19:21" ht="14.65" thickBot="1" x14ac:dyDescent="0.5">
      <c r="S667" s="37">
        <f t="shared" si="21"/>
        <v>40572.662483481196</v>
      </c>
      <c r="U667" s="26">
        <f t="shared" si="20"/>
        <v>40477.662483481196</v>
      </c>
    </row>
    <row r="668" spans="19:21" ht="14.65" thickBot="1" x14ac:dyDescent="0.5">
      <c r="S668" s="37">
        <f t="shared" si="21"/>
        <v>40978.389108316005</v>
      </c>
      <c r="U668" s="26">
        <f t="shared" si="20"/>
        <v>40883.389108316005</v>
      </c>
    </row>
    <row r="669" spans="19:21" ht="14.65" thickBot="1" x14ac:dyDescent="0.5">
      <c r="S669" s="37">
        <f t="shared" si="21"/>
        <v>41388.172999399168</v>
      </c>
      <c r="U669" s="26">
        <f t="shared" si="20"/>
        <v>41293.172999399168</v>
      </c>
    </row>
    <row r="670" spans="19:21" ht="14.65" thickBot="1" x14ac:dyDescent="0.5">
      <c r="S670" s="37">
        <f t="shared" si="21"/>
        <v>41802.05472939316</v>
      </c>
      <c r="U670" s="26">
        <f t="shared" si="20"/>
        <v>41707.05472939316</v>
      </c>
    </row>
    <row r="671" spans="19:21" ht="14.65" thickBot="1" x14ac:dyDescent="0.5">
      <c r="S671" s="37">
        <f t="shared" si="21"/>
        <v>42220.075276687094</v>
      </c>
      <c r="U671" s="26">
        <f t="shared" si="20"/>
        <v>42125.075276687094</v>
      </c>
    </row>
    <row r="672" spans="19:21" ht="14.65" thickBot="1" x14ac:dyDescent="0.5">
      <c r="S672" s="37">
        <f t="shared" si="21"/>
        <v>42642.276029453962</v>
      </c>
      <c r="U672" s="26">
        <f t="shared" si="20"/>
        <v>42547.276029453962</v>
      </c>
    </row>
    <row r="673" spans="19:21" ht="14.65" thickBot="1" x14ac:dyDescent="0.5">
      <c r="S673" s="37">
        <f t="shared" si="21"/>
        <v>43068.698789748501</v>
      </c>
      <c r="U673" s="26">
        <f t="shared" si="20"/>
        <v>42973.698789748501</v>
      </c>
    </row>
    <row r="674" spans="19:21" ht="14.65" thickBot="1" x14ac:dyDescent="0.5">
      <c r="S674" s="37">
        <f t="shared" si="21"/>
        <v>43499.385777645984</v>
      </c>
      <c r="U674" s="26">
        <f t="shared" si="20"/>
        <v>43404.385777645984</v>
      </c>
    </row>
    <row r="675" spans="19:21" ht="14.65" thickBot="1" x14ac:dyDescent="0.5">
      <c r="S675" s="37">
        <f t="shared" si="21"/>
        <v>43934.379635422447</v>
      </c>
      <c r="U675" s="26">
        <f t="shared" si="20"/>
        <v>43839.379635422447</v>
      </c>
    </row>
    <row r="676" spans="19:21" ht="14.65" thickBot="1" x14ac:dyDescent="0.5">
      <c r="S676" s="37">
        <f t="shared" si="21"/>
        <v>44373.723431776671</v>
      </c>
      <c r="U676" s="26">
        <f t="shared" si="20"/>
        <v>44278.723431776671</v>
      </c>
    </row>
    <row r="677" spans="19:21" ht="14.65" thickBot="1" x14ac:dyDescent="0.5">
      <c r="S677" s="37">
        <f t="shared" si="21"/>
        <v>44817.460666094441</v>
      </c>
      <c r="U677" s="26">
        <f t="shared" si="20"/>
        <v>44722.460666094441</v>
      </c>
    </row>
    <row r="678" spans="19:21" ht="14.65" thickBot="1" x14ac:dyDescent="0.5">
      <c r="S678" s="37">
        <f t="shared" si="21"/>
        <v>45265.635272755382</v>
      </c>
      <c r="U678" s="26">
        <f t="shared" si="20"/>
        <v>45170.635272755382</v>
      </c>
    </row>
    <row r="679" spans="19:21" ht="14.65" thickBot="1" x14ac:dyDescent="0.5">
      <c r="S679" s="37">
        <f t="shared" si="21"/>
        <v>45718.29162548294</v>
      </c>
      <c r="U679" s="26">
        <f t="shared" si="20"/>
        <v>45623.29162548294</v>
      </c>
    </row>
    <row r="680" spans="19:21" ht="14.65" thickBot="1" x14ac:dyDescent="0.5">
      <c r="S680" s="37">
        <f t="shared" si="21"/>
        <v>46175.474541737771</v>
      </c>
      <c r="U680" s="26">
        <f t="shared" si="20"/>
        <v>46080.474541737771</v>
      </c>
    </row>
    <row r="681" spans="19:21" ht="14.65" thickBot="1" x14ac:dyDescent="0.5">
      <c r="S681" s="37">
        <f t="shared" si="21"/>
        <v>46637.229287155147</v>
      </c>
      <c r="U681" s="26">
        <f t="shared" si="20"/>
        <v>46542.229287155147</v>
      </c>
    </row>
    <row r="682" spans="19:21" ht="14.65" thickBot="1" x14ac:dyDescent="0.5">
      <c r="S682" s="37">
        <f t="shared" si="21"/>
        <v>47103.601580026698</v>
      </c>
      <c r="U682" s="26">
        <f t="shared" si="20"/>
        <v>47008.601580026698</v>
      </c>
    </row>
    <row r="683" spans="19:21" ht="14.65" thickBot="1" x14ac:dyDescent="0.5">
      <c r="S683" s="37">
        <f t="shared" si="21"/>
        <v>47574.637595826964</v>
      </c>
      <c r="U683" s="26">
        <f t="shared" si="20"/>
        <v>47479.637595826964</v>
      </c>
    </row>
    <row r="684" spans="19:21" ht="14.65" thickBot="1" x14ac:dyDescent="0.5">
      <c r="S684" s="37">
        <f t="shared" si="21"/>
        <v>48050.383971785232</v>
      </c>
      <c r="U684" s="26">
        <f t="shared" si="20"/>
        <v>47955.383971785232</v>
      </c>
    </row>
    <row r="685" spans="19:21" ht="14.65" thickBot="1" x14ac:dyDescent="0.5">
      <c r="S685" s="37">
        <f t="shared" si="21"/>
        <v>48530.887811503082</v>
      </c>
      <c r="U685" s="26">
        <f t="shared" si="20"/>
        <v>48435.887811503082</v>
      </c>
    </row>
    <row r="686" spans="19:21" ht="14.65" thickBot="1" x14ac:dyDescent="0.5">
      <c r="S686" s="37">
        <f t="shared" si="21"/>
        <v>49016.196689618111</v>
      </c>
      <c r="U686" s="26">
        <f t="shared" si="20"/>
        <v>48921.196689618111</v>
      </c>
    </row>
    <row r="687" spans="19:21" ht="14.65" thickBot="1" x14ac:dyDescent="0.5">
      <c r="S687" s="37">
        <f t="shared" si="21"/>
        <v>49506.35865651429</v>
      </c>
      <c r="U687" s="26">
        <f t="shared" si="20"/>
        <v>49411.35865651429</v>
      </c>
    </row>
    <row r="688" spans="19:21" ht="14.65" thickBot="1" x14ac:dyDescent="0.5">
      <c r="S688" s="37">
        <f t="shared" si="21"/>
        <v>50001.422243079433</v>
      </c>
      <c r="U688" s="26">
        <f t="shared" si="20"/>
        <v>49906.422243079433</v>
      </c>
    </row>
    <row r="689" spans="19:21" ht="14.65" thickBot="1" x14ac:dyDescent="0.5">
      <c r="S689" s="37">
        <f t="shared" si="21"/>
        <v>50501.436465510225</v>
      </c>
      <c r="U689" s="26">
        <f t="shared" si="20"/>
        <v>50406.436465510225</v>
      </c>
    </row>
    <row r="690" spans="19:21" ht="14.65" thickBot="1" x14ac:dyDescent="0.5">
      <c r="S690" s="37">
        <f t="shared" si="21"/>
        <v>51006.450830165326</v>
      </c>
      <c r="U690" s="26">
        <f t="shared" si="20"/>
        <v>50911.450830165326</v>
      </c>
    </row>
    <row r="691" spans="19:21" ht="14.65" thickBot="1" x14ac:dyDescent="0.5">
      <c r="S691" s="37">
        <f t="shared" si="21"/>
        <v>51516.515338466983</v>
      </c>
      <c r="U691" s="26">
        <f t="shared" si="20"/>
        <v>51421.515338466983</v>
      </c>
    </row>
    <row r="692" spans="19:21" ht="14.65" thickBot="1" x14ac:dyDescent="0.5">
      <c r="S692" s="37">
        <f t="shared" si="21"/>
        <v>52031.68049185165</v>
      </c>
      <c r="U692" s="26">
        <f t="shared" si="20"/>
        <v>51936.68049185165</v>
      </c>
    </row>
    <row r="693" spans="19:21" ht="14.65" thickBot="1" x14ac:dyDescent="0.5">
      <c r="S693" s="37">
        <f t="shared" si="21"/>
        <v>52551.997296770169</v>
      </c>
      <c r="U693" s="26">
        <f t="shared" si="20"/>
        <v>52456.997296770169</v>
      </c>
    </row>
    <row r="694" spans="19:21" ht="14.65" thickBot="1" x14ac:dyDescent="0.5">
      <c r="S694" s="37">
        <f t="shared" si="21"/>
        <v>53077.517269737873</v>
      </c>
      <c r="U694" s="26">
        <f t="shared" si="20"/>
        <v>52982.517269737873</v>
      </c>
    </row>
    <row r="695" spans="19:21" ht="14.65" thickBot="1" x14ac:dyDescent="0.5">
      <c r="S695" s="37">
        <f t="shared" si="21"/>
        <v>53608.292442435253</v>
      </c>
      <c r="U695" s="26">
        <f t="shared" si="20"/>
        <v>53513.292442435253</v>
      </c>
    </row>
    <row r="696" spans="19:21" ht="14.65" thickBot="1" x14ac:dyDescent="0.5">
      <c r="S696" s="37">
        <f t="shared" si="21"/>
        <v>54144.375366859604</v>
      </c>
      <c r="U696" s="26">
        <f t="shared" si="20"/>
        <v>54049.375366859604</v>
      </c>
    </row>
    <row r="697" spans="19:21" ht="14.65" thickBot="1" x14ac:dyDescent="0.5">
      <c r="S697" s="37">
        <f t="shared" si="21"/>
        <v>54685.819120528198</v>
      </c>
      <c r="U697" s="26">
        <f t="shared" si="20"/>
        <v>54590.819120528198</v>
      </c>
    </row>
    <row r="698" spans="19:21" ht="14.65" thickBot="1" x14ac:dyDescent="0.5">
      <c r="S698" s="37">
        <f t="shared" si="21"/>
        <v>55232.677311733481</v>
      </c>
      <c r="U698" s="26">
        <f t="shared" si="20"/>
        <v>55137.677311733481</v>
      </c>
    </row>
    <row r="699" spans="19:21" ht="14.65" thickBot="1" x14ac:dyDescent="0.5">
      <c r="S699" s="37">
        <f t="shared" si="21"/>
        <v>55785.004084850814</v>
      </c>
      <c r="U699" s="26">
        <f t="shared" si="20"/>
        <v>55690.004084850814</v>
      </c>
    </row>
    <row r="700" spans="19:21" ht="14.65" thickBot="1" x14ac:dyDescent="0.5">
      <c r="S700" s="37">
        <f t="shared" si="21"/>
        <v>56342.854125699319</v>
      </c>
      <c r="U700" s="26">
        <f t="shared" si="20"/>
        <v>56247.854125699319</v>
      </c>
    </row>
    <row r="701" spans="19:21" ht="14.65" thickBot="1" x14ac:dyDescent="0.5">
      <c r="S701" s="37">
        <f t="shared" si="21"/>
        <v>56906.282666956315</v>
      </c>
      <c r="U701" s="26">
        <f t="shared" si="20"/>
        <v>56811.282666956315</v>
      </c>
    </row>
    <row r="702" spans="19:21" ht="14.65" thickBot="1" x14ac:dyDescent="0.5">
      <c r="S702" s="37">
        <f t="shared" si="21"/>
        <v>57475.345493625879</v>
      </c>
      <c r="U702" s="26">
        <f t="shared" si="20"/>
        <v>57380.345493625879</v>
      </c>
    </row>
    <row r="703" spans="19:21" ht="14.65" thickBot="1" x14ac:dyDescent="0.5">
      <c r="S703" s="37">
        <f t="shared" si="21"/>
        <v>58050.098948562139</v>
      </c>
      <c r="U703" s="26">
        <f t="shared" si="20"/>
        <v>57955.098948562139</v>
      </c>
    </row>
    <row r="704" spans="19:21" ht="14.65" thickBot="1" x14ac:dyDescent="0.5">
      <c r="S704" s="37">
        <f t="shared" si="21"/>
        <v>58630.599938047759</v>
      </c>
      <c r="U704" s="26">
        <f t="shared" si="20"/>
        <v>58535.599938047759</v>
      </c>
    </row>
    <row r="705" spans="19:21" ht="14.65" thickBot="1" x14ac:dyDescent="0.5">
      <c r="S705" s="37">
        <f t="shared" si="21"/>
        <v>59216.905937428237</v>
      </c>
      <c r="U705" s="26">
        <f t="shared" si="20"/>
        <v>59121.905937428237</v>
      </c>
    </row>
    <row r="706" spans="19:21" ht="14.65" thickBot="1" x14ac:dyDescent="0.5">
      <c r="S706" s="37">
        <f t="shared" si="21"/>
        <v>59809.074996802519</v>
      </c>
      <c r="U706" s="26">
        <f t="shared" si="20"/>
        <v>59714.074996802519</v>
      </c>
    </row>
    <row r="707" spans="19:21" ht="14.65" thickBot="1" x14ac:dyDescent="0.5">
      <c r="S707" s="37">
        <f t="shared" si="21"/>
        <v>60407.165746770545</v>
      </c>
      <c r="U707" s="26">
        <f t="shared" si="20"/>
        <v>60312.165746770545</v>
      </c>
    </row>
    <row r="708" spans="19:21" ht="14.65" thickBot="1" x14ac:dyDescent="0.5">
      <c r="S708" s="37">
        <f t="shared" si="21"/>
        <v>61011.237404238251</v>
      </c>
      <c r="U708" s="26">
        <f t="shared" si="20"/>
        <v>60916.237404238251</v>
      </c>
    </row>
    <row r="709" spans="19:21" ht="14.65" thickBot="1" x14ac:dyDescent="0.5">
      <c r="S709" s="37">
        <f t="shared" si="21"/>
        <v>61621.349778280637</v>
      </c>
      <c r="U709" s="26">
        <f t="shared" si="20"/>
        <v>61526.349778280637</v>
      </c>
    </row>
    <row r="710" spans="19:21" ht="14.65" thickBot="1" x14ac:dyDescent="0.5">
      <c r="S710" s="37">
        <f t="shared" si="21"/>
        <v>62237.563276063447</v>
      </c>
      <c r="U710" s="26">
        <f t="shared" si="20"/>
        <v>62142.563276063447</v>
      </c>
    </row>
    <row r="711" spans="19:21" ht="14.65" thickBot="1" x14ac:dyDescent="0.5">
      <c r="S711" s="37">
        <f t="shared" si="21"/>
        <v>62859.938908824079</v>
      </c>
      <c r="U711" s="26">
        <f t="shared" si="20"/>
        <v>62764.938908824079</v>
      </c>
    </row>
    <row r="712" spans="19:21" ht="14.65" thickBot="1" x14ac:dyDescent="0.5">
      <c r="S712" s="37">
        <f t="shared" si="21"/>
        <v>63488.538297912317</v>
      </c>
      <c r="U712" s="26">
        <f t="shared" si="20"/>
        <v>63393.538297912317</v>
      </c>
    </row>
    <row r="713" spans="19:21" ht="14.65" thickBot="1" x14ac:dyDescent="0.5">
      <c r="S713" s="37">
        <f t="shared" si="21"/>
        <v>64123.423680891443</v>
      </c>
      <c r="U713" s="26">
        <f t="shared" si="20"/>
        <v>64028.423680891443</v>
      </c>
    </row>
    <row r="714" spans="19:21" ht="14.65" thickBot="1" x14ac:dyDescent="0.5">
      <c r="S714" s="37">
        <f t="shared" si="21"/>
        <v>64764.657917700359</v>
      </c>
      <c r="U714" s="26">
        <f t="shared" si="20"/>
        <v>64669.657917700359</v>
      </c>
    </row>
    <row r="715" spans="19:21" ht="14.65" thickBot="1" x14ac:dyDescent="0.5">
      <c r="S715" s="37">
        <f t="shared" si="21"/>
        <v>65412.304496877361</v>
      </c>
      <c r="U715" s="26">
        <f t="shared" si="20"/>
        <v>65317.304496877361</v>
      </c>
    </row>
    <row r="716" spans="19:21" ht="14.65" thickBot="1" x14ac:dyDescent="0.5">
      <c r="S716" s="37">
        <f t="shared" si="21"/>
        <v>66066.427541846133</v>
      </c>
      <c r="U716" s="26">
        <f t="shared" si="20"/>
        <v>65971.427541846133</v>
      </c>
    </row>
    <row r="717" spans="19:21" ht="14.65" thickBot="1" x14ac:dyDescent="0.5">
      <c r="S717" s="37">
        <f t="shared" si="21"/>
        <v>66727.091817264591</v>
      </c>
      <c r="U717" s="26">
        <f t="shared" si="20"/>
        <v>66632.091817264591</v>
      </c>
    </row>
    <row r="718" spans="19:21" ht="14.65" thickBot="1" x14ac:dyDescent="0.5">
      <c r="S718" s="37">
        <f t="shared" si="21"/>
        <v>67394.362735437244</v>
      </c>
      <c r="U718" s="26">
        <f t="shared" si="20"/>
        <v>67299.362735437244</v>
      </c>
    </row>
    <row r="719" spans="19:21" ht="14.65" thickBot="1" x14ac:dyDescent="0.5">
      <c r="S719" s="37">
        <f t="shared" si="21"/>
        <v>68068.306362791613</v>
      </c>
      <c r="U719" s="26">
        <f t="shared" si="20"/>
        <v>67973.306362791613</v>
      </c>
    </row>
    <row r="720" spans="19:21" ht="14.65" thickBot="1" x14ac:dyDescent="0.5">
      <c r="S720" s="37">
        <f t="shared" si="21"/>
        <v>68748.989426419532</v>
      </c>
      <c r="U720" s="26">
        <f t="shared" si="20"/>
        <v>68653.989426419532</v>
      </c>
    </row>
    <row r="721" spans="19:21" ht="14.65" thickBot="1" x14ac:dyDescent="0.5">
      <c r="S721" s="37">
        <f t="shared" si="21"/>
        <v>69436.479320683735</v>
      </c>
      <c r="U721" s="26">
        <f t="shared" ref="U721:U784" si="22">IF(S721&lt;$D$7,-$D$8,(S721-$D$7)-$D$8)</f>
        <v>69341.479320683735</v>
      </c>
    </row>
    <row r="722" spans="19:21" ht="14.65" thickBot="1" x14ac:dyDescent="0.5">
      <c r="S722" s="37">
        <f t="shared" si="21"/>
        <v>70130.844113890576</v>
      </c>
      <c r="U722" s="26">
        <f t="shared" si="22"/>
        <v>70035.844113890576</v>
      </c>
    </row>
    <row r="723" spans="19:21" ht="14.65" thickBot="1" x14ac:dyDescent="0.5">
      <c r="S723" s="37">
        <f t="shared" ref="S723:S786" si="23">S722*(1.01)</f>
        <v>70832.15255502949</v>
      </c>
      <c r="U723" s="26">
        <f t="shared" si="22"/>
        <v>70737.15255502949</v>
      </c>
    </row>
    <row r="724" spans="19:21" ht="14.65" thickBot="1" x14ac:dyDescent="0.5">
      <c r="S724" s="37">
        <f t="shared" si="23"/>
        <v>71540.474080579792</v>
      </c>
      <c r="U724" s="26">
        <f t="shared" si="22"/>
        <v>71445.474080579792</v>
      </c>
    </row>
    <row r="725" spans="19:21" ht="14.65" thickBot="1" x14ac:dyDescent="0.5">
      <c r="S725" s="37">
        <f t="shared" si="23"/>
        <v>72255.878821385588</v>
      </c>
      <c r="U725" s="26">
        <f t="shared" si="22"/>
        <v>72160.878821385588</v>
      </c>
    </row>
    <row r="726" spans="19:21" ht="14.65" thickBot="1" x14ac:dyDescent="0.5">
      <c r="S726" s="37">
        <f t="shared" si="23"/>
        <v>72978.437609599438</v>
      </c>
      <c r="U726" s="26">
        <f t="shared" si="22"/>
        <v>72883.437609599438</v>
      </c>
    </row>
    <row r="727" spans="19:21" ht="14.65" thickBot="1" x14ac:dyDescent="0.5">
      <c r="S727" s="37">
        <f t="shared" si="23"/>
        <v>73708.221985695433</v>
      </c>
      <c r="U727" s="26">
        <f t="shared" si="22"/>
        <v>73613.221985695433</v>
      </c>
    </row>
    <row r="728" spans="19:21" ht="14.65" thickBot="1" x14ac:dyDescent="0.5">
      <c r="S728" s="37">
        <f t="shared" si="23"/>
        <v>74445.304205552384</v>
      </c>
      <c r="U728" s="26">
        <f t="shared" si="22"/>
        <v>74350.304205552384</v>
      </c>
    </row>
    <row r="729" spans="19:21" ht="14.65" thickBot="1" x14ac:dyDescent="0.5">
      <c r="S729" s="37">
        <f t="shared" si="23"/>
        <v>75189.757247607908</v>
      </c>
      <c r="U729" s="26">
        <f t="shared" si="22"/>
        <v>75094.757247607908</v>
      </c>
    </row>
    <row r="730" spans="19:21" ht="14.65" thickBot="1" x14ac:dyDescent="0.5">
      <c r="S730" s="37">
        <f t="shared" si="23"/>
        <v>75941.65482008399</v>
      </c>
      <c r="U730" s="26">
        <f t="shared" si="22"/>
        <v>75846.65482008399</v>
      </c>
    </row>
    <row r="731" spans="19:21" ht="14.65" thickBot="1" x14ac:dyDescent="0.5">
      <c r="S731" s="37">
        <f t="shared" si="23"/>
        <v>76701.071368284829</v>
      </c>
      <c r="U731" s="26">
        <f t="shared" si="22"/>
        <v>76606.071368284829</v>
      </c>
    </row>
    <row r="732" spans="19:21" ht="14.65" thickBot="1" x14ac:dyDescent="0.5">
      <c r="S732" s="37">
        <f t="shared" si="23"/>
        <v>77468.082081967674</v>
      </c>
      <c r="U732" s="26">
        <f t="shared" si="22"/>
        <v>77373.082081967674</v>
      </c>
    </row>
    <row r="733" spans="19:21" ht="14.65" thickBot="1" x14ac:dyDescent="0.5">
      <c r="S733" s="37">
        <f t="shared" si="23"/>
        <v>78242.762902787348</v>
      </c>
      <c r="U733" s="26">
        <f t="shared" si="22"/>
        <v>78147.762902787348</v>
      </c>
    </row>
    <row r="734" spans="19:21" ht="14.65" thickBot="1" x14ac:dyDescent="0.5">
      <c r="S734" s="37">
        <f t="shared" si="23"/>
        <v>79025.190531815228</v>
      </c>
      <c r="U734" s="26">
        <f t="shared" si="22"/>
        <v>78930.190531815228</v>
      </c>
    </row>
    <row r="735" spans="19:21" ht="14.65" thickBot="1" x14ac:dyDescent="0.5">
      <c r="S735" s="37">
        <f t="shared" si="23"/>
        <v>79815.442437133373</v>
      </c>
      <c r="U735" s="26">
        <f t="shared" si="22"/>
        <v>79720.442437133373</v>
      </c>
    </row>
    <row r="736" spans="19:21" ht="14.65" thickBot="1" x14ac:dyDescent="0.5">
      <c r="S736" s="37">
        <f t="shared" si="23"/>
        <v>80613.596861504702</v>
      </c>
      <c r="U736" s="26">
        <f t="shared" si="22"/>
        <v>80518.596861504702</v>
      </c>
    </row>
    <row r="737" spans="19:21" ht="14.65" thickBot="1" x14ac:dyDescent="0.5">
      <c r="S737" s="37">
        <f t="shared" si="23"/>
        <v>81419.732830119756</v>
      </c>
      <c r="U737" s="26">
        <f t="shared" si="22"/>
        <v>81324.732830119756</v>
      </c>
    </row>
    <row r="738" spans="19:21" ht="14.65" thickBot="1" x14ac:dyDescent="0.5">
      <c r="S738" s="37">
        <f t="shared" si="23"/>
        <v>82233.930158420961</v>
      </c>
      <c r="U738" s="26">
        <f t="shared" si="22"/>
        <v>82138.930158420961</v>
      </c>
    </row>
    <row r="739" spans="19:21" ht="14.65" thickBot="1" x14ac:dyDescent="0.5">
      <c r="S739" s="37">
        <f t="shared" si="23"/>
        <v>83056.269460005176</v>
      </c>
      <c r="U739" s="26">
        <f t="shared" si="22"/>
        <v>82961.269460005176</v>
      </c>
    </row>
    <row r="740" spans="19:21" ht="14.65" thickBot="1" x14ac:dyDescent="0.5">
      <c r="S740" s="37">
        <f t="shared" si="23"/>
        <v>83886.832154605232</v>
      </c>
      <c r="U740" s="26">
        <f t="shared" si="22"/>
        <v>83791.832154605232</v>
      </c>
    </row>
    <row r="741" spans="19:21" ht="14.65" thickBot="1" x14ac:dyDescent="0.5">
      <c r="S741" s="37">
        <f t="shared" si="23"/>
        <v>84725.70047615128</v>
      </c>
      <c r="U741" s="26">
        <f t="shared" si="22"/>
        <v>84630.70047615128</v>
      </c>
    </row>
    <row r="742" spans="19:21" ht="14.65" thickBot="1" x14ac:dyDescent="0.5">
      <c r="S742" s="37">
        <f t="shared" si="23"/>
        <v>85572.957480912795</v>
      </c>
      <c r="U742" s="26">
        <f t="shared" si="22"/>
        <v>85477.957480912795</v>
      </c>
    </row>
    <row r="743" spans="19:21" ht="14.65" thickBot="1" x14ac:dyDescent="0.5">
      <c r="S743" s="37">
        <f t="shared" si="23"/>
        <v>86428.687055721923</v>
      </c>
      <c r="U743" s="26">
        <f t="shared" si="22"/>
        <v>86333.687055721923</v>
      </c>
    </row>
    <row r="744" spans="19:21" ht="14.65" thickBot="1" x14ac:dyDescent="0.5">
      <c r="S744" s="37">
        <f t="shared" si="23"/>
        <v>87292.973926279141</v>
      </c>
      <c r="U744" s="26">
        <f t="shared" si="22"/>
        <v>87197.973926279141</v>
      </c>
    </row>
    <row r="745" spans="19:21" ht="14.65" thickBot="1" x14ac:dyDescent="0.5">
      <c r="S745" s="37">
        <f t="shared" si="23"/>
        <v>88165.903665541933</v>
      </c>
      <c r="U745" s="26">
        <f t="shared" si="22"/>
        <v>88070.903665541933</v>
      </c>
    </row>
    <row r="746" spans="19:21" ht="14.65" thickBot="1" x14ac:dyDescent="0.5">
      <c r="S746" s="37">
        <f t="shared" si="23"/>
        <v>89047.562702197349</v>
      </c>
      <c r="U746" s="26">
        <f t="shared" si="22"/>
        <v>88952.562702197349</v>
      </c>
    </row>
    <row r="747" spans="19:21" ht="14.65" thickBot="1" x14ac:dyDescent="0.5">
      <c r="S747" s="37">
        <f t="shared" si="23"/>
        <v>89938.038329219329</v>
      </c>
      <c r="U747" s="26">
        <f t="shared" si="22"/>
        <v>89843.038329219329</v>
      </c>
    </row>
    <row r="748" spans="19:21" ht="14.65" thickBot="1" x14ac:dyDescent="0.5">
      <c r="S748" s="37">
        <f t="shared" si="23"/>
        <v>90837.418712511528</v>
      </c>
      <c r="U748" s="26">
        <f t="shared" si="22"/>
        <v>90742.418712511528</v>
      </c>
    </row>
    <row r="749" spans="19:21" ht="14.65" thickBot="1" x14ac:dyDescent="0.5">
      <c r="S749" s="37">
        <f t="shared" si="23"/>
        <v>91745.792899636639</v>
      </c>
      <c r="U749" s="26">
        <f t="shared" si="22"/>
        <v>91650.792899636639</v>
      </c>
    </row>
    <row r="750" spans="19:21" ht="14.65" thickBot="1" x14ac:dyDescent="0.5">
      <c r="S750" s="37">
        <f t="shared" si="23"/>
        <v>92663.250828633012</v>
      </c>
      <c r="U750" s="26">
        <f t="shared" si="22"/>
        <v>92568.250828633012</v>
      </c>
    </row>
    <row r="751" spans="19:21" ht="14.65" thickBot="1" x14ac:dyDescent="0.5">
      <c r="S751" s="37">
        <f t="shared" si="23"/>
        <v>93589.883336919345</v>
      </c>
      <c r="U751" s="26">
        <f t="shared" si="22"/>
        <v>93494.883336919345</v>
      </c>
    </row>
    <row r="752" spans="19:21" ht="14.65" thickBot="1" x14ac:dyDescent="0.5">
      <c r="S752" s="37">
        <f t="shared" si="23"/>
        <v>94525.782170288541</v>
      </c>
      <c r="U752" s="26">
        <f t="shared" si="22"/>
        <v>94430.782170288541</v>
      </c>
    </row>
    <row r="753" spans="19:21" ht="14.65" thickBot="1" x14ac:dyDescent="0.5">
      <c r="S753" s="37">
        <f t="shared" si="23"/>
        <v>95471.039991991434</v>
      </c>
      <c r="U753" s="26">
        <f t="shared" si="22"/>
        <v>95376.039991991434</v>
      </c>
    </row>
    <row r="754" spans="19:21" ht="14.65" thickBot="1" x14ac:dyDescent="0.5">
      <c r="S754" s="37">
        <f t="shared" si="23"/>
        <v>96425.750391911351</v>
      </c>
      <c r="U754" s="26">
        <f t="shared" si="22"/>
        <v>96330.750391911351</v>
      </c>
    </row>
    <row r="755" spans="19:21" ht="14.65" thickBot="1" x14ac:dyDescent="0.5">
      <c r="S755" s="37">
        <f t="shared" si="23"/>
        <v>97390.007895830466</v>
      </c>
      <c r="U755" s="26">
        <f t="shared" si="22"/>
        <v>97295.007895830466</v>
      </c>
    </row>
    <row r="756" spans="19:21" ht="14.65" thickBot="1" x14ac:dyDescent="0.5">
      <c r="S756" s="37">
        <f t="shared" si="23"/>
        <v>98363.907974788774</v>
      </c>
      <c r="U756" s="26">
        <f t="shared" si="22"/>
        <v>98268.907974788774</v>
      </c>
    </row>
    <row r="757" spans="19:21" ht="14.65" thickBot="1" x14ac:dyDescent="0.5">
      <c r="S757" s="37">
        <f t="shared" si="23"/>
        <v>99347.547054536655</v>
      </c>
      <c r="U757" s="26">
        <f t="shared" si="22"/>
        <v>99252.547054536655</v>
      </c>
    </row>
    <row r="758" spans="19:21" ht="14.65" thickBot="1" x14ac:dyDescent="0.5">
      <c r="S758" s="37">
        <f t="shared" si="23"/>
        <v>100341.02252508202</v>
      </c>
      <c r="U758" s="26">
        <f t="shared" si="22"/>
        <v>100246.02252508202</v>
      </c>
    </row>
    <row r="759" spans="19:21" ht="14.65" thickBot="1" x14ac:dyDescent="0.5">
      <c r="S759" s="37">
        <f t="shared" si="23"/>
        <v>101344.43275033284</v>
      </c>
      <c r="U759" s="26">
        <f t="shared" si="22"/>
        <v>101249.43275033284</v>
      </c>
    </row>
    <row r="760" spans="19:21" ht="14.65" thickBot="1" x14ac:dyDescent="0.5">
      <c r="S760" s="37">
        <f t="shared" si="23"/>
        <v>102357.87707783616</v>
      </c>
      <c r="U760" s="26">
        <f t="shared" si="22"/>
        <v>102262.87707783616</v>
      </c>
    </row>
    <row r="761" spans="19:21" ht="14.65" thickBot="1" x14ac:dyDescent="0.5">
      <c r="S761" s="37">
        <f t="shared" si="23"/>
        <v>103381.45584861453</v>
      </c>
      <c r="U761" s="26">
        <f t="shared" si="22"/>
        <v>103286.45584861453</v>
      </c>
    </row>
    <row r="762" spans="19:21" ht="14.65" thickBot="1" x14ac:dyDescent="0.5">
      <c r="S762" s="37">
        <f t="shared" si="23"/>
        <v>104415.27040710067</v>
      </c>
      <c r="U762" s="26">
        <f t="shared" si="22"/>
        <v>104320.27040710067</v>
      </c>
    </row>
    <row r="763" spans="19:21" ht="14.65" thickBot="1" x14ac:dyDescent="0.5">
      <c r="S763" s="37">
        <f t="shared" si="23"/>
        <v>105459.42311117168</v>
      </c>
      <c r="U763" s="26">
        <f t="shared" si="22"/>
        <v>105364.42311117168</v>
      </c>
    </row>
    <row r="764" spans="19:21" ht="14.65" thickBot="1" x14ac:dyDescent="0.5">
      <c r="S764" s="37">
        <f t="shared" si="23"/>
        <v>106514.01734228339</v>
      </c>
      <c r="U764" s="26">
        <f t="shared" si="22"/>
        <v>106419.01734228339</v>
      </c>
    </row>
    <row r="765" spans="19:21" ht="14.65" thickBot="1" x14ac:dyDescent="0.5">
      <c r="S765" s="37">
        <f t="shared" si="23"/>
        <v>107579.15751570623</v>
      </c>
      <c r="U765" s="26">
        <f t="shared" si="22"/>
        <v>107484.15751570623</v>
      </c>
    </row>
    <row r="766" spans="19:21" ht="14.65" thickBot="1" x14ac:dyDescent="0.5">
      <c r="S766" s="37">
        <f t="shared" si="23"/>
        <v>108654.9490908633</v>
      </c>
      <c r="U766" s="26">
        <f t="shared" si="22"/>
        <v>108559.9490908633</v>
      </c>
    </row>
    <row r="767" spans="19:21" ht="14.65" thickBot="1" x14ac:dyDescent="0.5">
      <c r="S767" s="37">
        <f t="shared" si="23"/>
        <v>109741.49858177194</v>
      </c>
      <c r="U767" s="26">
        <f t="shared" si="22"/>
        <v>109646.49858177194</v>
      </c>
    </row>
    <row r="768" spans="19:21" ht="14.65" thickBot="1" x14ac:dyDescent="0.5">
      <c r="S768" s="37">
        <f t="shared" si="23"/>
        <v>110838.91356758967</v>
      </c>
      <c r="U768" s="26">
        <f t="shared" si="22"/>
        <v>110743.91356758967</v>
      </c>
    </row>
    <row r="769" spans="19:21" ht="14.65" thickBot="1" x14ac:dyDescent="0.5">
      <c r="S769" s="37">
        <f t="shared" si="23"/>
        <v>111947.30270326557</v>
      </c>
      <c r="U769" s="26">
        <f t="shared" si="22"/>
        <v>111852.30270326557</v>
      </c>
    </row>
    <row r="770" spans="19:21" ht="14.65" thickBot="1" x14ac:dyDescent="0.5">
      <c r="S770" s="37">
        <f t="shared" si="23"/>
        <v>113066.77573029822</v>
      </c>
      <c r="U770" s="26">
        <f t="shared" si="22"/>
        <v>112971.77573029822</v>
      </c>
    </row>
    <row r="771" spans="19:21" ht="14.65" thickBot="1" x14ac:dyDescent="0.5">
      <c r="S771" s="37">
        <f t="shared" si="23"/>
        <v>114197.44348760121</v>
      </c>
      <c r="U771" s="26">
        <f t="shared" si="22"/>
        <v>114102.44348760121</v>
      </c>
    </row>
    <row r="772" spans="19:21" ht="14.65" thickBot="1" x14ac:dyDescent="0.5">
      <c r="S772" s="37">
        <f t="shared" si="23"/>
        <v>115339.41792247722</v>
      </c>
      <c r="U772" s="26">
        <f t="shared" si="22"/>
        <v>115244.41792247722</v>
      </c>
    </row>
    <row r="773" spans="19:21" ht="14.65" thickBot="1" x14ac:dyDescent="0.5">
      <c r="S773" s="37">
        <f t="shared" si="23"/>
        <v>116492.812101702</v>
      </c>
      <c r="U773" s="26">
        <f t="shared" si="22"/>
        <v>116397.812101702</v>
      </c>
    </row>
    <row r="774" spans="19:21" ht="14.65" thickBot="1" x14ac:dyDescent="0.5">
      <c r="S774" s="37">
        <f t="shared" si="23"/>
        <v>117657.74022271902</v>
      </c>
      <c r="U774" s="26">
        <f t="shared" si="22"/>
        <v>117562.74022271902</v>
      </c>
    </row>
    <row r="775" spans="19:21" ht="14.65" thickBot="1" x14ac:dyDescent="0.5">
      <c r="S775" s="37">
        <f t="shared" si="23"/>
        <v>118834.31762494621</v>
      </c>
      <c r="U775" s="26">
        <f t="shared" si="22"/>
        <v>118739.31762494621</v>
      </c>
    </row>
    <row r="776" spans="19:21" ht="14.65" thickBot="1" x14ac:dyDescent="0.5">
      <c r="S776" s="37">
        <f t="shared" si="23"/>
        <v>120022.66080119567</v>
      </c>
      <c r="U776" s="26">
        <f t="shared" si="22"/>
        <v>119927.66080119567</v>
      </c>
    </row>
    <row r="777" spans="19:21" ht="14.65" thickBot="1" x14ac:dyDescent="0.5">
      <c r="S777" s="37">
        <f t="shared" si="23"/>
        <v>121222.88740920763</v>
      </c>
      <c r="U777" s="26">
        <f t="shared" si="22"/>
        <v>121127.88740920763</v>
      </c>
    </row>
    <row r="778" spans="19:21" ht="14.65" thickBot="1" x14ac:dyDescent="0.5">
      <c r="S778" s="37">
        <f t="shared" si="23"/>
        <v>122435.11628329971</v>
      </c>
      <c r="U778" s="26">
        <f t="shared" si="22"/>
        <v>122340.11628329971</v>
      </c>
    </row>
    <row r="779" spans="19:21" ht="14.65" thickBot="1" x14ac:dyDescent="0.5">
      <c r="S779" s="37">
        <f t="shared" si="23"/>
        <v>123659.46744613271</v>
      </c>
      <c r="U779" s="26">
        <f t="shared" si="22"/>
        <v>123564.46744613271</v>
      </c>
    </row>
    <row r="780" spans="19:21" ht="14.65" thickBot="1" x14ac:dyDescent="0.5">
      <c r="S780" s="37">
        <f t="shared" si="23"/>
        <v>124896.06212059404</v>
      </c>
      <c r="U780" s="26">
        <f t="shared" si="22"/>
        <v>124801.06212059404</v>
      </c>
    </row>
    <row r="781" spans="19:21" ht="14.65" thickBot="1" x14ac:dyDescent="0.5">
      <c r="S781" s="37">
        <f t="shared" si="23"/>
        <v>126145.02274179998</v>
      </c>
      <c r="U781" s="26">
        <f t="shared" si="22"/>
        <v>126050.02274179998</v>
      </c>
    </row>
    <row r="782" spans="19:21" ht="14.65" thickBot="1" x14ac:dyDescent="0.5">
      <c r="S782" s="37">
        <f t="shared" si="23"/>
        <v>127406.47296921798</v>
      </c>
      <c r="U782" s="26">
        <f t="shared" si="22"/>
        <v>127311.47296921798</v>
      </c>
    </row>
    <row r="783" spans="19:21" ht="14.65" thickBot="1" x14ac:dyDescent="0.5">
      <c r="S783" s="37">
        <f t="shared" si="23"/>
        <v>128680.53769891016</v>
      </c>
      <c r="U783" s="26">
        <f t="shared" si="22"/>
        <v>128585.53769891016</v>
      </c>
    </row>
    <row r="784" spans="19:21" ht="14.65" thickBot="1" x14ac:dyDescent="0.5">
      <c r="S784" s="37">
        <f t="shared" si="23"/>
        <v>129967.34307589926</v>
      </c>
      <c r="U784" s="26">
        <f t="shared" si="22"/>
        <v>129872.34307589926</v>
      </c>
    </row>
    <row r="785" spans="19:21" ht="14.65" thickBot="1" x14ac:dyDescent="0.5">
      <c r="S785" s="37">
        <f t="shared" si="23"/>
        <v>131267.01650665826</v>
      </c>
      <c r="U785" s="26">
        <f t="shared" ref="U785:U848" si="24">IF(S785&lt;$D$7,-$D$8,(S785-$D$7)-$D$8)</f>
        <v>131172.01650665826</v>
      </c>
    </row>
    <row r="786" spans="19:21" ht="14.65" thickBot="1" x14ac:dyDescent="0.5">
      <c r="S786" s="37">
        <f t="shared" si="23"/>
        <v>132579.68667172483</v>
      </c>
      <c r="U786" s="26">
        <f t="shared" si="24"/>
        <v>132484.68667172483</v>
      </c>
    </row>
    <row r="787" spans="19:21" ht="14.65" thickBot="1" x14ac:dyDescent="0.5">
      <c r="S787" s="37">
        <f t="shared" ref="S787:S850" si="25">S786*(1.01)</f>
        <v>133905.48353844209</v>
      </c>
      <c r="U787" s="26">
        <f t="shared" si="24"/>
        <v>133810.48353844209</v>
      </c>
    </row>
    <row r="788" spans="19:21" ht="14.65" thickBot="1" x14ac:dyDescent="0.5">
      <c r="S788" s="37">
        <f t="shared" si="25"/>
        <v>135244.53837382651</v>
      </c>
      <c r="U788" s="26">
        <f t="shared" si="24"/>
        <v>135149.53837382651</v>
      </c>
    </row>
    <row r="789" spans="19:21" ht="14.65" thickBot="1" x14ac:dyDescent="0.5">
      <c r="S789" s="37">
        <f t="shared" si="25"/>
        <v>136596.98375756477</v>
      </c>
      <c r="U789" s="26">
        <f t="shared" si="24"/>
        <v>136501.98375756477</v>
      </c>
    </row>
    <row r="790" spans="19:21" ht="14.65" thickBot="1" x14ac:dyDescent="0.5">
      <c r="S790" s="37">
        <f t="shared" si="25"/>
        <v>137962.95359514043</v>
      </c>
      <c r="U790" s="26">
        <f t="shared" si="24"/>
        <v>137867.95359514043</v>
      </c>
    </row>
    <row r="791" spans="19:21" ht="14.65" thickBot="1" x14ac:dyDescent="0.5">
      <c r="S791" s="37">
        <f t="shared" si="25"/>
        <v>139342.58313109184</v>
      </c>
      <c r="U791" s="26">
        <f t="shared" si="24"/>
        <v>139247.58313109184</v>
      </c>
    </row>
    <row r="792" spans="19:21" ht="14.65" thickBot="1" x14ac:dyDescent="0.5">
      <c r="S792" s="37">
        <f t="shared" si="25"/>
        <v>140736.00896240276</v>
      </c>
      <c r="U792" s="26">
        <f t="shared" si="24"/>
        <v>140641.00896240276</v>
      </c>
    </row>
    <row r="793" spans="19:21" ht="14.65" thickBot="1" x14ac:dyDescent="0.5">
      <c r="S793" s="37">
        <f t="shared" si="25"/>
        <v>142143.3690520268</v>
      </c>
      <c r="U793" s="26">
        <f t="shared" si="24"/>
        <v>142048.3690520268</v>
      </c>
    </row>
    <row r="794" spans="19:21" ht="14.65" thickBot="1" x14ac:dyDescent="0.5">
      <c r="S794" s="37">
        <f t="shared" si="25"/>
        <v>143564.80274254706</v>
      </c>
      <c r="U794" s="26">
        <f t="shared" si="24"/>
        <v>143469.80274254706</v>
      </c>
    </row>
    <row r="795" spans="19:21" ht="14.65" thickBot="1" x14ac:dyDescent="0.5">
      <c r="S795" s="37">
        <f t="shared" si="25"/>
        <v>145000.45076997255</v>
      </c>
      <c r="U795" s="26">
        <f t="shared" si="24"/>
        <v>144905.45076997255</v>
      </c>
    </row>
    <row r="796" spans="19:21" ht="14.65" thickBot="1" x14ac:dyDescent="0.5">
      <c r="S796" s="37">
        <f t="shared" si="25"/>
        <v>146450.45527767227</v>
      </c>
      <c r="U796" s="26">
        <f t="shared" si="24"/>
        <v>146355.45527767227</v>
      </c>
    </row>
    <row r="797" spans="19:21" ht="14.65" thickBot="1" x14ac:dyDescent="0.5">
      <c r="S797" s="37">
        <f t="shared" si="25"/>
        <v>147914.95983044899</v>
      </c>
      <c r="U797" s="26">
        <f t="shared" si="24"/>
        <v>147819.95983044899</v>
      </c>
    </row>
    <row r="798" spans="19:21" ht="14.65" thickBot="1" x14ac:dyDescent="0.5">
      <c r="S798" s="37">
        <f t="shared" si="25"/>
        <v>149394.10942875349</v>
      </c>
      <c r="U798" s="26">
        <f t="shared" si="24"/>
        <v>149299.10942875349</v>
      </c>
    </row>
    <row r="799" spans="19:21" ht="14.65" thickBot="1" x14ac:dyDescent="0.5">
      <c r="S799" s="37">
        <f t="shared" si="25"/>
        <v>150888.05052304102</v>
      </c>
      <c r="U799" s="26">
        <f t="shared" si="24"/>
        <v>150793.05052304102</v>
      </c>
    </row>
    <row r="800" spans="19:21" ht="14.65" thickBot="1" x14ac:dyDescent="0.5">
      <c r="S800" s="37">
        <f t="shared" si="25"/>
        <v>152396.93102827144</v>
      </c>
      <c r="U800" s="26">
        <f t="shared" si="24"/>
        <v>152301.93102827144</v>
      </c>
    </row>
    <row r="801" spans="19:21" ht="14.65" thickBot="1" x14ac:dyDescent="0.5">
      <c r="S801" s="37">
        <f t="shared" si="25"/>
        <v>153920.90033855417</v>
      </c>
      <c r="U801" s="26">
        <f t="shared" si="24"/>
        <v>153825.90033855417</v>
      </c>
    </row>
    <row r="802" spans="19:21" ht="14.65" thickBot="1" x14ac:dyDescent="0.5">
      <c r="S802" s="37">
        <f t="shared" si="25"/>
        <v>155460.10934193971</v>
      </c>
      <c r="U802" s="26">
        <f t="shared" si="24"/>
        <v>155365.10934193971</v>
      </c>
    </row>
    <row r="803" spans="19:21" ht="14.65" thickBot="1" x14ac:dyDescent="0.5">
      <c r="S803" s="37">
        <f t="shared" si="25"/>
        <v>157014.7104353591</v>
      </c>
      <c r="U803" s="26">
        <f t="shared" si="24"/>
        <v>156919.7104353591</v>
      </c>
    </row>
    <row r="804" spans="19:21" ht="14.65" thickBot="1" x14ac:dyDescent="0.5">
      <c r="S804" s="37">
        <f t="shared" si="25"/>
        <v>158584.85753971268</v>
      </c>
      <c r="U804" s="26">
        <f t="shared" si="24"/>
        <v>158489.85753971268</v>
      </c>
    </row>
    <row r="805" spans="19:21" ht="14.65" thickBot="1" x14ac:dyDescent="0.5">
      <c r="S805" s="37">
        <f t="shared" si="25"/>
        <v>160170.70611510982</v>
      </c>
      <c r="U805" s="26">
        <f t="shared" si="24"/>
        <v>160075.70611510982</v>
      </c>
    </row>
    <row r="806" spans="19:21" ht="14.65" thickBot="1" x14ac:dyDescent="0.5">
      <c r="S806" s="37">
        <f t="shared" si="25"/>
        <v>161772.41317626092</v>
      </c>
      <c r="U806" s="26">
        <f t="shared" si="24"/>
        <v>161677.41317626092</v>
      </c>
    </row>
    <row r="807" spans="19:21" ht="14.65" thickBot="1" x14ac:dyDescent="0.5">
      <c r="S807" s="37">
        <f t="shared" si="25"/>
        <v>163390.13730802352</v>
      </c>
      <c r="U807" s="26">
        <f t="shared" si="24"/>
        <v>163295.13730802352</v>
      </c>
    </row>
    <row r="808" spans="19:21" ht="14.65" thickBot="1" x14ac:dyDescent="0.5">
      <c r="S808" s="37">
        <f t="shared" si="25"/>
        <v>165024.03868110376</v>
      </c>
      <c r="U808" s="26">
        <f t="shared" si="24"/>
        <v>164929.03868110376</v>
      </c>
    </row>
    <row r="809" spans="19:21" ht="14.65" thickBot="1" x14ac:dyDescent="0.5">
      <c r="S809" s="37">
        <f t="shared" si="25"/>
        <v>166674.27906791479</v>
      </c>
      <c r="U809" s="26">
        <f t="shared" si="24"/>
        <v>166579.27906791479</v>
      </c>
    </row>
    <row r="810" spans="19:21" ht="14.65" thickBot="1" x14ac:dyDescent="0.5">
      <c r="S810" s="37">
        <f t="shared" si="25"/>
        <v>168341.02185859394</v>
      </c>
      <c r="U810" s="26">
        <f t="shared" si="24"/>
        <v>168246.02185859394</v>
      </c>
    </row>
    <row r="811" spans="19:21" ht="14.65" thickBot="1" x14ac:dyDescent="0.5">
      <c r="S811" s="37">
        <f t="shared" si="25"/>
        <v>170024.4320771799</v>
      </c>
      <c r="U811" s="26">
        <f t="shared" si="24"/>
        <v>169929.4320771799</v>
      </c>
    </row>
    <row r="812" spans="19:21" ht="14.65" thickBot="1" x14ac:dyDescent="0.5">
      <c r="S812" s="37">
        <f t="shared" si="25"/>
        <v>171724.6763979517</v>
      </c>
      <c r="U812" s="26">
        <f t="shared" si="24"/>
        <v>171629.6763979517</v>
      </c>
    </row>
    <row r="813" spans="19:21" ht="14.65" thickBot="1" x14ac:dyDescent="0.5">
      <c r="S813" s="37">
        <f t="shared" si="25"/>
        <v>173441.92316193122</v>
      </c>
      <c r="U813" s="26">
        <f t="shared" si="24"/>
        <v>173346.92316193122</v>
      </c>
    </row>
    <row r="814" spans="19:21" ht="14.65" thickBot="1" x14ac:dyDescent="0.5">
      <c r="S814" s="37">
        <f t="shared" si="25"/>
        <v>175176.34239355053</v>
      </c>
      <c r="U814" s="26">
        <f t="shared" si="24"/>
        <v>175081.34239355053</v>
      </c>
    </row>
    <row r="815" spans="19:21" ht="14.65" thickBot="1" x14ac:dyDescent="0.5">
      <c r="S815" s="37">
        <f t="shared" si="25"/>
        <v>176928.10581748604</v>
      </c>
      <c r="U815" s="26">
        <f t="shared" si="24"/>
        <v>176833.10581748604</v>
      </c>
    </row>
    <row r="816" spans="19:21" ht="14.65" thickBot="1" x14ac:dyDescent="0.5">
      <c r="S816" s="37">
        <f t="shared" si="25"/>
        <v>178697.38687566089</v>
      </c>
      <c r="U816" s="26">
        <f t="shared" si="24"/>
        <v>178602.38687566089</v>
      </c>
    </row>
    <row r="817" spans="19:21" ht="14.65" thickBot="1" x14ac:dyDescent="0.5">
      <c r="S817" s="37">
        <f t="shared" si="25"/>
        <v>180484.3607444175</v>
      </c>
      <c r="U817" s="26">
        <f t="shared" si="24"/>
        <v>180389.3607444175</v>
      </c>
    </row>
    <row r="818" spans="19:21" ht="14.65" thickBot="1" x14ac:dyDescent="0.5">
      <c r="S818" s="37">
        <f t="shared" si="25"/>
        <v>182289.20435186167</v>
      </c>
      <c r="U818" s="26">
        <f t="shared" si="24"/>
        <v>182194.20435186167</v>
      </c>
    </row>
    <row r="819" spans="19:21" ht="14.65" thickBot="1" x14ac:dyDescent="0.5">
      <c r="S819" s="37">
        <f t="shared" si="25"/>
        <v>184112.0963953803</v>
      </c>
      <c r="U819" s="26">
        <f t="shared" si="24"/>
        <v>184017.0963953803</v>
      </c>
    </row>
    <row r="820" spans="19:21" ht="14.65" thickBot="1" x14ac:dyDescent="0.5">
      <c r="S820" s="37">
        <f t="shared" si="25"/>
        <v>185953.21735933411</v>
      </c>
      <c r="U820" s="26">
        <f t="shared" si="24"/>
        <v>185858.21735933411</v>
      </c>
    </row>
    <row r="821" spans="19:21" ht="14.65" thickBot="1" x14ac:dyDescent="0.5">
      <c r="S821" s="37">
        <f t="shared" si="25"/>
        <v>187812.74953292747</v>
      </c>
      <c r="U821" s="26">
        <f t="shared" si="24"/>
        <v>187717.74953292747</v>
      </c>
    </row>
    <row r="822" spans="19:21" ht="14.65" thickBot="1" x14ac:dyDescent="0.5">
      <c r="S822" s="37">
        <f t="shared" si="25"/>
        <v>189690.87702825674</v>
      </c>
      <c r="U822" s="26">
        <f t="shared" si="24"/>
        <v>189595.87702825674</v>
      </c>
    </row>
    <row r="823" spans="19:21" ht="14.65" thickBot="1" x14ac:dyDescent="0.5">
      <c r="S823" s="37">
        <f t="shared" si="25"/>
        <v>191587.78579853932</v>
      </c>
      <c r="U823" s="26">
        <f t="shared" si="24"/>
        <v>191492.78579853932</v>
      </c>
    </row>
    <row r="824" spans="19:21" ht="14.65" thickBot="1" x14ac:dyDescent="0.5">
      <c r="S824" s="37">
        <f t="shared" si="25"/>
        <v>193503.6636565247</v>
      </c>
      <c r="U824" s="26">
        <f t="shared" si="24"/>
        <v>193408.6636565247</v>
      </c>
    </row>
    <row r="825" spans="19:21" ht="14.65" thickBot="1" x14ac:dyDescent="0.5">
      <c r="S825" s="37">
        <f t="shared" si="25"/>
        <v>195438.70029308996</v>
      </c>
      <c r="U825" s="26">
        <f t="shared" si="24"/>
        <v>195343.70029308996</v>
      </c>
    </row>
    <row r="826" spans="19:21" ht="14.65" thickBot="1" x14ac:dyDescent="0.5">
      <c r="S826" s="37">
        <f t="shared" si="25"/>
        <v>197393.08729602085</v>
      </c>
      <c r="U826" s="26">
        <f t="shared" si="24"/>
        <v>197298.08729602085</v>
      </c>
    </row>
    <row r="827" spans="19:21" ht="14.65" thickBot="1" x14ac:dyDescent="0.5">
      <c r="S827" s="37">
        <f t="shared" si="25"/>
        <v>199367.01816898107</v>
      </c>
      <c r="U827" s="26">
        <f t="shared" si="24"/>
        <v>199272.01816898107</v>
      </c>
    </row>
    <row r="828" spans="19:21" ht="14.65" thickBot="1" x14ac:dyDescent="0.5">
      <c r="S828" s="37">
        <f t="shared" si="25"/>
        <v>201360.68835067088</v>
      </c>
      <c r="U828" s="26">
        <f t="shared" si="24"/>
        <v>201265.68835067088</v>
      </c>
    </row>
    <row r="829" spans="19:21" ht="14.65" thickBot="1" x14ac:dyDescent="0.5">
      <c r="S829" s="37">
        <f t="shared" si="25"/>
        <v>203374.29523417758</v>
      </c>
      <c r="U829" s="26">
        <f t="shared" si="24"/>
        <v>203279.29523417758</v>
      </c>
    </row>
    <row r="830" spans="19:21" ht="14.65" thickBot="1" x14ac:dyDescent="0.5">
      <c r="S830" s="37">
        <f t="shared" si="25"/>
        <v>205408.03818651935</v>
      </c>
      <c r="U830" s="26">
        <f t="shared" si="24"/>
        <v>205313.03818651935</v>
      </c>
    </row>
    <row r="831" spans="19:21" ht="14.65" thickBot="1" x14ac:dyDescent="0.5">
      <c r="S831" s="37">
        <f t="shared" si="25"/>
        <v>207462.11856838455</v>
      </c>
      <c r="U831" s="26">
        <f t="shared" si="24"/>
        <v>207367.11856838455</v>
      </c>
    </row>
    <row r="832" spans="19:21" ht="14.65" thickBot="1" x14ac:dyDescent="0.5">
      <c r="S832" s="37">
        <f t="shared" si="25"/>
        <v>209536.7397540684</v>
      </c>
      <c r="U832" s="26">
        <f t="shared" si="24"/>
        <v>209441.7397540684</v>
      </c>
    </row>
    <row r="833" spans="19:21" ht="14.65" thickBot="1" x14ac:dyDescent="0.5">
      <c r="S833" s="37">
        <f t="shared" si="25"/>
        <v>211632.10715160909</v>
      </c>
      <c r="U833" s="26">
        <f t="shared" si="24"/>
        <v>211537.10715160909</v>
      </c>
    </row>
    <row r="834" spans="19:21" ht="14.65" thickBot="1" x14ac:dyDescent="0.5">
      <c r="S834" s="37">
        <f t="shared" si="25"/>
        <v>213748.42822312517</v>
      </c>
      <c r="U834" s="26">
        <f t="shared" si="24"/>
        <v>213653.42822312517</v>
      </c>
    </row>
    <row r="835" spans="19:21" ht="14.65" thickBot="1" x14ac:dyDescent="0.5">
      <c r="S835" s="37">
        <f t="shared" si="25"/>
        <v>215885.91250535642</v>
      </c>
      <c r="U835" s="26">
        <f t="shared" si="24"/>
        <v>215790.91250535642</v>
      </c>
    </row>
    <row r="836" spans="19:21" ht="14.65" thickBot="1" x14ac:dyDescent="0.5">
      <c r="S836" s="37">
        <f t="shared" si="25"/>
        <v>218044.77163040999</v>
      </c>
      <c r="U836" s="26">
        <f t="shared" si="24"/>
        <v>217949.77163040999</v>
      </c>
    </row>
    <row r="837" spans="19:21" ht="14.65" thickBot="1" x14ac:dyDescent="0.5">
      <c r="S837" s="37">
        <f t="shared" si="25"/>
        <v>220225.21934671409</v>
      </c>
      <c r="U837" s="26">
        <f t="shared" si="24"/>
        <v>220130.21934671409</v>
      </c>
    </row>
    <row r="838" spans="19:21" ht="14.65" thickBot="1" x14ac:dyDescent="0.5">
      <c r="S838" s="37">
        <f t="shared" si="25"/>
        <v>222427.47154018123</v>
      </c>
      <c r="U838" s="26">
        <f t="shared" si="24"/>
        <v>222332.47154018123</v>
      </c>
    </row>
    <row r="839" spans="19:21" ht="14.65" thickBot="1" x14ac:dyDescent="0.5">
      <c r="S839" s="37">
        <f t="shared" si="25"/>
        <v>224651.74625558304</v>
      </c>
      <c r="U839" s="26">
        <f t="shared" si="24"/>
        <v>224556.74625558304</v>
      </c>
    </row>
    <row r="840" spans="19:21" ht="14.65" thickBot="1" x14ac:dyDescent="0.5">
      <c r="S840" s="37">
        <f t="shared" si="25"/>
        <v>226898.26371813889</v>
      </c>
      <c r="U840" s="26">
        <f t="shared" si="24"/>
        <v>226803.26371813889</v>
      </c>
    </row>
    <row r="841" spans="19:21" ht="14.65" thickBot="1" x14ac:dyDescent="0.5">
      <c r="S841" s="37">
        <f t="shared" si="25"/>
        <v>229167.24635532027</v>
      </c>
      <c r="U841" s="26">
        <f t="shared" si="24"/>
        <v>229072.24635532027</v>
      </c>
    </row>
    <row r="842" spans="19:21" ht="14.65" thickBot="1" x14ac:dyDescent="0.5">
      <c r="S842" s="37">
        <f t="shared" si="25"/>
        <v>231458.91881887347</v>
      </c>
      <c r="U842" s="26">
        <f t="shared" si="24"/>
        <v>231363.91881887347</v>
      </c>
    </row>
    <row r="843" spans="19:21" ht="14.65" thickBot="1" x14ac:dyDescent="0.5">
      <c r="S843" s="37">
        <f t="shared" si="25"/>
        <v>233773.50800706222</v>
      </c>
      <c r="U843" s="26">
        <f t="shared" si="24"/>
        <v>233678.50800706222</v>
      </c>
    </row>
    <row r="844" spans="19:21" ht="14.65" thickBot="1" x14ac:dyDescent="0.5">
      <c r="S844" s="37">
        <f t="shared" si="25"/>
        <v>236111.24308713284</v>
      </c>
      <c r="U844" s="26">
        <f t="shared" si="24"/>
        <v>236016.24308713284</v>
      </c>
    </row>
    <row r="845" spans="19:21" ht="14.65" thickBot="1" x14ac:dyDescent="0.5">
      <c r="S845" s="37">
        <f t="shared" si="25"/>
        <v>238472.35551800416</v>
      </c>
      <c r="U845" s="26">
        <f t="shared" si="24"/>
        <v>238377.35551800416</v>
      </c>
    </row>
    <row r="846" spans="19:21" ht="14.65" thickBot="1" x14ac:dyDescent="0.5">
      <c r="S846" s="37">
        <f t="shared" si="25"/>
        <v>240857.0790731842</v>
      </c>
      <c r="U846" s="26">
        <f t="shared" si="24"/>
        <v>240762.0790731842</v>
      </c>
    </row>
    <row r="847" spans="19:21" ht="14.65" thickBot="1" x14ac:dyDescent="0.5">
      <c r="S847" s="37">
        <f t="shared" si="25"/>
        <v>243265.64986391604</v>
      </c>
      <c r="U847" s="26">
        <f t="shared" si="24"/>
        <v>243170.64986391604</v>
      </c>
    </row>
    <row r="848" spans="19:21" ht="14.65" thickBot="1" x14ac:dyDescent="0.5">
      <c r="S848" s="37">
        <f t="shared" si="25"/>
        <v>245698.30636255522</v>
      </c>
      <c r="U848" s="26">
        <f t="shared" si="24"/>
        <v>245603.30636255522</v>
      </c>
    </row>
    <row r="849" spans="19:21" ht="14.65" thickBot="1" x14ac:dyDescent="0.5">
      <c r="S849" s="37">
        <f t="shared" si="25"/>
        <v>248155.28942618077</v>
      </c>
      <c r="U849" s="26">
        <f t="shared" ref="U849:U912" si="26">IF(S849&lt;$D$7,-$D$8,(S849-$D$7)-$D$8)</f>
        <v>248060.28942618077</v>
      </c>
    </row>
    <row r="850" spans="19:21" ht="14.65" thickBot="1" x14ac:dyDescent="0.5">
      <c r="S850" s="37">
        <f t="shared" si="25"/>
        <v>250636.84232044258</v>
      </c>
      <c r="U850" s="26">
        <f t="shared" si="26"/>
        <v>250541.84232044258</v>
      </c>
    </row>
    <row r="851" spans="19:21" ht="14.65" thickBot="1" x14ac:dyDescent="0.5">
      <c r="S851" s="37">
        <f t="shared" ref="S851:S914" si="27">S850*(1.01)</f>
        <v>253143.21074364701</v>
      </c>
      <c r="U851" s="26">
        <f t="shared" si="26"/>
        <v>253048.21074364701</v>
      </c>
    </row>
    <row r="852" spans="19:21" ht="14.65" thickBot="1" x14ac:dyDescent="0.5">
      <c r="S852" s="37">
        <f t="shared" si="27"/>
        <v>255674.64285108348</v>
      </c>
      <c r="U852" s="26">
        <f t="shared" si="26"/>
        <v>255579.64285108348</v>
      </c>
    </row>
    <row r="853" spans="19:21" ht="14.65" thickBot="1" x14ac:dyDescent="0.5">
      <c r="S853" s="37">
        <f t="shared" si="27"/>
        <v>258231.38927959432</v>
      </c>
      <c r="U853" s="26">
        <f t="shared" si="26"/>
        <v>258136.38927959432</v>
      </c>
    </row>
    <row r="854" spans="19:21" ht="14.65" thickBot="1" x14ac:dyDescent="0.5">
      <c r="S854" s="37">
        <f t="shared" si="27"/>
        <v>260813.70317239026</v>
      </c>
      <c r="U854" s="26">
        <f t="shared" si="26"/>
        <v>260718.70317239026</v>
      </c>
    </row>
    <row r="855" spans="19:21" ht="14.65" thickBot="1" x14ac:dyDescent="0.5">
      <c r="S855" s="37">
        <f t="shared" si="27"/>
        <v>263421.84020411415</v>
      </c>
      <c r="U855" s="26">
        <f t="shared" si="26"/>
        <v>263326.84020411415</v>
      </c>
    </row>
    <row r="856" spans="19:21" ht="14.65" thickBot="1" x14ac:dyDescent="0.5">
      <c r="S856" s="37">
        <f t="shared" si="27"/>
        <v>266056.05860615527</v>
      </c>
      <c r="U856" s="26">
        <f t="shared" si="26"/>
        <v>265961.05860615527</v>
      </c>
    </row>
    <row r="857" spans="19:21" ht="14.65" thickBot="1" x14ac:dyDescent="0.5">
      <c r="S857" s="37">
        <f t="shared" si="27"/>
        <v>268716.61919221684</v>
      </c>
      <c r="U857" s="26">
        <f t="shared" si="26"/>
        <v>268621.61919221684</v>
      </c>
    </row>
    <row r="858" spans="19:21" ht="14.65" thickBot="1" x14ac:dyDescent="0.5">
      <c r="S858" s="37">
        <f t="shared" si="27"/>
        <v>271403.78538413899</v>
      </c>
      <c r="U858" s="26">
        <f t="shared" si="26"/>
        <v>271308.78538413899</v>
      </c>
    </row>
    <row r="859" spans="19:21" ht="14.65" thickBot="1" x14ac:dyDescent="0.5">
      <c r="S859" s="37">
        <f t="shared" si="27"/>
        <v>274117.82323798037</v>
      </c>
      <c r="U859" s="26">
        <f t="shared" si="26"/>
        <v>274022.82323798037</v>
      </c>
    </row>
    <row r="860" spans="19:21" ht="14.65" thickBot="1" x14ac:dyDescent="0.5">
      <c r="S860" s="37">
        <f t="shared" si="27"/>
        <v>276859.00147036015</v>
      </c>
      <c r="U860" s="26">
        <f t="shared" si="26"/>
        <v>276764.00147036015</v>
      </c>
    </row>
    <row r="861" spans="19:21" ht="14.65" thickBot="1" x14ac:dyDescent="0.5">
      <c r="S861" s="37">
        <f t="shared" si="27"/>
        <v>279627.59148506378</v>
      </c>
      <c r="U861" s="26">
        <f t="shared" si="26"/>
        <v>279532.59148506378</v>
      </c>
    </row>
    <row r="862" spans="19:21" ht="14.65" thickBot="1" x14ac:dyDescent="0.5">
      <c r="S862" s="37">
        <f t="shared" si="27"/>
        <v>282423.86739991442</v>
      </c>
      <c r="U862" s="26">
        <f t="shared" si="26"/>
        <v>282328.86739991442</v>
      </c>
    </row>
    <row r="863" spans="19:21" ht="14.65" thickBot="1" x14ac:dyDescent="0.5">
      <c r="S863" s="37">
        <f t="shared" si="27"/>
        <v>285248.10607391357</v>
      </c>
      <c r="U863" s="26">
        <f t="shared" si="26"/>
        <v>285153.10607391357</v>
      </c>
    </row>
    <row r="864" spans="19:21" ht="14.65" thickBot="1" x14ac:dyDescent="0.5">
      <c r="S864" s="37">
        <f t="shared" si="27"/>
        <v>288100.58713465271</v>
      </c>
      <c r="U864" s="26">
        <f t="shared" si="26"/>
        <v>288005.58713465271</v>
      </c>
    </row>
    <row r="865" spans="19:21" ht="14.65" thickBot="1" x14ac:dyDescent="0.5">
      <c r="S865" s="37">
        <f t="shared" si="27"/>
        <v>290981.59300599922</v>
      </c>
      <c r="U865" s="26">
        <f t="shared" si="26"/>
        <v>290886.59300599922</v>
      </c>
    </row>
    <row r="866" spans="19:21" ht="14.65" thickBot="1" x14ac:dyDescent="0.5">
      <c r="S866" s="37">
        <f t="shared" si="27"/>
        <v>293891.40893605922</v>
      </c>
      <c r="U866" s="26">
        <f t="shared" si="26"/>
        <v>293796.40893605922</v>
      </c>
    </row>
    <row r="867" spans="19:21" ht="14.65" thickBot="1" x14ac:dyDescent="0.5">
      <c r="S867" s="37">
        <f t="shared" si="27"/>
        <v>296830.32302541984</v>
      </c>
      <c r="U867" s="26">
        <f t="shared" si="26"/>
        <v>296735.32302541984</v>
      </c>
    </row>
    <row r="868" spans="19:21" ht="14.65" thickBot="1" x14ac:dyDescent="0.5">
      <c r="S868" s="37">
        <f t="shared" si="27"/>
        <v>299798.62625567405</v>
      </c>
      <c r="U868" s="26">
        <f t="shared" si="26"/>
        <v>299703.62625567405</v>
      </c>
    </row>
    <row r="869" spans="19:21" ht="14.65" thickBot="1" x14ac:dyDescent="0.5">
      <c r="S869" s="37">
        <f t="shared" si="27"/>
        <v>302796.6125182308</v>
      </c>
      <c r="U869" s="26">
        <f t="shared" si="26"/>
        <v>302701.6125182308</v>
      </c>
    </row>
    <row r="870" spans="19:21" ht="14.65" thickBot="1" x14ac:dyDescent="0.5">
      <c r="S870" s="37">
        <f t="shared" si="27"/>
        <v>305824.57864341309</v>
      </c>
      <c r="U870" s="26">
        <f t="shared" si="26"/>
        <v>305729.57864341309</v>
      </c>
    </row>
    <row r="871" spans="19:21" ht="14.65" thickBot="1" x14ac:dyDescent="0.5">
      <c r="S871" s="37">
        <f t="shared" si="27"/>
        <v>308882.82442984724</v>
      </c>
      <c r="U871" s="26">
        <f t="shared" si="26"/>
        <v>308787.82442984724</v>
      </c>
    </row>
    <row r="872" spans="19:21" ht="14.65" thickBot="1" x14ac:dyDescent="0.5">
      <c r="S872" s="37">
        <f t="shared" si="27"/>
        <v>311971.65267414571</v>
      </c>
      <c r="U872" s="26">
        <f t="shared" si="26"/>
        <v>311876.65267414571</v>
      </c>
    </row>
    <row r="873" spans="19:21" ht="14.65" thickBot="1" x14ac:dyDescent="0.5">
      <c r="S873" s="37">
        <f t="shared" si="27"/>
        <v>315091.36920088716</v>
      </c>
      <c r="U873" s="26">
        <f t="shared" si="26"/>
        <v>314996.36920088716</v>
      </c>
    </row>
    <row r="874" spans="19:21" ht="14.65" thickBot="1" x14ac:dyDescent="0.5">
      <c r="S874" s="37">
        <f t="shared" si="27"/>
        <v>318242.28289289604</v>
      </c>
      <c r="U874" s="26">
        <f t="shared" si="26"/>
        <v>318147.28289289604</v>
      </c>
    </row>
    <row r="875" spans="19:21" ht="14.65" thickBot="1" x14ac:dyDescent="0.5">
      <c r="S875" s="37">
        <f t="shared" si="27"/>
        <v>321424.70572182501</v>
      </c>
      <c r="U875" s="26">
        <f t="shared" si="26"/>
        <v>321329.70572182501</v>
      </c>
    </row>
    <row r="876" spans="19:21" ht="14.65" thickBot="1" x14ac:dyDescent="0.5">
      <c r="S876" s="37">
        <f t="shared" si="27"/>
        <v>324638.95277904329</v>
      </c>
      <c r="U876" s="26">
        <f t="shared" si="26"/>
        <v>324543.95277904329</v>
      </c>
    </row>
    <row r="877" spans="19:21" ht="14.65" thickBot="1" x14ac:dyDescent="0.5">
      <c r="S877" s="37">
        <f t="shared" si="27"/>
        <v>327885.34230683371</v>
      </c>
      <c r="U877" s="26">
        <f t="shared" si="26"/>
        <v>327790.34230683371</v>
      </c>
    </row>
    <row r="878" spans="19:21" ht="14.65" thickBot="1" x14ac:dyDescent="0.5">
      <c r="S878" s="37">
        <f t="shared" si="27"/>
        <v>331164.19572990207</v>
      </c>
      <c r="U878" s="26">
        <f t="shared" si="26"/>
        <v>331069.19572990207</v>
      </c>
    </row>
    <row r="879" spans="19:21" ht="14.65" thickBot="1" x14ac:dyDescent="0.5">
      <c r="S879" s="37">
        <f t="shared" si="27"/>
        <v>334475.8376872011</v>
      </c>
      <c r="U879" s="26">
        <f t="shared" si="26"/>
        <v>334380.8376872011</v>
      </c>
    </row>
    <row r="880" spans="19:21" ht="14.65" thickBot="1" x14ac:dyDescent="0.5">
      <c r="S880" s="37">
        <f t="shared" si="27"/>
        <v>337820.59606407309</v>
      </c>
      <c r="U880" s="26">
        <f t="shared" si="26"/>
        <v>337725.59606407309</v>
      </c>
    </row>
    <row r="881" spans="19:21" ht="14.65" thickBot="1" x14ac:dyDescent="0.5">
      <c r="S881" s="37">
        <f t="shared" si="27"/>
        <v>341198.80202471383</v>
      </c>
      <c r="U881" s="26">
        <f t="shared" si="26"/>
        <v>341103.80202471383</v>
      </c>
    </row>
    <row r="882" spans="19:21" ht="14.65" thickBot="1" x14ac:dyDescent="0.5">
      <c r="S882" s="37">
        <f t="shared" si="27"/>
        <v>344610.79004496097</v>
      </c>
      <c r="U882" s="26">
        <f t="shared" si="26"/>
        <v>344515.79004496097</v>
      </c>
    </row>
    <row r="883" spans="19:21" ht="14.65" thickBot="1" x14ac:dyDescent="0.5">
      <c r="S883" s="37">
        <f t="shared" si="27"/>
        <v>348056.89794541057</v>
      </c>
      <c r="U883" s="26">
        <f t="shared" si="26"/>
        <v>347961.89794541057</v>
      </c>
    </row>
    <row r="884" spans="19:21" ht="14.65" thickBot="1" x14ac:dyDescent="0.5">
      <c r="S884" s="37">
        <f t="shared" si="27"/>
        <v>351537.46692486468</v>
      </c>
      <c r="U884" s="26">
        <f t="shared" si="26"/>
        <v>351442.46692486468</v>
      </c>
    </row>
    <row r="885" spans="19:21" ht="14.65" thickBot="1" x14ac:dyDescent="0.5">
      <c r="S885" s="37">
        <f t="shared" si="27"/>
        <v>355052.84159411333</v>
      </c>
      <c r="U885" s="26">
        <f t="shared" si="26"/>
        <v>354957.84159411333</v>
      </c>
    </row>
    <row r="886" spans="19:21" ht="14.65" thickBot="1" x14ac:dyDescent="0.5">
      <c r="S886" s="37">
        <f t="shared" si="27"/>
        <v>358603.37001005444</v>
      </c>
      <c r="U886" s="26">
        <f t="shared" si="26"/>
        <v>358508.37001005444</v>
      </c>
    </row>
    <row r="887" spans="19:21" ht="14.65" thickBot="1" x14ac:dyDescent="0.5">
      <c r="S887" s="37">
        <f t="shared" si="27"/>
        <v>362189.40371015499</v>
      </c>
      <c r="U887" s="26">
        <f t="shared" si="26"/>
        <v>362094.40371015499</v>
      </c>
    </row>
    <row r="888" spans="19:21" ht="14.65" thickBot="1" x14ac:dyDescent="0.5">
      <c r="S888" s="37">
        <f t="shared" si="27"/>
        <v>365811.29774725653</v>
      </c>
      <c r="U888" s="26">
        <f t="shared" si="26"/>
        <v>365716.29774725653</v>
      </c>
    </row>
    <row r="889" spans="19:21" ht="14.65" thickBot="1" x14ac:dyDescent="0.5">
      <c r="S889" s="37">
        <f t="shared" si="27"/>
        <v>369469.41072472907</v>
      </c>
      <c r="U889" s="26">
        <f t="shared" si="26"/>
        <v>369374.41072472907</v>
      </c>
    </row>
    <row r="890" spans="19:21" ht="14.65" thickBot="1" x14ac:dyDescent="0.5">
      <c r="S890" s="37">
        <f t="shared" si="27"/>
        <v>373164.10483197635</v>
      </c>
      <c r="U890" s="26">
        <f t="shared" si="26"/>
        <v>373069.10483197635</v>
      </c>
    </row>
    <row r="891" spans="19:21" ht="14.65" thickBot="1" x14ac:dyDescent="0.5">
      <c r="S891" s="37">
        <f t="shared" si="27"/>
        <v>376895.7458802961</v>
      </c>
      <c r="U891" s="26">
        <f t="shared" si="26"/>
        <v>376800.7458802961</v>
      </c>
    </row>
    <row r="892" spans="19:21" ht="14.65" thickBot="1" x14ac:dyDescent="0.5">
      <c r="S892" s="37">
        <f t="shared" si="27"/>
        <v>380664.70333909907</v>
      </c>
      <c r="U892" s="26">
        <f t="shared" si="26"/>
        <v>380569.70333909907</v>
      </c>
    </row>
    <row r="893" spans="19:21" ht="14.65" thickBot="1" x14ac:dyDescent="0.5">
      <c r="S893" s="37">
        <f t="shared" si="27"/>
        <v>384471.35037249007</v>
      </c>
      <c r="U893" s="26">
        <f t="shared" si="26"/>
        <v>384376.35037249007</v>
      </c>
    </row>
    <row r="894" spans="19:21" ht="14.65" thickBot="1" x14ac:dyDescent="0.5">
      <c r="S894" s="37">
        <f t="shared" si="27"/>
        <v>388316.06387621496</v>
      </c>
      <c r="U894" s="26">
        <f t="shared" si="26"/>
        <v>388221.06387621496</v>
      </c>
    </row>
    <row r="895" spans="19:21" ht="14.65" thickBot="1" x14ac:dyDescent="0.5">
      <c r="S895" s="37">
        <f t="shared" si="27"/>
        <v>392199.22451497713</v>
      </c>
      <c r="U895" s="26">
        <f t="shared" si="26"/>
        <v>392104.22451497713</v>
      </c>
    </row>
    <row r="896" spans="19:21" ht="14.65" thickBot="1" x14ac:dyDescent="0.5">
      <c r="S896" s="37">
        <f t="shared" si="27"/>
        <v>396121.21676012693</v>
      </c>
      <c r="U896" s="26">
        <f t="shared" si="26"/>
        <v>396026.21676012693</v>
      </c>
    </row>
    <row r="897" spans="19:21" ht="14.65" thickBot="1" x14ac:dyDescent="0.5">
      <c r="S897" s="37">
        <f t="shared" si="27"/>
        <v>400082.42892772821</v>
      </c>
      <c r="U897" s="26">
        <f t="shared" si="26"/>
        <v>399987.42892772821</v>
      </c>
    </row>
    <row r="898" spans="19:21" ht="14.65" thickBot="1" x14ac:dyDescent="0.5">
      <c r="S898" s="37">
        <f t="shared" si="27"/>
        <v>404083.25321700552</v>
      </c>
      <c r="U898" s="26">
        <f t="shared" si="26"/>
        <v>403988.25321700552</v>
      </c>
    </row>
    <row r="899" spans="19:21" ht="14.65" thickBot="1" x14ac:dyDescent="0.5">
      <c r="S899" s="37">
        <f t="shared" si="27"/>
        <v>408124.08574917557</v>
      </c>
      <c r="U899" s="26">
        <f t="shared" si="26"/>
        <v>408029.08574917557</v>
      </c>
    </row>
    <row r="900" spans="19:21" ht="14.65" thickBot="1" x14ac:dyDescent="0.5">
      <c r="S900" s="37">
        <f t="shared" si="27"/>
        <v>412205.32660666731</v>
      </c>
      <c r="U900" s="26">
        <f t="shared" si="26"/>
        <v>412110.32660666731</v>
      </c>
    </row>
    <row r="901" spans="19:21" ht="14.65" thickBot="1" x14ac:dyDescent="0.5">
      <c r="S901" s="37">
        <f t="shared" si="27"/>
        <v>416327.37987273396</v>
      </c>
      <c r="U901" s="26">
        <f t="shared" si="26"/>
        <v>416232.37987273396</v>
      </c>
    </row>
    <row r="902" spans="19:21" ht="14.65" thickBot="1" x14ac:dyDescent="0.5">
      <c r="S902" s="37">
        <f t="shared" si="27"/>
        <v>420490.65367146133</v>
      </c>
      <c r="U902" s="26">
        <f t="shared" si="26"/>
        <v>420395.65367146133</v>
      </c>
    </row>
    <row r="903" spans="19:21" ht="14.65" thickBot="1" x14ac:dyDescent="0.5">
      <c r="S903" s="37">
        <f t="shared" si="27"/>
        <v>424695.56020817597</v>
      </c>
      <c r="U903" s="26">
        <f t="shared" si="26"/>
        <v>424600.56020817597</v>
      </c>
    </row>
    <row r="904" spans="19:21" ht="14.65" thickBot="1" x14ac:dyDescent="0.5">
      <c r="S904" s="37">
        <f t="shared" si="27"/>
        <v>428942.51581025776</v>
      </c>
      <c r="U904" s="26">
        <f t="shared" si="26"/>
        <v>428847.51581025776</v>
      </c>
    </row>
    <row r="905" spans="19:21" ht="14.65" thickBot="1" x14ac:dyDescent="0.5">
      <c r="S905" s="37">
        <f t="shared" si="27"/>
        <v>433231.94096836034</v>
      </c>
      <c r="U905" s="26">
        <f t="shared" si="26"/>
        <v>433136.94096836034</v>
      </c>
    </row>
    <row r="906" spans="19:21" ht="14.65" thickBot="1" x14ac:dyDescent="0.5">
      <c r="S906" s="37">
        <f t="shared" si="27"/>
        <v>437564.26037804392</v>
      </c>
      <c r="U906" s="26">
        <f t="shared" si="26"/>
        <v>437469.26037804392</v>
      </c>
    </row>
    <row r="907" spans="19:21" ht="14.65" thickBot="1" x14ac:dyDescent="0.5">
      <c r="S907" s="37">
        <f t="shared" si="27"/>
        <v>441939.90298182436</v>
      </c>
      <c r="U907" s="26">
        <f t="shared" si="26"/>
        <v>441844.90298182436</v>
      </c>
    </row>
    <row r="908" spans="19:21" ht="14.65" thickBot="1" x14ac:dyDescent="0.5">
      <c r="S908" s="37">
        <f t="shared" si="27"/>
        <v>446359.30201164261</v>
      </c>
      <c r="U908" s="26">
        <f t="shared" si="26"/>
        <v>446264.30201164261</v>
      </c>
    </row>
    <row r="909" spans="19:21" ht="14.65" thickBot="1" x14ac:dyDescent="0.5">
      <c r="S909" s="37">
        <f t="shared" si="27"/>
        <v>450822.89503175905</v>
      </c>
      <c r="U909" s="26">
        <f t="shared" si="26"/>
        <v>450727.89503175905</v>
      </c>
    </row>
    <row r="910" spans="19:21" ht="14.65" thickBot="1" x14ac:dyDescent="0.5">
      <c r="S910" s="37">
        <f t="shared" si="27"/>
        <v>455331.12398207665</v>
      </c>
      <c r="U910" s="26">
        <f t="shared" si="26"/>
        <v>455236.12398207665</v>
      </c>
    </row>
    <row r="911" spans="19:21" ht="14.65" thickBot="1" x14ac:dyDescent="0.5">
      <c r="S911" s="37">
        <f t="shared" si="27"/>
        <v>459884.43522189744</v>
      </c>
      <c r="U911" s="26">
        <f t="shared" si="26"/>
        <v>459789.43522189744</v>
      </c>
    </row>
    <row r="912" spans="19:21" ht="14.65" thickBot="1" x14ac:dyDescent="0.5">
      <c r="S912" s="37">
        <f t="shared" si="27"/>
        <v>464483.2795741164</v>
      </c>
      <c r="U912" s="26">
        <f t="shared" si="26"/>
        <v>464388.2795741164</v>
      </c>
    </row>
    <row r="913" spans="19:21" ht="14.65" thickBot="1" x14ac:dyDescent="0.5">
      <c r="S913" s="37">
        <f t="shared" si="27"/>
        <v>469128.11236985755</v>
      </c>
      <c r="U913" s="26">
        <f t="shared" ref="U913:U976" si="28">IF(S913&lt;$D$7,-$D$8,(S913-$D$7)-$D$8)</f>
        <v>469033.11236985755</v>
      </c>
    </row>
    <row r="914" spans="19:21" ht="14.65" thickBot="1" x14ac:dyDescent="0.5">
      <c r="S914" s="37">
        <f t="shared" si="27"/>
        <v>473819.39349355613</v>
      </c>
      <c r="U914" s="26">
        <f t="shared" si="28"/>
        <v>473724.39349355613</v>
      </c>
    </row>
    <row r="915" spans="19:21" ht="14.65" thickBot="1" x14ac:dyDescent="0.5">
      <c r="S915" s="37">
        <f t="shared" ref="S915:S978" si="29">S914*(1.01)</f>
        <v>478557.58742849168</v>
      </c>
      <c r="U915" s="26">
        <f t="shared" si="28"/>
        <v>478462.58742849168</v>
      </c>
    </row>
    <row r="916" spans="19:21" ht="14.65" thickBot="1" x14ac:dyDescent="0.5">
      <c r="S916" s="37">
        <f t="shared" si="29"/>
        <v>483343.16330277658</v>
      </c>
      <c r="U916" s="26">
        <f t="shared" si="28"/>
        <v>483248.16330277658</v>
      </c>
    </row>
    <row r="917" spans="19:21" ht="14.65" thickBot="1" x14ac:dyDescent="0.5">
      <c r="S917" s="37">
        <f t="shared" si="29"/>
        <v>488176.59493580437</v>
      </c>
      <c r="U917" s="26">
        <f t="shared" si="28"/>
        <v>488081.59493580437</v>
      </c>
    </row>
    <row r="918" spans="19:21" ht="14.65" thickBot="1" x14ac:dyDescent="0.5">
      <c r="S918" s="37">
        <f t="shared" si="29"/>
        <v>493058.36088516243</v>
      </c>
      <c r="U918" s="26">
        <f t="shared" si="28"/>
        <v>492963.36088516243</v>
      </c>
    </row>
    <row r="919" spans="19:21" ht="14.65" thickBot="1" x14ac:dyDescent="0.5">
      <c r="S919" s="37">
        <f t="shared" si="29"/>
        <v>497988.94449401408</v>
      </c>
      <c r="U919" s="26">
        <f t="shared" si="28"/>
        <v>497893.94449401408</v>
      </c>
    </row>
    <row r="920" spans="19:21" ht="14.65" thickBot="1" x14ac:dyDescent="0.5">
      <c r="S920" s="37">
        <f t="shared" si="29"/>
        <v>502968.83393895422</v>
      </c>
      <c r="U920" s="26">
        <f t="shared" si="28"/>
        <v>502873.83393895422</v>
      </c>
    </row>
    <row r="921" spans="19:21" ht="14.65" thickBot="1" x14ac:dyDescent="0.5">
      <c r="S921" s="37">
        <f t="shared" si="29"/>
        <v>507998.52227834379</v>
      </c>
      <c r="U921" s="26">
        <f t="shared" si="28"/>
        <v>507903.52227834379</v>
      </c>
    </row>
    <row r="922" spans="19:21" ht="14.65" thickBot="1" x14ac:dyDescent="0.5">
      <c r="S922" s="37">
        <f t="shared" si="29"/>
        <v>513078.50750112726</v>
      </c>
      <c r="U922" s="26">
        <f t="shared" si="28"/>
        <v>512983.50750112726</v>
      </c>
    </row>
    <row r="923" spans="19:21" ht="14.65" thickBot="1" x14ac:dyDescent="0.5">
      <c r="S923" s="37">
        <f t="shared" si="29"/>
        <v>518209.29257613851</v>
      </c>
      <c r="U923" s="26">
        <f t="shared" si="28"/>
        <v>518114.29257613851</v>
      </c>
    </row>
    <row r="924" spans="19:21" ht="14.65" thickBot="1" x14ac:dyDescent="0.5">
      <c r="S924" s="37">
        <f t="shared" si="29"/>
        <v>523391.38550189987</v>
      </c>
      <c r="U924" s="26">
        <f t="shared" si="28"/>
        <v>523296.38550189987</v>
      </c>
    </row>
    <row r="925" spans="19:21" ht="14.65" thickBot="1" x14ac:dyDescent="0.5">
      <c r="S925" s="37">
        <f t="shared" si="29"/>
        <v>528625.2993569189</v>
      </c>
      <c r="U925" s="26">
        <f t="shared" si="28"/>
        <v>528530.2993569189</v>
      </c>
    </row>
    <row r="926" spans="19:21" ht="14.65" thickBot="1" x14ac:dyDescent="0.5">
      <c r="S926" s="37">
        <f t="shared" si="29"/>
        <v>533911.55235048814</v>
      </c>
      <c r="U926" s="26">
        <f t="shared" si="28"/>
        <v>533816.55235048814</v>
      </c>
    </row>
    <row r="927" spans="19:21" ht="14.65" thickBot="1" x14ac:dyDescent="0.5">
      <c r="S927" s="37">
        <f t="shared" si="29"/>
        <v>539250.66787399305</v>
      </c>
      <c r="U927" s="26">
        <f t="shared" si="28"/>
        <v>539155.66787399305</v>
      </c>
    </row>
    <row r="928" spans="19:21" ht="14.65" thickBot="1" x14ac:dyDescent="0.5">
      <c r="S928" s="37">
        <f t="shared" si="29"/>
        <v>544643.17455273296</v>
      </c>
      <c r="U928" s="26">
        <f t="shared" si="28"/>
        <v>544548.17455273296</v>
      </c>
    </row>
    <row r="929" spans="19:21" ht="14.65" thickBot="1" x14ac:dyDescent="0.5">
      <c r="S929" s="37">
        <f t="shared" si="29"/>
        <v>550089.60629826027</v>
      </c>
      <c r="U929" s="26">
        <f t="shared" si="28"/>
        <v>549994.60629826027</v>
      </c>
    </row>
    <row r="930" spans="19:21" ht="14.65" thickBot="1" x14ac:dyDescent="0.5">
      <c r="S930" s="37">
        <f t="shared" si="29"/>
        <v>555590.50236124289</v>
      </c>
      <c r="U930" s="26">
        <f t="shared" si="28"/>
        <v>555495.50236124289</v>
      </c>
    </row>
    <row r="931" spans="19:21" ht="14.65" thickBot="1" x14ac:dyDescent="0.5">
      <c r="S931" s="37">
        <f t="shared" si="29"/>
        <v>561146.40738485532</v>
      </c>
      <c r="U931" s="26">
        <f t="shared" si="28"/>
        <v>561051.40738485532</v>
      </c>
    </row>
    <row r="932" spans="19:21" ht="14.65" thickBot="1" x14ac:dyDescent="0.5">
      <c r="S932" s="37">
        <f t="shared" si="29"/>
        <v>566757.87145870388</v>
      </c>
      <c r="U932" s="26">
        <f t="shared" si="28"/>
        <v>566662.87145870388</v>
      </c>
    </row>
    <row r="933" spans="19:21" ht="14.65" thickBot="1" x14ac:dyDescent="0.5">
      <c r="S933" s="37">
        <f t="shared" si="29"/>
        <v>572425.45017329091</v>
      </c>
      <c r="U933" s="26">
        <f t="shared" si="28"/>
        <v>572330.45017329091</v>
      </c>
    </row>
    <row r="934" spans="19:21" ht="14.65" thickBot="1" x14ac:dyDescent="0.5">
      <c r="S934" s="37">
        <f t="shared" si="29"/>
        <v>578149.70467502379</v>
      </c>
      <c r="U934" s="26">
        <f t="shared" si="28"/>
        <v>578054.70467502379</v>
      </c>
    </row>
    <row r="935" spans="19:21" ht="14.65" thickBot="1" x14ac:dyDescent="0.5">
      <c r="S935" s="37">
        <f t="shared" si="29"/>
        <v>583931.20172177406</v>
      </c>
      <c r="U935" s="26">
        <f t="shared" si="28"/>
        <v>583836.20172177406</v>
      </c>
    </row>
    <row r="936" spans="19:21" ht="14.65" thickBot="1" x14ac:dyDescent="0.5">
      <c r="S936" s="37">
        <f t="shared" si="29"/>
        <v>589770.51373899181</v>
      </c>
      <c r="U936" s="26">
        <f t="shared" si="28"/>
        <v>589675.51373899181</v>
      </c>
    </row>
    <row r="937" spans="19:21" ht="14.65" thickBot="1" x14ac:dyDescent="0.5">
      <c r="S937" s="37">
        <f t="shared" si="29"/>
        <v>595668.21887638175</v>
      </c>
      <c r="U937" s="26">
        <f t="shared" si="28"/>
        <v>595573.21887638175</v>
      </c>
    </row>
    <row r="938" spans="19:21" ht="14.65" thickBot="1" x14ac:dyDescent="0.5">
      <c r="S938" s="37">
        <f t="shared" si="29"/>
        <v>601624.90106514562</v>
      </c>
      <c r="U938" s="26">
        <f t="shared" si="28"/>
        <v>601529.90106514562</v>
      </c>
    </row>
    <row r="939" spans="19:21" ht="14.65" thickBot="1" x14ac:dyDescent="0.5">
      <c r="S939" s="37">
        <f t="shared" si="29"/>
        <v>607641.15007579711</v>
      </c>
      <c r="U939" s="26">
        <f t="shared" si="28"/>
        <v>607546.15007579711</v>
      </c>
    </row>
    <row r="940" spans="19:21" ht="14.65" thickBot="1" x14ac:dyDescent="0.5">
      <c r="S940" s="37">
        <f t="shared" si="29"/>
        <v>613717.56157655513</v>
      </c>
      <c r="U940" s="26">
        <f t="shared" si="28"/>
        <v>613622.56157655513</v>
      </c>
    </row>
    <row r="941" spans="19:21" ht="14.65" thickBot="1" x14ac:dyDescent="0.5">
      <c r="S941" s="37">
        <f t="shared" si="29"/>
        <v>619854.73719232064</v>
      </c>
      <c r="U941" s="26">
        <f t="shared" si="28"/>
        <v>619759.73719232064</v>
      </c>
    </row>
    <row r="942" spans="19:21" ht="14.65" thickBot="1" x14ac:dyDescent="0.5">
      <c r="S942" s="37">
        <f t="shared" si="29"/>
        <v>626053.28456424386</v>
      </c>
      <c r="U942" s="26">
        <f t="shared" si="28"/>
        <v>625958.28456424386</v>
      </c>
    </row>
    <row r="943" spans="19:21" ht="14.65" thickBot="1" x14ac:dyDescent="0.5">
      <c r="S943" s="37">
        <f t="shared" si="29"/>
        <v>632313.81740988628</v>
      </c>
      <c r="U943" s="26">
        <f t="shared" si="28"/>
        <v>632218.81740988628</v>
      </c>
    </row>
    <row r="944" spans="19:21" ht="14.65" thickBot="1" x14ac:dyDescent="0.5">
      <c r="S944" s="37">
        <f t="shared" si="29"/>
        <v>638636.9555839852</v>
      </c>
      <c r="U944" s="26">
        <f t="shared" si="28"/>
        <v>638541.9555839852</v>
      </c>
    </row>
    <row r="945" spans="19:21" ht="14.65" thickBot="1" x14ac:dyDescent="0.5">
      <c r="S945" s="37">
        <f t="shared" si="29"/>
        <v>645023.325139825</v>
      </c>
      <c r="U945" s="26">
        <f t="shared" si="28"/>
        <v>644928.325139825</v>
      </c>
    </row>
    <row r="946" spans="19:21" ht="14.65" thickBot="1" x14ac:dyDescent="0.5">
      <c r="S946" s="37">
        <f t="shared" si="29"/>
        <v>651473.55839122331</v>
      </c>
      <c r="U946" s="26">
        <f t="shared" si="28"/>
        <v>651378.55839122331</v>
      </c>
    </row>
    <row r="947" spans="19:21" ht="14.65" thickBot="1" x14ac:dyDescent="0.5">
      <c r="S947" s="37">
        <f t="shared" si="29"/>
        <v>657988.29397513554</v>
      </c>
      <c r="U947" s="26">
        <f t="shared" si="28"/>
        <v>657893.29397513554</v>
      </c>
    </row>
    <row r="948" spans="19:21" ht="14.65" thickBot="1" x14ac:dyDescent="0.5">
      <c r="S948" s="37">
        <f t="shared" si="29"/>
        <v>664568.17691488692</v>
      </c>
      <c r="U948" s="26">
        <f t="shared" si="28"/>
        <v>664473.17691488692</v>
      </c>
    </row>
    <row r="949" spans="19:21" ht="14.65" thickBot="1" x14ac:dyDescent="0.5">
      <c r="S949" s="37">
        <f t="shared" si="29"/>
        <v>671213.85868403583</v>
      </c>
      <c r="U949" s="26">
        <f t="shared" si="28"/>
        <v>671118.85868403583</v>
      </c>
    </row>
    <row r="950" spans="19:21" ht="14.65" thickBot="1" x14ac:dyDescent="0.5">
      <c r="S950" s="37">
        <f t="shared" si="29"/>
        <v>677925.99727087619</v>
      </c>
      <c r="U950" s="26">
        <f t="shared" si="28"/>
        <v>677830.99727087619</v>
      </c>
    </row>
    <row r="951" spans="19:21" ht="14.65" thickBot="1" x14ac:dyDescent="0.5">
      <c r="S951" s="37">
        <f t="shared" si="29"/>
        <v>684705.25724358496</v>
      </c>
      <c r="U951" s="26">
        <f t="shared" si="28"/>
        <v>684610.25724358496</v>
      </c>
    </row>
    <row r="952" spans="19:21" ht="14.65" thickBot="1" x14ac:dyDescent="0.5">
      <c r="S952" s="37">
        <f t="shared" si="29"/>
        <v>691552.30981602077</v>
      </c>
      <c r="U952" s="26">
        <f t="shared" si="28"/>
        <v>691457.30981602077</v>
      </c>
    </row>
    <row r="953" spans="19:21" ht="14.65" thickBot="1" x14ac:dyDescent="0.5">
      <c r="S953" s="37">
        <f t="shared" si="29"/>
        <v>698467.83291418094</v>
      </c>
      <c r="U953" s="26">
        <f t="shared" si="28"/>
        <v>698372.83291418094</v>
      </c>
    </row>
    <row r="954" spans="19:21" ht="14.65" thickBot="1" x14ac:dyDescent="0.5">
      <c r="S954" s="37">
        <f t="shared" si="29"/>
        <v>705452.51124332275</v>
      </c>
      <c r="U954" s="26">
        <f t="shared" si="28"/>
        <v>705357.51124332275</v>
      </c>
    </row>
    <row r="955" spans="19:21" ht="14.65" thickBot="1" x14ac:dyDescent="0.5">
      <c r="S955" s="37">
        <f t="shared" si="29"/>
        <v>712507.03635575599</v>
      </c>
      <c r="U955" s="26">
        <f t="shared" si="28"/>
        <v>712412.03635575599</v>
      </c>
    </row>
    <row r="956" spans="19:21" ht="14.65" thickBot="1" x14ac:dyDescent="0.5">
      <c r="S956" s="37">
        <f t="shared" si="29"/>
        <v>719632.10671931354</v>
      </c>
      <c r="U956" s="26">
        <f t="shared" si="28"/>
        <v>719537.10671931354</v>
      </c>
    </row>
    <row r="957" spans="19:21" ht="14.65" thickBot="1" x14ac:dyDescent="0.5">
      <c r="S957" s="37">
        <f t="shared" si="29"/>
        <v>726828.42778650671</v>
      </c>
      <c r="U957" s="26">
        <f t="shared" si="28"/>
        <v>726733.42778650671</v>
      </c>
    </row>
    <row r="958" spans="19:21" ht="14.65" thickBot="1" x14ac:dyDescent="0.5">
      <c r="S958" s="37">
        <f t="shared" si="29"/>
        <v>734096.71206437179</v>
      </c>
      <c r="U958" s="26">
        <f t="shared" si="28"/>
        <v>734001.71206437179</v>
      </c>
    </row>
    <row r="959" spans="19:21" ht="14.65" thickBot="1" x14ac:dyDescent="0.5">
      <c r="S959" s="37">
        <f t="shared" si="29"/>
        <v>741437.6791850155</v>
      </c>
      <c r="U959" s="26">
        <f t="shared" si="28"/>
        <v>741342.6791850155</v>
      </c>
    </row>
    <row r="960" spans="19:21" ht="14.65" thickBot="1" x14ac:dyDescent="0.5">
      <c r="S960" s="37">
        <f t="shared" si="29"/>
        <v>748852.0559768657</v>
      </c>
      <c r="U960" s="26">
        <f t="shared" si="28"/>
        <v>748757.0559768657</v>
      </c>
    </row>
    <row r="961" spans="19:21" ht="14.65" thickBot="1" x14ac:dyDescent="0.5">
      <c r="S961" s="37">
        <f t="shared" si="29"/>
        <v>756340.57653663435</v>
      </c>
      <c r="U961" s="26">
        <f t="shared" si="28"/>
        <v>756245.57653663435</v>
      </c>
    </row>
    <row r="962" spans="19:21" ht="14.65" thickBot="1" x14ac:dyDescent="0.5">
      <c r="S962" s="37">
        <f t="shared" si="29"/>
        <v>763903.98230200075</v>
      </c>
      <c r="U962" s="26">
        <f t="shared" si="28"/>
        <v>763808.98230200075</v>
      </c>
    </row>
    <row r="963" spans="19:21" ht="14.65" thickBot="1" x14ac:dyDescent="0.5">
      <c r="S963" s="37">
        <f t="shared" si="29"/>
        <v>771543.02212502074</v>
      </c>
      <c r="U963" s="26">
        <f t="shared" si="28"/>
        <v>771448.02212502074</v>
      </c>
    </row>
    <row r="964" spans="19:21" ht="14.65" thickBot="1" x14ac:dyDescent="0.5">
      <c r="S964" s="37">
        <f t="shared" si="29"/>
        <v>779258.4523462709</v>
      </c>
      <c r="U964" s="26">
        <f t="shared" si="28"/>
        <v>779163.4523462709</v>
      </c>
    </row>
    <row r="965" spans="19:21" ht="14.65" thickBot="1" x14ac:dyDescent="0.5">
      <c r="S965" s="37">
        <f t="shared" si="29"/>
        <v>787051.03686973359</v>
      </c>
      <c r="U965" s="26">
        <f t="shared" si="28"/>
        <v>786956.03686973359</v>
      </c>
    </row>
    <row r="966" spans="19:21" ht="14.65" thickBot="1" x14ac:dyDescent="0.5">
      <c r="S966" s="37">
        <f t="shared" si="29"/>
        <v>794921.54723843094</v>
      </c>
      <c r="U966" s="26">
        <f t="shared" si="28"/>
        <v>794826.54723843094</v>
      </c>
    </row>
    <row r="967" spans="19:21" ht="14.65" thickBot="1" x14ac:dyDescent="0.5">
      <c r="S967" s="37">
        <f t="shared" si="29"/>
        <v>802870.7627108153</v>
      </c>
      <c r="U967" s="26">
        <f t="shared" si="28"/>
        <v>802775.7627108153</v>
      </c>
    </row>
    <row r="968" spans="19:21" ht="14.65" thickBot="1" x14ac:dyDescent="0.5">
      <c r="S968" s="37">
        <f t="shared" si="29"/>
        <v>810899.4703379235</v>
      </c>
      <c r="U968" s="26">
        <f t="shared" si="28"/>
        <v>810804.4703379235</v>
      </c>
    </row>
    <row r="969" spans="19:21" ht="14.65" thickBot="1" x14ac:dyDescent="0.5">
      <c r="S969" s="37">
        <f t="shared" si="29"/>
        <v>819008.46504130273</v>
      </c>
      <c r="U969" s="26">
        <f t="shared" si="28"/>
        <v>818913.46504130273</v>
      </c>
    </row>
    <row r="970" spans="19:21" ht="14.65" thickBot="1" x14ac:dyDescent="0.5">
      <c r="S970" s="37">
        <f t="shared" si="29"/>
        <v>827198.54969171574</v>
      </c>
      <c r="U970" s="26">
        <f t="shared" si="28"/>
        <v>827103.54969171574</v>
      </c>
    </row>
    <row r="971" spans="19:21" ht="14.65" thickBot="1" x14ac:dyDescent="0.5">
      <c r="S971" s="37">
        <f t="shared" si="29"/>
        <v>835470.5351886329</v>
      </c>
      <c r="U971" s="26">
        <f t="shared" si="28"/>
        <v>835375.5351886329</v>
      </c>
    </row>
    <row r="972" spans="19:21" ht="14.65" thickBot="1" x14ac:dyDescent="0.5">
      <c r="S972" s="37">
        <f t="shared" si="29"/>
        <v>843825.24054051924</v>
      </c>
      <c r="U972" s="26">
        <f t="shared" si="28"/>
        <v>843730.24054051924</v>
      </c>
    </row>
    <row r="973" spans="19:21" ht="14.65" thickBot="1" x14ac:dyDescent="0.5">
      <c r="S973" s="37">
        <f t="shared" si="29"/>
        <v>852263.4929459244</v>
      </c>
      <c r="U973" s="26">
        <f t="shared" si="28"/>
        <v>852168.4929459244</v>
      </c>
    </row>
    <row r="974" spans="19:21" ht="14.65" thickBot="1" x14ac:dyDescent="0.5">
      <c r="S974" s="37">
        <f t="shared" si="29"/>
        <v>860786.12787538371</v>
      </c>
      <c r="U974" s="26">
        <f t="shared" si="28"/>
        <v>860691.12787538371</v>
      </c>
    </row>
    <row r="975" spans="19:21" ht="14.65" thickBot="1" x14ac:dyDescent="0.5">
      <c r="S975" s="37">
        <f t="shared" si="29"/>
        <v>869393.98915413755</v>
      </c>
      <c r="U975" s="26">
        <f t="shared" si="28"/>
        <v>869298.98915413755</v>
      </c>
    </row>
    <row r="976" spans="19:21" ht="14.65" thickBot="1" x14ac:dyDescent="0.5">
      <c r="S976" s="37">
        <f t="shared" si="29"/>
        <v>878087.92904567893</v>
      </c>
      <c r="U976" s="26">
        <f t="shared" si="28"/>
        <v>877992.92904567893</v>
      </c>
    </row>
    <row r="977" spans="19:21" ht="14.65" thickBot="1" x14ac:dyDescent="0.5">
      <c r="S977" s="37">
        <f t="shared" si="29"/>
        <v>886868.8083361357</v>
      </c>
      <c r="U977" s="26">
        <f t="shared" ref="U977:U1032" si="30">IF(S977&lt;$D$7,-$D$8,(S977-$D$7)-$D$8)</f>
        <v>886773.8083361357</v>
      </c>
    </row>
    <row r="978" spans="19:21" ht="14.65" thickBot="1" x14ac:dyDescent="0.5">
      <c r="S978" s="37">
        <f t="shared" si="29"/>
        <v>895737.49641949707</v>
      </c>
      <c r="U978" s="26">
        <f t="shared" si="30"/>
        <v>895642.49641949707</v>
      </c>
    </row>
    <row r="979" spans="19:21" ht="14.65" thickBot="1" x14ac:dyDescent="0.5">
      <c r="S979" s="37">
        <f t="shared" ref="S979:S1032" si="31">S978*(1.01)</f>
        <v>904694.87138369202</v>
      </c>
      <c r="U979" s="26">
        <f t="shared" si="30"/>
        <v>904599.87138369202</v>
      </c>
    </row>
    <row r="980" spans="19:21" ht="14.65" thickBot="1" x14ac:dyDescent="0.5">
      <c r="S980" s="37">
        <f t="shared" si="31"/>
        <v>913741.82009752898</v>
      </c>
      <c r="U980" s="26">
        <f t="shared" si="30"/>
        <v>913646.82009752898</v>
      </c>
    </row>
    <row r="981" spans="19:21" ht="14.65" thickBot="1" x14ac:dyDescent="0.5">
      <c r="S981" s="37">
        <f t="shared" si="31"/>
        <v>922879.23829850426</v>
      </c>
      <c r="U981" s="26">
        <f t="shared" si="30"/>
        <v>922784.23829850426</v>
      </c>
    </row>
    <row r="982" spans="19:21" ht="14.65" thickBot="1" x14ac:dyDescent="0.5">
      <c r="S982" s="37">
        <f t="shared" si="31"/>
        <v>932108.03068148927</v>
      </c>
      <c r="U982" s="26">
        <f t="shared" si="30"/>
        <v>932013.03068148927</v>
      </c>
    </row>
    <row r="983" spans="19:21" ht="14.65" thickBot="1" x14ac:dyDescent="0.5">
      <c r="S983" s="37">
        <f t="shared" si="31"/>
        <v>941429.11098830414</v>
      </c>
      <c r="U983" s="26">
        <f t="shared" si="30"/>
        <v>941334.11098830414</v>
      </c>
    </row>
    <row r="984" spans="19:21" ht="14.65" thickBot="1" x14ac:dyDescent="0.5">
      <c r="S984" s="37">
        <f t="shared" si="31"/>
        <v>950843.40209818713</v>
      </c>
      <c r="U984" s="26">
        <f t="shared" si="30"/>
        <v>950748.40209818713</v>
      </c>
    </row>
    <row r="985" spans="19:21" ht="14.65" thickBot="1" x14ac:dyDescent="0.5">
      <c r="S985" s="37">
        <f t="shared" si="31"/>
        <v>960351.83611916902</v>
      </c>
      <c r="U985" s="26">
        <f t="shared" si="30"/>
        <v>960256.83611916902</v>
      </c>
    </row>
    <row r="986" spans="19:21" ht="14.65" thickBot="1" x14ac:dyDescent="0.5">
      <c r="S986" s="37">
        <f t="shared" si="31"/>
        <v>969955.35448036075</v>
      </c>
      <c r="U986" s="26">
        <f t="shared" si="30"/>
        <v>969860.35448036075</v>
      </c>
    </row>
    <row r="987" spans="19:21" ht="14.65" thickBot="1" x14ac:dyDescent="0.5">
      <c r="S987" s="37">
        <f t="shared" si="31"/>
        <v>979654.90802516439</v>
      </c>
      <c r="U987" s="26">
        <f t="shared" si="30"/>
        <v>979559.90802516439</v>
      </c>
    </row>
    <row r="988" spans="19:21" ht="14.65" thickBot="1" x14ac:dyDescent="0.5">
      <c r="S988" s="37">
        <f t="shared" si="31"/>
        <v>989451.45710541599</v>
      </c>
      <c r="U988" s="26">
        <f t="shared" si="30"/>
        <v>989356.45710541599</v>
      </c>
    </row>
    <row r="989" spans="19:21" ht="14.65" thickBot="1" x14ac:dyDescent="0.5">
      <c r="S989" s="37">
        <f t="shared" si="31"/>
        <v>999345.97167647013</v>
      </c>
      <c r="U989" s="26">
        <f t="shared" si="30"/>
        <v>999250.97167647013</v>
      </c>
    </row>
    <row r="990" spans="19:21" ht="14.65" thickBot="1" x14ac:dyDescent="0.5">
      <c r="S990" s="37">
        <f t="shared" si="31"/>
        <v>1009339.4313932349</v>
      </c>
      <c r="U990" s="26">
        <f t="shared" si="30"/>
        <v>1009244.4313932349</v>
      </c>
    </row>
    <row r="991" spans="19:21" ht="14.65" thickBot="1" x14ac:dyDescent="0.5">
      <c r="S991" s="37">
        <f t="shared" si="31"/>
        <v>1019432.8257071673</v>
      </c>
      <c r="U991" s="26">
        <f t="shared" si="30"/>
        <v>1019337.8257071673</v>
      </c>
    </row>
    <row r="992" spans="19:21" ht="14.65" thickBot="1" x14ac:dyDescent="0.5">
      <c r="S992" s="37">
        <f t="shared" si="31"/>
        <v>1029627.1539642389</v>
      </c>
      <c r="U992" s="26">
        <f t="shared" si="30"/>
        <v>1029532.1539642389</v>
      </c>
    </row>
    <row r="993" spans="19:21" ht="14.65" thickBot="1" x14ac:dyDescent="0.5">
      <c r="S993" s="37">
        <f t="shared" si="31"/>
        <v>1039923.4255038813</v>
      </c>
      <c r="U993" s="26">
        <f t="shared" si="30"/>
        <v>1039828.4255038813</v>
      </c>
    </row>
    <row r="994" spans="19:21" ht="14.65" thickBot="1" x14ac:dyDescent="0.5">
      <c r="S994" s="37">
        <f t="shared" si="31"/>
        <v>1050322.6597589201</v>
      </c>
      <c r="U994" s="26">
        <f t="shared" si="30"/>
        <v>1050227.6597589201</v>
      </c>
    </row>
    <row r="995" spans="19:21" ht="14.65" thickBot="1" x14ac:dyDescent="0.5">
      <c r="S995" s="37">
        <f t="shared" si="31"/>
        <v>1060825.8863565093</v>
      </c>
      <c r="U995" s="26">
        <f t="shared" si="30"/>
        <v>1060730.8863565093</v>
      </c>
    </row>
    <row r="996" spans="19:21" ht="14.65" thickBot="1" x14ac:dyDescent="0.5">
      <c r="S996" s="37">
        <f t="shared" si="31"/>
        <v>1071434.1452200743</v>
      </c>
      <c r="U996" s="26">
        <f t="shared" si="30"/>
        <v>1071339.1452200743</v>
      </c>
    </row>
    <row r="997" spans="19:21" ht="14.65" thickBot="1" x14ac:dyDescent="0.5">
      <c r="S997" s="37">
        <f t="shared" si="31"/>
        <v>1082148.486672275</v>
      </c>
      <c r="U997" s="26">
        <f t="shared" si="30"/>
        <v>1082053.486672275</v>
      </c>
    </row>
    <row r="998" spans="19:21" ht="14.65" thickBot="1" x14ac:dyDescent="0.5">
      <c r="S998" s="37">
        <f t="shared" si="31"/>
        <v>1092969.9715389977</v>
      </c>
      <c r="U998" s="26">
        <f t="shared" si="30"/>
        <v>1092874.9715389977</v>
      </c>
    </row>
    <row r="999" spans="19:21" ht="14.65" thickBot="1" x14ac:dyDescent="0.5">
      <c r="S999" s="37">
        <f t="shared" si="31"/>
        <v>1103899.6712543878</v>
      </c>
      <c r="U999" s="26">
        <f t="shared" si="30"/>
        <v>1103804.6712543878</v>
      </c>
    </row>
    <row r="1000" spans="19:21" ht="14.65" thickBot="1" x14ac:dyDescent="0.5">
      <c r="S1000" s="37">
        <f t="shared" si="31"/>
        <v>1114938.6679669318</v>
      </c>
      <c r="U1000" s="26">
        <f t="shared" si="30"/>
        <v>1114843.6679669318</v>
      </c>
    </row>
    <row r="1001" spans="19:21" ht="14.65" thickBot="1" x14ac:dyDescent="0.5">
      <c r="S1001" s="37">
        <f t="shared" si="31"/>
        <v>1126088.0546466012</v>
      </c>
      <c r="U1001" s="26">
        <f t="shared" si="30"/>
        <v>1125993.0546466012</v>
      </c>
    </row>
    <row r="1002" spans="19:21" ht="14.65" thickBot="1" x14ac:dyDescent="0.5">
      <c r="S1002" s="37">
        <f t="shared" si="31"/>
        <v>1137348.9351930672</v>
      </c>
      <c r="U1002" s="26">
        <f t="shared" si="30"/>
        <v>1137253.9351930672</v>
      </c>
    </row>
    <row r="1003" spans="19:21" ht="14.65" thickBot="1" x14ac:dyDescent="0.5">
      <c r="S1003" s="37">
        <f t="shared" si="31"/>
        <v>1148722.424544998</v>
      </c>
      <c r="U1003" s="26">
        <f t="shared" si="30"/>
        <v>1148627.424544998</v>
      </c>
    </row>
    <row r="1004" spans="19:21" ht="14.65" thickBot="1" x14ac:dyDescent="0.5">
      <c r="S1004" s="37">
        <f t="shared" si="31"/>
        <v>1160209.648790448</v>
      </c>
      <c r="U1004" s="26">
        <f t="shared" si="30"/>
        <v>1160114.648790448</v>
      </c>
    </row>
    <row r="1005" spans="19:21" ht="14.65" thickBot="1" x14ac:dyDescent="0.5">
      <c r="S1005" s="37">
        <f t="shared" si="31"/>
        <v>1171811.7452783524</v>
      </c>
      <c r="U1005" s="26">
        <f t="shared" si="30"/>
        <v>1171716.7452783524</v>
      </c>
    </row>
    <row r="1006" spans="19:21" ht="14.65" thickBot="1" x14ac:dyDescent="0.5">
      <c r="S1006" s="37">
        <f t="shared" si="31"/>
        <v>1183529.8627311359</v>
      </c>
      <c r="U1006" s="26">
        <f t="shared" si="30"/>
        <v>1183434.8627311359</v>
      </c>
    </row>
    <row r="1007" spans="19:21" ht="14.65" thickBot="1" x14ac:dyDescent="0.5">
      <c r="S1007" s="37">
        <f t="shared" si="31"/>
        <v>1195365.1613584473</v>
      </c>
      <c r="U1007" s="26">
        <f t="shared" si="30"/>
        <v>1195270.1613584473</v>
      </c>
    </row>
    <row r="1008" spans="19:21" ht="14.65" thickBot="1" x14ac:dyDescent="0.5">
      <c r="S1008" s="37">
        <f t="shared" si="31"/>
        <v>1207318.8129720318</v>
      </c>
      <c r="U1008" s="26">
        <f t="shared" si="30"/>
        <v>1207223.8129720318</v>
      </c>
    </row>
    <row r="1009" spans="19:21" ht="14.65" thickBot="1" x14ac:dyDescent="0.5">
      <c r="S1009" s="37">
        <f t="shared" si="31"/>
        <v>1219392.001101752</v>
      </c>
      <c r="U1009" s="26">
        <f t="shared" si="30"/>
        <v>1219297.001101752</v>
      </c>
    </row>
    <row r="1010" spans="19:21" ht="14.65" thickBot="1" x14ac:dyDescent="0.5">
      <c r="S1010" s="37">
        <f t="shared" si="31"/>
        <v>1231585.9211127695</v>
      </c>
      <c r="U1010" s="26">
        <f t="shared" si="30"/>
        <v>1231490.9211127695</v>
      </c>
    </row>
    <row r="1011" spans="19:21" ht="14.65" thickBot="1" x14ac:dyDescent="0.5">
      <c r="S1011" s="37">
        <f t="shared" si="31"/>
        <v>1243901.7803238973</v>
      </c>
      <c r="U1011" s="26">
        <f t="shared" si="30"/>
        <v>1243806.7803238973</v>
      </c>
    </row>
    <row r="1012" spans="19:21" ht="14.65" thickBot="1" x14ac:dyDescent="0.5">
      <c r="S1012" s="37">
        <f t="shared" si="31"/>
        <v>1256340.7981271362</v>
      </c>
      <c r="U1012" s="26">
        <f t="shared" si="30"/>
        <v>1256245.7981271362</v>
      </c>
    </row>
    <row r="1013" spans="19:21" ht="14.65" thickBot="1" x14ac:dyDescent="0.5">
      <c r="S1013" s="37">
        <f t="shared" si="31"/>
        <v>1268904.2061084076</v>
      </c>
      <c r="U1013" s="26">
        <f t="shared" si="30"/>
        <v>1268809.2061084076</v>
      </c>
    </row>
    <row r="1014" spans="19:21" ht="14.65" thickBot="1" x14ac:dyDescent="0.5">
      <c r="S1014" s="37">
        <f t="shared" si="31"/>
        <v>1281593.2481694918</v>
      </c>
      <c r="U1014" s="26">
        <f t="shared" si="30"/>
        <v>1281498.2481694918</v>
      </c>
    </row>
    <row r="1015" spans="19:21" ht="14.65" thickBot="1" x14ac:dyDescent="0.5">
      <c r="S1015" s="37">
        <f t="shared" si="31"/>
        <v>1294409.1806511867</v>
      </c>
      <c r="U1015" s="26">
        <f t="shared" si="30"/>
        <v>1294314.1806511867</v>
      </c>
    </row>
    <row r="1016" spans="19:21" ht="14.65" thickBot="1" x14ac:dyDescent="0.5">
      <c r="S1016" s="37">
        <f t="shared" si="31"/>
        <v>1307353.2724576986</v>
      </c>
      <c r="U1016" s="26">
        <f t="shared" si="30"/>
        <v>1307258.2724576986</v>
      </c>
    </row>
    <row r="1017" spans="19:21" ht="14.65" thickBot="1" x14ac:dyDescent="0.5">
      <c r="S1017" s="37">
        <f t="shared" si="31"/>
        <v>1320426.8051822756</v>
      </c>
      <c r="U1017" s="26">
        <f t="shared" si="30"/>
        <v>1320331.8051822756</v>
      </c>
    </row>
    <row r="1018" spans="19:21" ht="14.65" thickBot="1" x14ac:dyDescent="0.5">
      <c r="S1018" s="37">
        <f t="shared" si="31"/>
        <v>1333631.0732340983</v>
      </c>
      <c r="U1018" s="26">
        <f t="shared" si="30"/>
        <v>1333536.0732340983</v>
      </c>
    </row>
    <row r="1019" spans="19:21" ht="14.65" thickBot="1" x14ac:dyDescent="0.5">
      <c r="S1019" s="37">
        <f t="shared" si="31"/>
        <v>1346967.3839664392</v>
      </c>
      <c r="U1019" s="26">
        <f t="shared" si="30"/>
        <v>1346872.3839664392</v>
      </c>
    </row>
    <row r="1020" spans="19:21" ht="14.65" thickBot="1" x14ac:dyDescent="0.5">
      <c r="S1020" s="37">
        <f t="shared" si="31"/>
        <v>1360437.0578061035</v>
      </c>
      <c r="U1020" s="26">
        <f t="shared" si="30"/>
        <v>1360342.0578061035</v>
      </c>
    </row>
    <row r="1021" spans="19:21" ht="14.65" thickBot="1" x14ac:dyDescent="0.5">
      <c r="S1021" s="37">
        <f t="shared" si="31"/>
        <v>1374041.4283841646</v>
      </c>
      <c r="U1021" s="26">
        <f t="shared" si="30"/>
        <v>1373946.4283841646</v>
      </c>
    </row>
    <row r="1022" spans="19:21" ht="14.65" thickBot="1" x14ac:dyDescent="0.5">
      <c r="S1022" s="37">
        <f t="shared" si="31"/>
        <v>1387781.8426680062</v>
      </c>
      <c r="U1022" s="26">
        <f t="shared" si="30"/>
        <v>1387686.8426680062</v>
      </c>
    </row>
    <row r="1023" spans="19:21" ht="14.65" thickBot="1" x14ac:dyDescent="0.5">
      <c r="S1023" s="37">
        <f t="shared" si="31"/>
        <v>1401659.6610946862</v>
      </c>
      <c r="U1023" s="26">
        <f t="shared" si="30"/>
        <v>1401564.6610946862</v>
      </c>
    </row>
    <row r="1024" spans="19:21" ht="14.65" thickBot="1" x14ac:dyDescent="0.5">
      <c r="S1024" s="37">
        <f t="shared" si="31"/>
        <v>1415676.2577056331</v>
      </c>
      <c r="U1024" s="26">
        <f t="shared" si="30"/>
        <v>1415581.2577056331</v>
      </c>
    </row>
    <row r="1025" spans="19:21" ht="14.65" thickBot="1" x14ac:dyDescent="0.5">
      <c r="S1025" s="37">
        <f t="shared" si="31"/>
        <v>1429833.0202826895</v>
      </c>
      <c r="U1025" s="26">
        <f t="shared" si="30"/>
        <v>1429738.0202826895</v>
      </c>
    </row>
    <row r="1026" spans="19:21" ht="14.65" thickBot="1" x14ac:dyDescent="0.5">
      <c r="S1026" s="37">
        <f t="shared" si="31"/>
        <v>1444131.3504855165</v>
      </c>
      <c r="U1026" s="26">
        <f t="shared" si="30"/>
        <v>1444036.3504855165</v>
      </c>
    </row>
    <row r="1027" spans="19:21" ht="14.65" thickBot="1" x14ac:dyDescent="0.5">
      <c r="S1027" s="37">
        <f t="shared" si="31"/>
        <v>1458572.6639903716</v>
      </c>
      <c r="U1027" s="26">
        <f t="shared" si="30"/>
        <v>1458477.6639903716</v>
      </c>
    </row>
    <row r="1028" spans="19:21" ht="14.65" thickBot="1" x14ac:dyDescent="0.5">
      <c r="S1028" s="37">
        <f t="shared" si="31"/>
        <v>1473158.3906302752</v>
      </c>
      <c r="U1028" s="26">
        <f t="shared" si="30"/>
        <v>1473063.3906302752</v>
      </c>
    </row>
    <row r="1029" spans="19:21" ht="14.65" thickBot="1" x14ac:dyDescent="0.5">
      <c r="S1029" s="37">
        <f t="shared" si="31"/>
        <v>1487889.9745365779</v>
      </c>
      <c r="U1029" s="26">
        <f t="shared" si="30"/>
        <v>1487794.9745365779</v>
      </c>
    </row>
    <row r="1030" spans="19:21" ht="14.65" thickBot="1" x14ac:dyDescent="0.5">
      <c r="S1030" s="37">
        <f t="shared" si="31"/>
        <v>1502768.8742819438</v>
      </c>
      <c r="U1030" s="26">
        <f t="shared" si="30"/>
        <v>1502673.8742819438</v>
      </c>
    </row>
    <row r="1031" spans="19:21" ht="14.65" thickBot="1" x14ac:dyDescent="0.5">
      <c r="S1031" s="37">
        <f t="shared" si="31"/>
        <v>1517796.5630247633</v>
      </c>
      <c r="U1031" s="26">
        <f t="shared" si="30"/>
        <v>1517701.5630247633</v>
      </c>
    </row>
    <row r="1032" spans="19:21" ht="14.65" thickBot="1" x14ac:dyDescent="0.5">
      <c r="S1032" s="37">
        <f t="shared" si="31"/>
        <v>1532974.528655011</v>
      </c>
      <c r="U1032" s="26">
        <f t="shared" si="30"/>
        <v>1532879.528655011</v>
      </c>
    </row>
  </sheetData>
  <conditionalFormatting sqref="D11">
    <cfRule type="cellIs" dxfId="37" priority="6" operator="lessThan">
      <formula>0</formula>
    </cfRule>
    <cfRule type="cellIs" dxfId="36" priority="5" operator="greaterThan">
      <formula>0</formula>
    </cfRule>
  </conditionalFormatting>
  <conditionalFormatting sqref="U17">
    <cfRule type="cellIs" dxfId="35" priority="3" operator="greaterThan">
      <formula>0</formula>
    </cfRule>
    <cfRule type="cellIs" dxfId="34" priority="4" operator="lessThan">
      <formula>0</formula>
    </cfRule>
  </conditionalFormatting>
  <conditionalFormatting sqref="U18:U1032">
    <cfRule type="cellIs" dxfId="33" priority="1" operator="greaterThan">
      <formula>0</formula>
    </cfRule>
    <cfRule type="cellIs" dxfId="32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EA855-7D0C-4D88-8597-137166752B92}">
  <dimension ref="A1:U1032"/>
  <sheetViews>
    <sheetView zoomScaleNormal="100" workbookViewId="0">
      <selection activeCell="S18" sqref="S18"/>
    </sheetView>
  </sheetViews>
  <sheetFormatPr defaultColWidth="9.1328125" defaultRowHeight="14.25" x14ac:dyDescent="0.45"/>
  <cols>
    <col min="1" max="1" width="12.1328125" style="1" customWidth="1"/>
    <col min="2" max="2" width="1.59765625" style="1" customWidth="1"/>
    <col min="3" max="8" width="33.3984375" style="1" customWidth="1"/>
    <col min="9" max="10" width="9.1328125" style="1"/>
    <col min="11" max="11" width="13.3984375" style="1" customWidth="1"/>
    <col min="12" max="12" width="20" style="1" customWidth="1"/>
    <col min="13" max="14" width="11.86328125" style="1" customWidth="1"/>
    <col min="15" max="16384" width="9.1328125" style="1"/>
  </cols>
  <sheetData>
    <row r="1" spans="1:19" ht="18" x14ac:dyDescent="0.55000000000000004">
      <c r="A1" s="28" t="s">
        <v>39</v>
      </c>
    </row>
    <row r="2" spans="1:19" x14ac:dyDescent="0.45">
      <c r="C2" s="20"/>
      <c r="E2" s="20" t="s">
        <v>40</v>
      </c>
    </row>
    <row r="3" spans="1:19" ht="14.65" thickBot="1" x14ac:dyDescent="0.5"/>
    <row r="4" spans="1:19" ht="30.75" customHeight="1" x14ac:dyDescent="0.45">
      <c r="C4" s="6" t="s">
        <v>30</v>
      </c>
      <c r="D4" s="7" t="s">
        <v>15</v>
      </c>
      <c r="E4" s="7" t="s">
        <v>31</v>
      </c>
      <c r="F4" s="7" t="s">
        <v>35</v>
      </c>
      <c r="G4" s="7" t="s">
        <v>34</v>
      </c>
      <c r="H4" s="8" t="s">
        <v>27</v>
      </c>
      <c r="J4" s="4"/>
    </row>
    <row r="5" spans="1:19" ht="30.75" customHeight="1" thickBot="1" x14ac:dyDescent="0.5">
      <c r="C5" s="27" t="s">
        <v>41</v>
      </c>
      <c r="D5" s="9" t="s">
        <v>32</v>
      </c>
      <c r="E5" s="9" t="s">
        <v>33</v>
      </c>
      <c r="F5" s="9" t="s">
        <v>32</v>
      </c>
      <c r="G5" s="9" t="s">
        <v>42</v>
      </c>
      <c r="H5" s="10" t="s">
        <v>42</v>
      </c>
      <c r="J5" s="4"/>
    </row>
    <row r="6" spans="1:19" ht="30.75" customHeight="1" thickBot="1" x14ac:dyDescent="0.5"/>
    <row r="7" spans="1:19" x14ac:dyDescent="0.45">
      <c r="C7" s="36" t="s">
        <v>26</v>
      </c>
      <c r="D7" s="21">
        <v>100</v>
      </c>
      <c r="F7" s="12" t="s">
        <v>16</v>
      </c>
      <c r="G7" s="13" t="s">
        <v>17</v>
      </c>
      <c r="H7" s="14" t="s">
        <v>43</v>
      </c>
    </row>
    <row r="8" spans="1:19" x14ac:dyDescent="0.45">
      <c r="C8" s="23" t="s">
        <v>47</v>
      </c>
      <c r="D8" s="22">
        <v>5</v>
      </c>
      <c r="F8" s="15" t="s">
        <v>18</v>
      </c>
      <c r="G8" s="5" t="s">
        <v>22</v>
      </c>
      <c r="H8" s="16" t="s">
        <v>45</v>
      </c>
    </row>
    <row r="9" spans="1:19" ht="14.65" thickBot="1" x14ac:dyDescent="0.5">
      <c r="C9" s="23" t="s">
        <v>28</v>
      </c>
      <c r="D9" s="22">
        <v>80</v>
      </c>
      <c r="F9" s="17" t="s">
        <v>20</v>
      </c>
      <c r="G9" s="18" t="s">
        <v>21</v>
      </c>
      <c r="H9" s="19" t="s">
        <v>46</v>
      </c>
    </row>
    <row r="10" spans="1:19" x14ac:dyDescent="0.45">
      <c r="C10" s="23" t="s">
        <v>27</v>
      </c>
      <c r="D10" s="24">
        <f>D7-D8</f>
        <v>95</v>
      </c>
    </row>
    <row r="11" spans="1:19" ht="14.65" thickBot="1" x14ac:dyDescent="0.5">
      <c r="C11" s="25" t="s">
        <v>29</v>
      </c>
      <c r="D11" s="26">
        <f>IF(D9&lt;D7,(D7-D9)-D8,-D8)</f>
        <v>15</v>
      </c>
    </row>
    <row r="16" spans="1:19" x14ac:dyDescent="0.45">
      <c r="S16" s="1" t="s">
        <v>25</v>
      </c>
    </row>
    <row r="17" spans="19:21" ht="14.65" thickBot="1" x14ac:dyDescent="0.5">
      <c r="S17" s="37">
        <f>ROUND((D7-(0.3*D7)),0)</f>
        <v>70</v>
      </c>
      <c r="U17" s="26">
        <f>IF(S17&lt;$D$7,($D$7-S17)-$D$8,-$D$8)</f>
        <v>25</v>
      </c>
    </row>
    <row r="18" spans="19:21" ht="14.65" thickBot="1" x14ac:dyDescent="0.5">
      <c r="S18" s="37">
        <f>S17*(1.01)</f>
        <v>70.7</v>
      </c>
      <c r="U18" s="26">
        <f t="shared" ref="U18:U81" si="0">IF(S18&lt;$D$7,($D$7-S18)-$D$8,-$D$8)</f>
        <v>24.299999999999997</v>
      </c>
    </row>
    <row r="19" spans="19:21" ht="14.65" thickBot="1" x14ac:dyDescent="0.5">
      <c r="S19" s="37">
        <f t="shared" ref="S19:S82" si="1">S18*(1.01)</f>
        <v>71.406999999999996</v>
      </c>
      <c r="U19" s="26">
        <f t="shared" si="0"/>
        <v>23.593000000000004</v>
      </c>
    </row>
    <row r="20" spans="19:21" ht="14.65" thickBot="1" x14ac:dyDescent="0.5">
      <c r="S20" s="37">
        <f t="shared" si="1"/>
        <v>72.121070000000003</v>
      </c>
      <c r="U20" s="26">
        <f t="shared" si="0"/>
        <v>22.878929999999997</v>
      </c>
    </row>
    <row r="21" spans="19:21" ht="14.65" thickBot="1" x14ac:dyDescent="0.5">
      <c r="S21" s="37">
        <f t="shared" si="1"/>
        <v>72.842280700000003</v>
      </c>
      <c r="U21" s="26">
        <f t="shared" si="0"/>
        <v>22.157719299999997</v>
      </c>
    </row>
    <row r="22" spans="19:21" ht="14.65" thickBot="1" x14ac:dyDescent="0.5">
      <c r="S22" s="37">
        <f t="shared" si="1"/>
        <v>73.570703507000005</v>
      </c>
      <c r="U22" s="26">
        <f t="shared" si="0"/>
        <v>21.429296492999995</v>
      </c>
    </row>
    <row r="23" spans="19:21" ht="14.65" thickBot="1" x14ac:dyDescent="0.5">
      <c r="S23" s="37">
        <f t="shared" si="1"/>
        <v>74.306410542070012</v>
      </c>
      <c r="U23" s="26">
        <f t="shared" si="0"/>
        <v>20.693589457929988</v>
      </c>
    </row>
    <row r="24" spans="19:21" ht="14.65" thickBot="1" x14ac:dyDescent="0.5">
      <c r="S24" s="37">
        <f t="shared" si="1"/>
        <v>75.049474647490712</v>
      </c>
      <c r="U24" s="26">
        <f t="shared" si="0"/>
        <v>19.950525352509288</v>
      </c>
    </row>
    <row r="25" spans="19:21" ht="14.65" thickBot="1" x14ac:dyDescent="0.5">
      <c r="S25" s="37">
        <f>S24*(1.01)</f>
        <v>75.799969393965625</v>
      </c>
      <c r="U25" s="26">
        <f t="shared" si="0"/>
        <v>19.200030606034375</v>
      </c>
    </row>
    <row r="26" spans="19:21" ht="14.65" thickBot="1" x14ac:dyDescent="0.5">
      <c r="S26" s="37">
        <f t="shared" si="1"/>
        <v>76.557969087905278</v>
      </c>
      <c r="U26" s="26">
        <f t="shared" si="0"/>
        <v>18.442030912094722</v>
      </c>
    </row>
    <row r="27" spans="19:21" ht="14.65" thickBot="1" x14ac:dyDescent="0.5">
      <c r="S27" s="37">
        <f t="shared" si="1"/>
        <v>77.323548778784328</v>
      </c>
      <c r="U27" s="26">
        <f t="shared" si="0"/>
        <v>17.676451221215672</v>
      </c>
    </row>
    <row r="28" spans="19:21" ht="14.65" thickBot="1" x14ac:dyDescent="0.5">
      <c r="S28" s="37">
        <f t="shared" si="1"/>
        <v>78.096784266572172</v>
      </c>
      <c r="U28" s="26">
        <f t="shared" si="0"/>
        <v>16.903215733427828</v>
      </c>
    </row>
    <row r="29" spans="19:21" ht="14.65" thickBot="1" x14ac:dyDescent="0.5">
      <c r="S29" s="37">
        <f t="shared" si="1"/>
        <v>78.877752109237889</v>
      </c>
      <c r="U29" s="26">
        <f t="shared" si="0"/>
        <v>16.122247890762111</v>
      </c>
    </row>
    <row r="30" spans="19:21" ht="14.65" thickBot="1" x14ac:dyDescent="0.5">
      <c r="S30" s="37">
        <f t="shared" si="1"/>
        <v>79.666529630330274</v>
      </c>
      <c r="U30" s="26">
        <f t="shared" si="0"/>
        <v>15.333470369669726</v>
      </c>
    </row>
    <row r="31" spans="19:21" ht="14.65" thickBot="1" x14ac:dyDescent="0.5">
      <c r="S31" s="37">
        <f>S30*(1.01)</f>
        <v>80.463194926633577</v>
      </c>
      <c r="U31" s="26">
        <f t="shared" si="0"/>
        <v>14.536805073366423</v>
      </c>
    </row>
    <row r="32" spans="19:21" ht="14.65" thickBot="1" x14ac:dyDescent="0.5">
      <c r="S32" s="37">
        <f t="shared" si="1"/>
        <v>81.267826875899914</v>
      </c>
      <c r="U32" s="26">
        <f t="shared" si="0"/>
        <v>13.732173124100086</v>
      </c>
    </row>
    <row r="33" spans="19:21" ht="14.65" thickBot="1" x14ac:dyDescent="0.5">
      <c r="S33" s="37">
        <f t="shared" si="1"/>
        <v>82.080505144658915</v>
      </c>
      <c r="U33" s="26">
        <f t="shared" si="0"/>
        <v>12.919494855341085</v>
      </c>
    </row>
    <row r="34" spans="19:21" ht="14.65" thickBot="1" x14ac:dyDescent="0.5">
      <c r="S34" s="37">
        <f t="shared" si="1"/>
        <v>82.901310196105499</v>
      </c>
      <c r="U34" s="26">
        <f t="shared" si="0"/>
        <v>12.098689803894501</v>
      </c>
    </row>
    <row r="35" spans="19:21" ht="14.65" thickBot="1" x14ac:dyDescent="0.5">
      <c r="S35" s="37">
        <f t="shared" si="1"/>
        <v>83.730323298066551</v>
      </c>
      <c r="U35" s="26">
        <f t="shared" si="0"/>
        <v>11.269676701933449</v>
      </c>
    </row>
    <row r="36" spans="19:21" ht="14.65" thickBot="1" x14ac:dyDescent="0.5">
      <c r="S36" s="37">
        <f t="shared" si="1"/>
        <v>84.567626531047225</v>
      </c>
      <c r="U36" s="26">
        <f t="shared" si="0"/>
        <v>10.432373468952775</v>
      </c>
    </row>
    <row r="37" spans="19:21" ht="14.65" thickBot="1" x14ac:dyDescent="0.5">
      <c r="S37" s="37">
        <f t="shared" si="1"/>
        <v>85.413302796357698</v>
      </c>
      <c r="U37" s="26">
        <f t="shared" si="0"/>
        <v>9.5866972036423022</v>
      </c>
    </row>
    <row r="38" spans="19:21" ht="14.65" thickBot="1" x14ac:dyDescent="0.5">
      <c r="S38" s="37">
        <f t="shared" si="1"/>
        <v>86.267435824321282</v>
      </c>
      <c r="U38" s="26">
        <f t="shared" si="0"/>
        <v>8.7325641756787178</v>
      </c>
    </row>
    <row r="39" spans="19:21" ht="14.65" thickBot="1" x14ac:dyDescent="0.5">
      <c r="S39" s="37">
        <f t="shared" si="1"/>
        <v>87.130110182564493</v>
      </c>
      <c r="U39" s="26">
        <f t="shared" si="0"/>
        <v>7.8698898174355065</v>
      </c>
    </row>
    <row r="40" spans="19:21" ht="14.65" thickBot="1" x14ac:dyDescent="0.5">
      <c r="S40" s="37">
        <f t="shared" si="1"/>
        <v>88.001411284390144</v>
      </c>
      <c r="U40" s="26">
        <f t="shared" si="0"/>
        <v>6.9985887156098556</v>
      </c>
    </row>
    <row r="41" spans="19:21" ht="14.65" thickBot="1" x14ac:dyDescent="0.5">
      <c r="S41" s="37">
        <f t="shared" si="1"/>
        <v>88.88142539723404</v>
      </c>
      <c r="U41" s="26">
        <f t="shared" si="0"/>
        <v>6.1185746027659604</v>
      </c>
    </row>
    <row r="42" spans="19:21" ht="14.65" thickBot="1" x14ac:dyDescent="0.5">
      <c r="S42" s="37">
        <f t="shared" si="1"/>
        <v>89.770239651206381</v>
      </c>
      <c r="U42" s="26">
        <f t="shared" si="0"/>
        <v>5.2297603487936186</v>
      </c>
    </row>
    <row r="43" spans="19:21" ht="14.65" thickBot="1" x14ac:dyDescent="0.5">
      <c r="S43" s="37">
        <f t="shared" si="1"/>
        <v>90.667942047718441</v>
      </c>
      <c r="U43" s="26">
        <f t="shared" si="0"/>
        <v>4.3320579522815592</v>
      </c>
    </row>
    <row r="44" spans="19:21" ht="14.65" thickBot="1" x14ac:dyDescent="0.5">
      <c r="S44" s="37">
        <f t="shared" si="1"/>
        <v>91.57462146819563</v>
      </c>
      <c r="U44" s="26">
        <f t="shared" si="0"/>
        <v>3.4253785318043697</v>
      </c>
    </row>
    <row r="45" spans="19:21" ht="14.65" thickBot="1" x14ac:dyDescent="0.5">
      <c r="S45" s="37">
        <f t="shared" si="1"/>
        <v>92.49036768287759</v>
      </c>
      <c r="U45" s="26">
        <f t="shared" si="0"/>
        <v>2.50963231712241</v>
      </c>
    </row>
    <row r="46" spans="19:21" ht="14.65" thickBot="1" x14ac:dyDescent="0.5">
      <c r="S46" s="37">
        <f t="shared" si="1"/>
        <v>93.415271359706367</v>
      </c>
      <c r="U46" s="26">
        <f t="shared" si="0"/>
        <v>1.5847286402936334</v>
      </c>
    </row>
    <row r="47" spans="19:21" ht="14.65" thickBot="1" x14ac:dyDescent="0.5">
      <c r="S47" s="37">
        <f t="shared" si="1"/>
        <v>94.349424073303425</v>
      </c>
      <c r="U47" s="26">
        <f t="shared" si="0"/>
        <v>0.65057592669657538</v>
      </c>
    </row>
    <row r="48" spans="19:21" ht="14.65" thickBot="1" x14ac:dyDescent="0.5">
      <c r="S48" s="37">
        <f t="shared" si="1"/>
        <v>95.292918314036456</v>
      </c>
      <c r="U48" s="26">
        <f t="shared" si="0"/>
        <v>-0.29291831403645574</v>
      </c>
    </row>
    <row r="49" spans="19:21" ht="14.65" thickBot="1" x14ac:dyDescent="0.5">
      <c r="S49" s="37">
        <f t="shared" si="1"/>
        <v>96.245847497176825</v>
      </c>
      <c r="U49" s="26">
        <f t="shared" si="0"/>
        <v>-1.2458474971768254</v>
      </c>
    </row>
    <row r="50" spans="19:21" ht="14.65" thickBot="1" x14ac:dyDescent="0.5">
      <c r="S50" s="37">
        <f t="shared" si="1"/>
        <v>97.208305972148594</v>
      </c>
      <c r="U50" s="26">
        <f t="shared" si="0"/>
        <v>-2.2083059721485938</v>
      </c>
    </row>
    <row r="51" spans="19:21" ht="14.65" thickBot="1" x14ac:dyDescent="0.5">
      <c r="S51" s="37">
        <f t="shared" si="1"/>
        <v>98.180389031870078</v>
      </c>
      <c r="U51" s="26">
        <f t="shared" si="0"/>
        <v>-3.180389031870078</v>
      </c>
    </row>
    <row r="52" spans="19:21" ht="14.65" thickBot="1" x14ac:dyDescent="0.5">
      <c r="S52" s="37">
        <f t="shared" si="1"/>
        <v>99.16219292218878</v>
      </c>
      <c r="U52" s="26">
        <f t="shared" si="0"/>
        <v>-4.1621929221887797</v>
      </c>
    </row>
    <row r="53" spans="19:21" ht="14.65" thickBot="1" x14ac:dyDescent="0.5">
      <c r="S53" s="37">
        <f t="shared" si="1"/>
        <v>100.15381485141067</v>
      </c>
      <c r="U53" s="26">
        <f t="shared" si="0"/>
        <v>-5</v>
      </c>
    </row>
    <row r="54" spans="19:21" ht="14.65" thickBot="1" x14ac:dyDescent="0.5">
      <c r="S54" s="37">
        <f t="shared" si="1"/>
        <v>101.15535299992477</v>
      </c>
      <c r="U54" s="26">
        <f t="shared" si="0"/>
        <v>-5</v>
      </c>
    </row>
    <row r="55" spans="19:21" ht="14.65" thickBot="1" x14ac:dyDescent="0.5">
      <c r="S55" s="37">
        <f t="shared" si="1"/>
        <v>102.16690652992402</v>
      </c>
      <c r="U55" s="26">
        <f t="shared" si="0"/>
        <v>-5</v>
      </c>
    </row>
    <row r="56" spans="19:21" ht="14.65" thickBot="1" x14ac:dyDescent="0.5">
      <c r="S56" s="37">
        <f t="shared" si="1"/>
        <v>103.18857559522326</v>
      </c>
      <c r="U56" s="26">
        <f t="shared" si="0"/>
        <v>-5</v>
      </c>
    </row>
    <row r="57" spans="19:21" ht="14.65" thickBot="1" x14ac:dyDescent="0.5">
      <c r="S57" s="37">
        <f t="shared" si="1"/>
        <v>104.22046135117549</v>
      </c>
      <c r="U57" s="26">
        <f t="shared" si="0"/>
        <v>-5</v>
      </c>
    </row>
    <row r="58" spans="19:21" ht="14.65" thickBot="1" x14ac:dyDescent="0.5">
      <c r="S58" s="37">
        <f t="shared" si="1"/>
        <v>105.26266596468724</v>
      </c>
      <c r="U58" s="26">
        <f t="shared" si="0"/>
        <v>-5</v>
      </c>
    </row>
    <row r="59" spans="19:21" ht="14.65" thickBot="1" x14ac:dyDescent="0.5">
      <c r="S59" s="37">
        <f t="shared" si="1"/>
        <v>106.31529262433412</v>
      </c>
      <c r="U59" s="26">
        <f t="shared" si="0"/>
        <v>-5</v>
      </c>
    </row>
    <row r="60" spans="19:21" ht="14.65" thickBot="1" x14ac:dyDescent="0.5">
      <c r="S60" s="37">
        <f t="shared" si="1"/>
        <v>107.37844555057747</v>
      </c>
      <c r="U60" s="26">
        <f t="shared" si="0"/>
        <v>-5</v>
      </c>
    </row>
    <row r="61" spans="19:21" ht="14.65" thickBot="1" x14ac:dyDescent="0.5">
      <c r="S61" s="37">
        <f t="shared" si="1"/>
        <v>108.45223000608324</v>
      </c>
      <c r="U61" s="26">
        <f t="shared" si="0"/>
        <v>-5</v>
      </c>
    </row>
    <row r="62" spans="19:21" ht="14.65" thickBot="1" x14ac:dyDescent="0.5">
      <c r="S62" s="37">
        <f t="shared" si="1"/>
        <v>109.53675230614408</v>
      </c>
      <c r="U62" s="26">
        <f t="shared" si="0"/>
        <v>-5</v>
      </c>
    </row>
    <row r="63" spans="19:21" ht="14.65" thickBot="1" x14ac:dyDescent="0.5">
      <c r="S63" s="37">
        <f t="shared" si="1"/>
        <v>110.63211982920552</v>
      </c>
      <c r="U63" s="26">
        <f t="shared" si="0"/>
        <v>-5</v>
      </c>
    </row>
    <row r="64" spans="19:21" ht="14.65" thickBot="1" x14ac:dyDescent="0.5">
      <c r="S64" s="37">
        <f t="shared" si="1"/>
        <v>111.73844102749757</v>
      </c>
      <c r="U64" s="26">
        <f t="shared" si="0"/>
        <v>-5</v>
      </c>
    </row>
    <row r="65" spans="19:21" ht="14.65" thickBot="1" x14ac:dyDescent="0.5">
      <c r="S65" s="37">
        <f t="shared" si="1"/>
        <v>112.85582543777255</v>
      </c>
      <c r="U65" s="26">
        <f t="shared" si="0"/>
        <v>-5</v>
      </c>
    </row>
    <row r="66" spans="19:21" ht="14.65" thickBot="1" x14ac:dyDescent="0.5">
      <c r="S66" s="37">
        <f t="shared" si="1"/>
        <v>113.98438369215027</v>
      </c>
      <c r="U66" s="26">
        <f t="shared" si="0"/>
        <v>-5</v>
      </c>
    </row>
    <row r="67" spans="19:21" ht="14.65" thickBot="1" x14ac:dyDescent="0.5">
      <c r="S67" s="37">
        <f t="shared" si="1"/>
        <v>115.12422752907177</v>
      </c>
      <c r="U67" s="26">
        <f t="shared" si="0"/>
        <v>-5</v>
      </c>
    </row>
    <row r="68" spans="19:21" ht="14.65" thickBot="1" x14ac:dyDescent="0.5">
      <c r="S68" s="37">
        <f t="shared" si="1"/>
        <v>116.27546980436249</v>
      </c>
      <c r="U68" s="26">
        <f t="shared" si="0"/>
        <v>-5</v>
      </c>
    </row>
    <row r="69" spans="19:21" ht="14.65" thickBot="1" x14ac:dyDescent="0.5">
      <c r="S69" s="37">
        <f t="shared" si="1"/>
        <v>117.43822450240611</v>
      </c>
      <c r="U69" s="26">
        <f t="shared" si="0"/>
        <v>-5</v>
      </c>
    </row>
    <row r="70" spans="19:21" ht="14.65" thickBot="1" x14ac:dyDescent="0.5">
      <c r="S70" s="37">
        <f t="shared" si="1"/>
        <v>118.61260674743018</v>
      </c>
      <c r="U70" s="26">
        <f t="shared" si="0"/>
        <v>-5</v>
      </c>
    </row>
    <row r="71" spans="19:21" ht="14.65" thickBot="1" x14ac:dyDescent="0.5">
      <c r="S71" s="37">
        <f t="shared" si="1"/>
        <v>119.79873281490448</v>
      </c>
      <c r="U71" s="26">
        <f t="shared" si="0"/>
        <v>-5</v>
      </c>
    </row>
    <row r="72" spans="19:21" ht="14.65" thickBot="1" x14ac:dyDescent="0.5">
      <c r="S72" s="37">
        <f t="shared" si="1"/>
        <v>120.99672014305352</v>
      </c>
      <c r="U72" s="26">
        <f t="shared" si="0"/>
        <v>-5</v>
      </c>
    </row>
    <row r="73" spans="19:21" ht="14.65" thickBot="1" x14ac:dyDescent="0.5">
      <c r="S73" s="37">
        <f t="shared" si="1"/>
        <v>122.20668734448405</v>
      </c>
      <c r="U73" s="26">
        <f t="shared" si="0"/>
        <v>-5</v>
      </c>
    </row>
    <row r="74" spans="19:21" ht="14.65" thickBot="1" x14ac:dyDescent="0.5">
      <c r="S74" s="37">
        <f t="shared" si="1"/>
        <v>123.4287542179289</v>
      </c>
      <c r="U74" s="26">
        <f t="shared" si="0"/>
        <v>-5</v>
      </c>
    </row>
    <row r="75" spans="19:21" ht="14.65" thickBot="1" x14ac:dyDescent="0.5">
      <c r="S75" s="37">
        <f t="shared" si="1"/>
        <v>124.66304176010819</v>
      </c>
      <c r="U75" s="26">
        <f t="shared" si="0"/>
        <v>-5</v>
      </c>
    </row>
    <row r="76" spans="19:21" ht="14.65" thickBot="1" x14ac:dyDescent="0.5">
      <c r="S76" s="37">
        <f t="shared" si="1"/>
        <v>125.90967217770927</v>
      </c>
      <c r="U76" s="26">
        <f t="shared" si="0"/>
        <v>-5</v>
      </c>
    </row>
    <row r="77" spans="19:21" ht="14.65" thickBot="1" x14ac:dyDescent="0.5">
      <c r="S77" s="37">
        <f t="shared" si="1"/>
        <v>127.16876889948637</v>
      </c>
      <c r="U77" s="26">
        <f t="shared" si="0"/>
        <v>-5</v>
      </c>
    </row>
    <row r="78" spans="19:21" ht="14.65" thickBot="1" x14ac:dyDescent="0.5">
      <c r="S78" s="37">
        <f t="shared" si="1"/>
        <v>128.44045658848123</v>
      </c>
      <c r="U78" s="26">
        <f t="shared" si="0"/>
        <v>-5</v>
      </c>
    </row>
    <row r="79" spans="19:21" ht="14.65" thickBot="1" x14ac:dyDescent="0.5">
      <c r="S79" s="37">
        <f t="shared" si="1"/>
        <v>129.72486115436604</v>
      </c>
      <c r="U79" s="26">
        <f t="shared" si="0"/>
        <v>-5</v>
      </c>
    </row>
    <row r="80" spans="19:21" ht="14.65" thickBot="1" x14ac:dyDescent="0.5">
      <c r="S80" s="37">
        <f t="shared" si="1"/>
        <v>131.0221097659097</v>
      </c>
      <c r="U80" s="26">
        <f t="shared" si="0"/>
        <v>-5</v>
      </c>
    </row>
    <row r="81" spans="19:21" ht="14.65" thickBot="1" x14ac:dyDescent="0.5">
      <c r="S81" s="37">
        <f t="shared" si="1"/>
        <v>132.33233086356881</v>
      </c>
      <c r="U81" s="26">
        <f t="shared" si="0"/>
        <v>-5</v>
      </c>
    </row>
    <row r="82" spans="19:21" ht="14.65" thickBot="1" x14ac:dyDescent="0.5">
      <c r="S82" s="37">
        <f t="shared" si="1"/>
        <v>133.65565417220449</v>
      </c>
      <c r="U82" s="26">
        <f t="shared" ref="U82:U145" si="2">IF(S82&lt;$D$7,($D$7-S82)-$D$8,-$D$8)</f>
        <v>-5</v>
      </c>
    </row>
    <row r="83" spans="19:21" ht="14.65" thickBot="1" x14ac:dyDescent="0.5">
      <c r="S83" s="37">
        <f t="shared" ref="S83:S146" si="3">S82*(1.01)</f>
        <v>134.99221071392654</v>
      </c>
      <c r="U83" s="26">
        <f t="shared" si="2"/>
        <v>-5</v>
      </c>
    </row>
    <row r="84" spans="19:21" ht="14.65" thickBot="1" x14ac:dyDescent="0.5">
      <c r="S84" s="37">
        <f t="shared" si="3"/>
        <v>136.3421328210658</v>
      </c>
      <c r="U84" s="26">
        <f t="shared" si="2"/>
        <v>-5</v>
      </c>
    </row>
    <row r="85" spans="19:21" ht="14.65" thickBot="1" x14ac:dyDescent="0.5">
      <c r="S85" s="37">
        <f t="shared" si="3"/>
        <v>137.70555414927645</v>
      </c>
      <c r="U85" s="26">
        <f t="shared" si="2"/>
        <v>-5</v>
      </c>
    </row>
    <row r="86" spans="19:21" ht="14.65" thickBot="1" x14ac:dyDescent="0.5">
      <c r="S86" s="37">
        <f t="shared" si="3"/>
        <v>139.08260969076923</v>
      </c>
      <c r="U86" s="26">
        <f t="shared" si="2"/>
        <v>-5</v>
      </c>
    </row>
    <row r="87" spans="19:21" ht="14.65" thickBot="1" x14ac:dyDescent="0.5">
      <c r="S87" s="37">
        <f t="shared" si="3"/>
        <v>140.47343578767692</v>
      </c>
      <c r="U87" s="26">
        <f t="shared" si="2"/>
        <v>-5</v>
      </c>
    </row>
    <row r="88" spans="19:21" ht="14.65" thickBot="1" x14ac:dyDescent="0.5">
      <c r="S88" s="37">
        <f t="shared" si="3"/>
        <v>141.8781701455537</v>
      </c>
      <c r="U88" s="26">
        <f t="shared" si="2"/>
        <v>-5</v>
      </c>
    </row>
    <row r="89" spans="19:21" ht="14.65" thickBot="1" x14ac:dyDescent="0.5">
      <c r="S89" s="37">
        <f t="shared" si="3"/>
        <v>143.29695184700924</v>
      </c>
      <c r="U89" s="26">
        <f t="shared" si="2"/>
        <v>-5</v>
      </c>
    </row>
    <row r="90" spans="19:21" ht="14.65" thickBot="1" x14ac:dyDescent="0.5">
      <c r="S90" s="37">
        <f t="shared" si="3"/>
        <v>144.72992136547933</v>
      </c>
      <c r="U90" s="26">
        <f t="shared" si="2"/>
        <v>-5</v>
      </c>
    </row>
    <row r="91" spans="19:21" ht="14.65" thickBot="1" x14ac:dyDescent="0.5">
      <c r="S91" s="37">
        <f t="shared" si="3"/>
        <v>146.17722057913412</v>
      </c>
      <c r="U91" s="26">
        <f t="shared" si="2"/>
        <v>-5</v>
      </c>
    </row>
    <row r="92" spans="19:21" ht="14.65" thickBot="1" x14ac:dyDescent="0.5">
      <c r="S92" s="37">
        <f t="shared" si="3"/>
        <v>147.63899278492545</v>
      </c>
      <c r="U92" s="26">
        <f t="shared" si="2"/>
        <v>-5</v>
      </c>
    </row>
    <row r="93" spans="19:21" ht="14.65" thickBot="1" x14ac:dyDescent="0.5">
      <c r="S93" s="37">
        <f t="shared" si="3"/>
        <v>149.1153827127747</v>
      </c>
      <c r="U93" s="26">
        <f t="shared" si="2"/>
        <v>-5</v>
      </c>
    </row>
    <row r="94" spans="19:21" ht="14.65" thickBot="1" x14ac:dyDescent="0.5">
      <c r="S94" s="37">
        <f t="shared" si="3"/>
        <v>150.60653653990246</v>
      </c>
      <c r="U94" s="26">
        <f t="shared" si="2"/>
        <v>-5</v>
      </c>
    </row>
    <row r="95" spans="19:21" ht="14.65" thickBot="1" x14ac:dyDescent="0.5">
      <c r="S95" s="37">
        <f t="shared" si="3"/>
        <v>152.11260190530149</v>
      </c>
      <c r="U95" s="26">
        <f t="shared" si="2"/>
        <v>-5</v>
      </c>
    </row>
    <row r="96" spans="19:21" ht="14.65" thickBot="1" x14ac:dyDescent="0.5">
      <c r="S96" s="37">
        <f t="shared" si="3"/>
        <v>153.6337279243545</v>
      </c>
      <c r="U96" s="26">
        <f t="shared" si="2"/>
        <v>-5</v>
      </c>
    </row>
    <row r="97" spans="19:21" ht="14.65" thickBot="1" x14ac:dyDescent="0.5">
      <c r="S97" s="37">
        <f t="shared" si="3"/>
        <v>155.17006520359806</v>
      </c>
      <c r="U97" s="26">
        <f t="shared" si="2"/>
        <v>-5</v>
      </c>
    </row>
    <row r="98" spans="19:21" ht="14.65" thickBot="1" x14ac:dyDescent="0.5">
      <c r="S98" s="37">
        <f t="shared" si="3"/>
        <v>156.72176585563403</v>
      </c>
      <c r="U98" s="26">
        <f t="shared" si="2"/>
        <v>-5</v>
      </c>
    </row>
    <row r="99" spans="19:21" ht="14.65" thickBot="1" x14ac:dyDescent="0.5">
      <c r="S99" s="37">
        <f t="shared" si="3"/>
        <v>158.28898351419036</v>
      </c>
      <c r="U99" s="26">
        <f t="shared" si="2"/>
        <v>-5</v>
      </c>
    </row>
    <row r="100" spans="19:21" ht="14.65" thickBot="1" x14ac:dyDescent="0.5">
      <c r="S100" s="37">
        <f t="shared" si="3"/>
        <v>159.87187334933228</v>
      </c>
      <c r="U100" s="26">
        <f t="shared" si="2"/>
        <v>-5</v>
      </c>
    </row>
    <row r="101" spans="19:21" ht="14.65" thickBot="1" x14ac:dyDescent="0.5">
      <c r="S101" s="37">
        <f t="shared" si="3"/>
        <v>161.47059208282559</v>
      </c>
      <c r="U101" s="26">
        <f t="shared" si="2"/>
        <v>-5</v>
      </c>
    </row>
    <row r="102" spans="19:21" ht="14.65" thickBot="1" x14ac:dyDescent="0.5">
      <c r="S102" s="37">
        <f t="shared" si="3"/>
        <v>163.08529800365386</v>
      </c>
      <c r="U102" s="26">
        <f t="shared" si="2"/>
        <v>-5</v>
      </c>
    </row>
    <row r="103" spans="19:21" ht="14.65" thickBot="1" x14ac:dyDescent="0.5">
      <c r="S103" s="37">
        <f t="shared" si="3"/>
        <v>164.7161509836904</v>
      </c>
      <c r="U103" s="26">
        <f t="shared" si="2"/>
        <v>-5</v>
      </c>
    </row>
    <row r="104" spans="19:21" ht="14.65" thickBot="1" x14ac:dyDescent="0.5">
      <c r="S104" s="37">
        <f t="shared" si="3"/>
        <v>166.3633124935273</v>
      </c>
      <c r="U104" s="26">
        <f t="shared" si="2"/>
        <v>-5</v>
      </c>
    </row>
    <row r="105" spans="19:21" ht="14.65" thickBot="1" x14ac:dyDescent="0.5">
      <c r="S105" s="37">
        <f t="shared" si="3"/>
        <v>168.02694561846258</v>
      </c>
      <c r="U105" s="26">
        <f t="shared" si="2"/>
        <v>-5</v>
      </c>
    </row>
    <row r="106" spans="19:21" ht="14.65" thickBot="1" x14ac:dyDescent="0.5">
      <c r="S106" s="37">
        <f t="shared" si="3"/>
        <v>169.70721507464719</v>
      </c>
      <c r="U106" s="26">
        <f t="shared" si="2"/>
        <v>-5</v>
      </c>
    </row>
    <row r="107" spans="19:21" ht="14.65" thickBot="1" x14ac:dyDescent="0.5">
      <c r="S107" s="37">
        <f t="shared" si="3"/>
        <v>171.40428722539366</v>
      </c>
      <c r="U107" s="26">
        <f t="shared" si="2"/>
        <v>-5</v>
      </c>
    </row>
    <row r="108" spans="19:21" ht="14.65" thickBot="1" x14ac:dyDescent="0.5">
      <c r="S108" s="37">
        <f t="shared" si="3"/>
        <v>173.1183300976476</v>
      </c>
      <c r="U108" s="26">
        <f t="shared" si="2"/>
        <v>-5</v>
      </c>
    </row>
    <row r="109" spans="19:21" ht="14.65" thickBot="1" x14ac:dyDescent="0.5">
      <c r="S109" s="37">
        <f t="shared" si="3"/>
        <v>174.84951339862408</v>
      </c>
      <c r="U109" s="26">
        <f t="shared" si="2"/>
        <v>-5</v>
      </c>
    </row>
    <row r="110" spans="19:21" ht="14.65" thickBot="1" x14ac:dyDescent="0.5">
      <c r="S110" s="37">
        <f t="shared" si="3"/>
        <v>176.59800853261032</v>
      </c>
      <c r="U110" s="26">
        <f t="shared" si="2"/>
        <v>-5</v>
      </c>
    </row>
    <row r="111" spans="19:21" ht="14.65" thickBot="1" x14ac:dyDescent="0.5">
      <c r="S111" s="37">
        <f t="shared" si="3"/>
        <v>178.36398861793643</v>
      </c>
      <c r="U111" s="26">
        <f t="shared" si="2"/>
        <v>-5</v>
      </c>
    </row>
    <row r="112" spans="19:21" ht="14.65" thickBot="1" x14ac:dyDescent="0.5">
      <c r="S112" s="37">
        <f t="shared" si="3"/>
        <v>180.1476285041158</v>
      </c>
      <c r="U112" s="26">
        <f t="shared" si="2"/>
        <v>-5</v>
      </c>
    </row>
    <row r="113" spans="19:21" ht="14.65" thickBot="1" x14ac:dyDescent="0.5">
      <c r="S113" s="37">
        <f t="shared" si="3"/>
        <v>181.94910478915696</v>
      </c>
      <c r="U113" s="26">
        <f t="shared" si="2"/>
        <v>-5</v>
      </c>
    </row>
    <row r="114" spans="19:21" ht="14.65" thickBot="1" x14ac:dyDescent="0.5">
      <c r="S114" s="37">
        <f t="shared" si="3"/>
        <v>183.76859583704854</v>
      </c>
      <c r="U114" s="26">
        <f t="shared" si="2"/>
        <v>-5</v>
      </c>
    </row>
    <row r="115" spans="19:21" ht="14.65" thickBot="1" x14ac:dyDescent="0.5">
      <c r="S115" s="37">
        <f t="shared" si="3"/>
        <v>185.60628179541902</v>
      </c>
      <c r="U115" s="26">
        <f t="shared" si="2"/>
        <v>-5</v>
      </c>
    </row>
    <row r="116" spans="19:21" ht="14.65" thickBot="1" x14ac:dyDescent="0.5">
      <c r="S116" s="37">
        <f t="shared" si="3"/>
        <v>187.4623446133732</v>
      </c>
      <c r="U116" s="26">
        <f t="shared" si="2"/>
        <v>-5</v>
      </c>
    </row>
    <row r="117" spans="19:21" ht="14.65" thickBot="1" x14ac:dyDescent="0.5">
      <c r="S117" s="37">
        <f t="shared" si="3"/>
        <v>189.33696805950694</v>
      </c>
      <c r="U117" s="26">
        <f t="shared" si="2"/>
        <v>-5</v>
      </c>
    </row>
    <row r="118" spans="19:21" ht="14.65" thickBot="1" x14ac:dyDescent="0.5">
      <c r="S118" s="37">
        <f t="shared" si="3"/>
        <v>191.23033774010202</v>
      </c>
      <c r="U118" s="26">
        <f t="shared" si="2"/>
        <v>-5</v>
      </c>
    </row>
    <row r="119" spans="19:21" ht="14.65" thickBot="1" x14ac:dyDescent="0.5">
      <c r="S119" s="37">
        <f t="shared" si="3"/>
        <v>193.14264111750305</v>
      </c>
      <c r="U119" s="26">
        <f t="shared" si="2"/>
        <v>-5</v>
      </c>
    </row>
    <row r="120" spans="19:21" ht="14.65" thickBot="1" x14ac:dyDescent="0.5">
      <c r="S120" s="37">
        <f t="shared" si="3"/>
        <v>195.07406752867809</v>
      </c>
      <c r="U120" s="26">
        <f t="shared" si="2"/>
        <v>-5</v>
      </c>
    </row>
    <row r="121" spans="19:21" ht="14.65" thickBot="1" x14ac:dyDescent="0.5">
      <c r="S121" s="37">
        <f t="shared" si="3"/>
        <v>197.02480820396488</v>
      </c>
      <c r="U121" s="26">
        <f t="shared" si="2"/>
        <v>-5</v>
      </c>
    </row>
    <row r="122" spans="19:21" ht="14.65" thickBot="1" x14ac:dyDescent="0.5">
      <c r="S122" s="37">
        <f t="shared" si="3"/>
        <v>198.99505628600454</v>
      </c>
      <c r="U122" s="26">
        <f t="shared" si="2"/>
        <v>-5</v>
      </c>
    </row>
    <row r="123" spans="19:21" ht="14.65" thickBot="1" x14ac:dyDescent="0.5">
      <c r="S123" s="37">
        <f t="shared" si="3"/>
        <v>200.9850068488646</v>
      </c>
      <c r="U123" s="26">
        <f t="shared" si="2"/>
        <v>-5</v>
      </c>
    </row>
    <row r="124" spans="19:21" ht="14.65" thickBot="1" x14ac:dyDescent="0.5">
      <c r="S124" s="37">
        <f t="shared" si="3"/>
        <v>202.99485691735325</v>
      </c>
      <c r="U124" s="26">
        <f t="shared" si="2"/>
        <v>-5</v>
      </c>
    </row>
    <row r="125" spans="19:21" ht="14.65" thickBot="1" x14ac:dyDescent="0.5">
      <c r="S125" s="37">
        <f t="shared" si="3"/>
        <v>205.02480548652679</v>
      </c>
      <c r="U125" s="26">
        <f t="shared" si="2"/>
        <v>-5</v>
      </c>
    </row>
    <row r="126" spans="19:21" ht="14.65" thickBot="1" x14ac:dyDescent="0.5">
      <c r="S126" s="37">
        <f t="shared" si="3"/>
        <v>207.07505354139207</v>
      </c>
      <c r="U126" s="26">
        <f t="shared" si="2"/>
        <v>-5</v>
      </c>
    </row>
    <row r="127" spans="19:21" ht="14.65" thickBot="1" x14ac:dyDescent="0.5">
      <c r="S127" s="37">
        <f t="shared" si="3"/>
        <v>209.145804076806</v>
      </c>
      <c r="U127" s="26">
        <f t="shared" si="2"/>
        <v>-5</v>
      </c>
    </row>
    <row r="128" spans="19:21" ht="14.65" thickBot="1" x14ac:dyDescent="0.5">
      <c r="S128" s="37">
        <f t="shared" si="3"/>
        <v>211.23726211757406</v>
      </c>
      <c r="U128" s="26">
        <f t="shared" si="2"/>
        <v>-5</v>
      </c>
    </row>
    <row r="129" spans="19:21" ht="14.65" thickBot="1" x14ac:dyDescent="0.5">
      <c r="S129" s="37">
        <f t="shared" si="3"/>
        <v>213.34963473874981</v>
      </c>
      <c r="U129" s="26">
        <f t="shared" si="2"/>
        <v>-5</v>
      </c>
    </row>
    <row r="130" spans="19:21" ht="14.65" thickBot="1" x14ac:dyDescent="0.5">
      <c r="S130" s="37">
        <f t="shared" si="3"/>
        <v>215.48313108613732</v>
      </c>
      <c r="U130" s="26">
        <f t="shared" si="2"/>
        <v>-5</v>
      </c>
    </row>
    <row r="131" spans="19:21" ht="14.65" thickBot="1" x14ac:dyDescent="0.5">
      <c r="S131" s="37">
        <f t="shared" si="3"/>
        <v>217.63796239699869</v>
      </c>
      <c r="U131" s="26">
        <f t="shared" si="2"/>
        <v>-5</v>
      </c>
    </row>
    <row r="132" spans="19:21" ht="14.65" thickBot="1" x14ac:dyDescent="0.5">
      <c r="S132" s="37">
        <f t="shared" si="3"/>
        <v>219.81434202096867</v>
      </c>
      <c r="U132" s="26">
        <f t="shared" si="2"/>
        <v>-5</v>
      </c>
    </row>
    <row r="133" spans="19:21" ht="14.65" thickBot="1" x14ac:dyDescent="0.5">
      <c r="S133" s="37">
        <f t="shared" si="3"/>
        <v>222.01248544117834</v>
      </c>
      <c r="U133" s="26">
        <f t="shared" si="2"/>
        <v>-5</v>
      </c>
    </row>
    <row r="134" spans="19:21" ht="14.65" thickBot="1" x14ac:dyDescent="0.5">
      <c r="S134" s="37">
        <f t="shared" si="3"/>
        <v>224.23261029559012</v>
      </c>
      <c r="U134" s="26">
        <f t="shared" si="2"/>
        <v>-5</v>
      </c>
    </row>
    <row r="135" spans="19:21" ht="14.65" thickBot="1" x14ac:dyDescent="0.5">
      <c r="S135" s="37">
        <f t="shared" si="3"/>
        <v>226.47493639854602</v>
      </c>
      <c r="U135" s="26">
        <f t="shared" si="2"/>
        <v>-5</v>
      </c>
    </row>
    <row r="136" spans="19:21" ht="14.65" thickBot="1" x14ac:dyDescent="0.5">
      <c r="S136" s="37">
        <f t="shared" si="3"/>
        <v>228.73968576253148</v>
      </c>
      <c r="U136" s="26">
        <f t="shared" si="2"/>
        <v>-5</v>
      </c>
    </row>
    <row r="137" spans="19:21" ht="14.65" thickBot="1" x14ac:dyDescent="0.5">
      <c r="S137" s="37">
        <f t="shared" si="3"/>
        <v>231.02708262015679</v>
      </c>
      <c r="U137" s="26">
        <f t="shared" si="2"/>
        <v>-5</v>
      </c>
    </row>
    <row r="138" spans="19:21" ht="14.65" thickBot="1" x14ac:dyDescent="0.5">
      <c r="S138" s="37">
        <f t="shared" si="3"/>
        <v>233.33735344635835</v>
      </c>
      <c r="U138" s="26">
        <f t="shared" si="2"/>
        <v>-5</v>
      </c>
    </row>
    <row r="139" spans="19:21" ht="14.65" thickBot="1" x14ac:dyDescent="0.5">
      <c r="S139" s="37">
        <f t="shared" si="3"/>
        <v>235.67072698082194</v>
      </c>
      <c r="U139" s="26">
        <f t="shared" si="2"/>
        <v>-5</v>
      </c>
    </row>
    <row r="140" spans="19:21" ht="14.65" thickBot="1" x14ac:dyDescent="0.5">
      <c r="S140" s="37">
        <f t="shared" si="3"/>
        <v>238.02743425063017</v>
      </c>
      <c r="U140" s="26">
        <f t="shared" si="2"/>
        <v>-5</v>
      </c>
    </row>
    <row r="141" spans="19:21" ht="14.65" thickBot="1" x14ac:dyDescent="0.5">
      <c r="S141" s="37">
        <f t="shared" si="3"/>
        <v>240.40770859313648</v>
      </c>
      <c r="U141" s="26">
        <f t="shared" si="2"/>
        <v>-5</v>
      </c>
    </row>
    <row r="142" spans="19:21" ht="14.65" thickBot="1" x14ac:dyDescent="0.5">
      <c r="S142" s="37">
        <f t="shared" si="3"/>
        <v>242.81178567906784</v>
      </c>
      <c r="U142" s="26">
        <f t="shared" si="2"/>
        <v>-5</v>
      </c>
    </row>
    <row r="143" spans="19:21" ht="14.65" thickBot="1" x14ac:dyDescent="0.5">
      <c r="S143" s="37">
        <f t="shared" si="3"/>
        <v>245.23990353585853</v>
      </c>
      <c r="U143" s="26">
        <f t="shared" si="2"/>
        <v>-5</v>
      </c>
    </row>
    <row r="144" spans="19:21" ht="14.65" thickBot="1" x14ac:dyDescent="0.5">
      <c r="S144" s="37">
        <f t="shared" si="3"/>
        <v>247.69230257121711</v>
      </c>
      <c r="U144" s="26">
        <f t="shared" si="2"/>
        <v>-5</v>
      </c>
    </row>
    <row r="145" spans="19:21" ht="14.65" thickBot="1" x14ac:dyDescent="0.5">
      <c r="S145" s="37">
        <f t="shared" si="3"/>
        <v>250.16922559692929</v>
      </c>
      <c r="U145" s="26">
        <f t="shared" si="2"/>
        <v>-5</v>
      </c>
    </row>
    <row r="146" spans="19:21" ht="14.65" thickBot="1" x14ac:dyDescent="0.5">
      <c r="S146" s="37">
        <f t="shared" si="3"/>
        <v>252.67091785289858</v>
      </c>
      <c r="U146" s="26">
        <f t="shared" ref="U146:U209" si="4">IF(S146&lt;$D$7,($D$7-S146)-$D$8,-$D$8)</f>
        <v>-5</v>
      </c>
    </row>
    <row r="147" spans="19:21" ht="14.65" thickBot="1" x14ac:dyDescent="0.5">
      <c r="S147" s="37">
        <f t="shared" ref="S147:S210" si="5">S146*(1.01)</f>
        <v>255.19762703142757</v>
      </c>
      <c r="U147" s="26">
        <f t="shared" si="4"/>
        <v>-5</v>
      </c>
    </row>
    <row r="148" spans="19:21" ht="14.65" thickBot="1" x14ac:dyDescent="0.5">
      <c r="S148" s="37">
        <f t="shared" si="5"/>
        <v>257.74960330174184</v>
      </c>
      <c r="U148" s="26">
        <f t="shared" si="4"/>
        <v>-5</v>
      </c>
    </row>
    <row r="149" spans="19:21" ht="14.65" thickBot="1" x14ac:dyDescent="0.5">
      <c r="S149" s="37">
        <f t="shared" si="5"/>
        <v>260.32709933475928</v>
      </c>
      <c r="U149" s="26">
        <f t="shared" si="4"/>
        <v>-5</v>
      </c>
    </row>
    <row r="150" spans="19:21" ht="14.65" thickBot="1" x14ac:dyDescent="0.5">
      <c r="S150" s="37">
        <f t="shared" si="5"/>
        <v>262.9303703281069</v>
      </c>
      <c r="U150" s="26">
        <f t="shared" si="4"/>
        <v>-5</v>
      </c>
    </row>
    <row r="151" spans="19:21" ht="14.65" thickBot="1" x14ac:dyDescent="0.5">
      <c r="S151" s="37">
        <f t="shared" si="5"/>
        <v>265.559674031388</v>
      </c>
      <c r="U151" s="26">
        <f t="shared" si="4"/>
        <v>-5</v>
      </c>
    </row>
    <row r="152" spans="19:21" ht="14.65" thickBot="1" x14ac:dyDescent="0.5">
      <c r="S152" s="37">
        <f t="shared" si="5"/>
        <v>268.21527077170191</v>
      </c>
      <c r="U152" s="26">
        <f t="shared" si="4"/>
        <v>-5</v>
      </c>
    </row>
    <row r="153" spans="19:21" ht="14.65" thickBot="1" x14ac:dyDescent="0.5">
      <c r="S153" s="37">
        <f t="shared" si="5"/>
        <v>270.89742347941893</v>
      </c>
      <c r="U153" s="26">
        <f t="shared" si="4"/>
        <v>-5</v>
      </c>
    </row>
    <row r="154" spans="19:21" ht="14.65" thickBot="1" x14ac:dyDescent="0.5">
      <c r="S154" s="37">
        <f t="shared" si="5"/>
        <v>273.60639771421313</v>
      </c>
      <c r="U154" s="26">
        <f t="shared" si="4"/>
        <v>-5</v>
      </c>
    </row>
    <row r="155" spans="19:21" ht="14.65" thickBot="1" x14ac:dyDescent="0.5">
      <c r="S155" s="37">
        <f t="shared" si="5"/>
        <v>276.34246169135525</v>
      </c>
      <c r="U155" s="26">
        <f t="shared" si="4"/>
        <v>-5</v>
      </c>
    </row>
    <row r="156" spans="19:21" ht="14.65" thickBot="1" x14ac:dyDescent="0.5">
      <c r="S156" s="37">
        <f t="shared" si="5"/>
        <v>279.10588630826879</v>
      </c>
      <c r="U156" s="26">
        <f t="shared" si="4"/>
        <v>-5</v>
      </c>
    </row>
    <row r="157" spans="19:21" ht="14.65" thickBot="1" x14ac:dyDescent="0.5">
      <c r="S157" s="37">
        <f t="shared" si="5"/>
        <v>281.89694517135149</v>
      </c>
      <c r="U157" s="26">
        <f t="shared" si="4"/>
        <v>-5</v>
      </c>
    </row>
    <row r="158" spans="19:21" ht="14.65" thickBot="1" x14ac:dyDescent="0.5">
      <c r="S158" s="37">
        <f t="shared" si="5"/>
        <v>284.71591462306503</v>
      </c>
      <c r="U158" s="26">
        <f t="shared" si="4"/>
        <v>-5</v>
      </c>
    </row>
    <row r="159" spans="19:21" ht="14.65" thickBot="1" x14ac:dyDescent="0.5">
      <c r="S159" s="37">
        <f t="shared" si="5"/>
        <v>287.56307376929567</v>
      </c>
      <c r="U159" s="26">
        <f t="shared" si="4"/>
        <v>-5</v>
      </c>
    </row>
    <row r="160" spans="19:21" ht="14.65" thickBot="1" x14ac:dyDescent="0.5">
      <c r="S160" s="37">
        <f t="shared" si="5"/>
        <v>290.43870450698864</v>
      </c>
      <c r="U160" s="26">
        <f t="shared" si="4"/>
        <v>-5</v>
      </c>
    </row>
    <row r="161" spans="19:21" ht="14.65" thickBot="1" x14ac:dyDescent="0.5">
      <c r="S161" s="37">
        <f t="shared" si="5"/>
        <v>293.34309155205852</v>
      </c>
      <c r="U161" s="26">
        <f t="shared" si="4"/>
        <v>-5</v>
      </c>
    </row>
    <row r="162" spans="19:21" ht="14.65" thickBot="1" x14ac:dyDescent="0.5">
      <c r="S162" s="37">
        <f t="shared" si="5"/>
        <v>296.27652246757913</v>
      </c>
      <c r="U162" s="26">
        <f t="shared" si="4"/>
        <v>-5</v>
      </c>
    </row>
    <row r="163" spans="19:21" ht="14.65" thickBot="1" x14ac:dyDescent="0.5">
      <c r="S163" s="37">
        <f t="shared" si="5"/>
        <v>299.23928769225495</v>
      </c>
      <c r="U163" s="26">
        <f t="shared" si="4"/>
        <v>-5</v>
      </c>
    </row>
    <row r="164" spans="19:21" ht="14.65" thickBot="1" x14ac:dyDescent="0.5">
      <c r="S164" s="37">
        <f t="shared" si="5"/>
        <v>302.23168056917751</v>
      </c>
      <c r="U164" s="26">
        <f t="shared" si="4"/>
        <v>-5</v>
      </c>
    </row>
    <row r="165" spans="19:21" ht="14.65" thickBot="1" x14ac:dyDescent="0.5">
      <c r="S165" s="37">
        <f t="shared" si="5"/>
        <v>305.2539973748693</v>
      </c>
      <c r="U165" s="26">
        <f t="shared" si="4"/>
        <v>-5</v>
      </c>
    </row>
    <row r="166" spans="19:21" ht="14.65" thickBot="1" x14ac:dyDescent="0.5">
      <c r="S166" s="37">
        <f t="shared" si="5"/>
        <v>308.30653734861801</v>
      </c>
      <c r="U166" s="26">
        <f t="shared" si="4"/>
        <v>-5</v>
      </c>
    </row>
    <row r="167" spans="19:21" ht="14.65" thickBot="1" x14ac:dyDescent="0.5">
      <c r="S167" s="37">
        <f t="shared" si="5"/>
        <v>311.3896027221042</v>
      </c>
      <c r="U167" s="26">
        <f t="shared" si="4"/>
        <v>-5</v>
      </c>
    </row>
    <row r="168" spans="19:21" ht="14.65" thickBot="1" x14ac:dyDescent="0.5">
      <c r="S168" s="37">
        <f t="shared" si="5"/>
        <v>314.50349874932522</v>
      </c>
      <c r="U168" s="26">
        <f t="shared" si="4"/>
        <v>-5</v>
      </c>
    </row>
    <row r="169" spans="19:21" ht="14.65" thickBot="1" x14ac:dyDescent="0.5">
      <c r="S169" s="37">
        <f t="shared" si="5"/>
        <v>317.64853373681848</v>
      </c>
      <c r="U169" s="26">
        <f t="shared" si="4"/>
        <v>-5</v>
      </c>
    </row>
    <row r="170" spans="19:21" ht="14.65" thickBot="1" x14ac:dyDescent="0.5">
      <c r="S170" s="37">
        <f t="shared" si="5"/>
        <v>320.82501907418668</v>
      </c>
      <c r="U170" s="26">
        <f t="shared" si="4"/>
        <v>-5</v>
      </c>
    </row>
    <row r="171" spans="19:21" ht="14.65" thickBot="1" x14ac:dyDescent="0.5">
      <c r="S171" s="37">
        <f t="shared" si="5"/>
        <v>324.03326926492855</v>
      </c>
      <c r="U171" s="26">
        <f t="shared" si="4"/>
        <v>-5</v>
      </c>
    </row>
    <row r="172" spans="19:21" ht="14.65" thickBot="1" x14ac:dyDescent="0.5">
      <c r="S172" s="37">
        <f t="shared" si="5"/>
        <v>327.27360195757785</v>
      </c>
      <c r="U172" s="26">
        <f t="shared" si="4"/>
        <v>-5</v>
      </c>
    </row>
    <row r="173" spans="19:21" ht="14.65" thickBot="1" x14ac:dyDescent="0.5">
      <c r="S173" s="37">
        <f t="shared" si="5"/>
        <v>330.54633797715366</v>
      </c>
      <c r="U173" s="26">
        <f t="shared" si="4"/>
        <v>-5</v>
      </c>
    </row>
    <row r="174" spans="19:21" ht="14.65" thickBot="1" x14ac:dyDescent="0.5">
      <c r="S174" s="37">
        <f t="shared" si="5"/>
        <v>333.85180135692519</v>
      </c>
      <c r="U174" s="26">
        <f t="shared" si="4"/>
        <v>-5</v>
      </c>
    </row>
    <row r="175" spans="19:21" ht="14.65" thickBot="1" x14ac:dyDescent="0.5">
      <c r="S175" s="37">
        <f t="shared" si="5"/>
        <v>337.19031937049442</v>
      </c>
      <c r="U175" s="26">
        <f t="shared" si="4"/>
        <v>-5</v>
      </c>
    </row>
    <row r="176" spans="19:21" ht="14.65" thickBot="1" x14ac:dyDescent="0.5">
      <c r="S176" s="37">
        <f t="shared" si="5"/>
        <v>340.56222256419937</v>
      </c>
      <c r="U176" s="26">
        <f t="shared" si="4"/>
        <v>-5</v>
      </c>
    </row>
    <row r="177" spans="19:21" ht="14.65" thickBot="1" x14ac:dyDescent="0.5">
      <c r="S177" s="37">
        <f t="shared" si="5"/>
        <v>343.96784478984137</v>
      </c>
      <c r="U177" s="26">
        <f t="shared" si="4"/>
        <v>-5</v>
      </c>
    </row>
    <row r="178" spans="19:21" ht="14.65" thickBot="1" x14ac:dyDescent="0.5">
      <c r="S178" s="37">
        <f t="shared" si="5"/>
        <v>347.40752323773978</v>
      </c>
      <c r="U178" s="26">
        <f t="shared" si="4"/>
        <v>-5</v>
      </c>
    </row>
    <row r="179" spans="19:21" ht="14.65" thickBot="1" x14ac:dyDescent="0.5">
      <c r="S179" s="37">
        <f t="shared" si="5"/>
        <v>350.88159847011718</v>
      </c>
      <c r="U179" s="26">
        <f t="shared" si="4"/>
        <v>-5</v>
      </c>
    </row>
    <row r="180" spans="19:21" ht="14.65" thickBot="1" x14ac:dyDescent="0.5">
      <c r="S180" s="37">
        <f t="shared" si="5"/>
        <v>354.39041445481837</v>
      </c>
      <c r="U180" s="26">
        <f t="shared" si="4"/>
        <v>-5</v>
      </c>
    </row>
    <row r="181" spans="19:21" ht="14.65" thickBot="1" x14ac:dyDescent="0.5">
      <c r="S181" s="37">
        <f t="shared" si="5"/>
        <v>357.93431859936658</v>
      </c>
      <c r="U181" s="26">
        <f t="shared" si="4"/>
        <v>-5</v>
      </c>
    </row>
    <row r="182" spans="19:21" ht="14.65" thickBot="1" x14ac:dyDescent="0.5">
      <c r="S182" s="37">
        <f t="shared" si="5"/>
        <v>361.51366178536023</v>
      </c>
      <c r="U182" s="26">
        <f t="shared" si="4"/>
        <v>-5</v>
      </c>
    </row>
    <row r="183" spans="19:21" ht="14.65" thickBot="1" x14ac:dyDescent="0.5">
      <c r="S183" s="37">
        <f t="shared" si="5"/>
        <v>365.12879840321381</v>
      </c>
      <c r="U183" s="26">
        <f t="shared" si="4"/>
        <v>-5</v>
      </c>
    </row>
    <row r="184" spans="19:21" ht="14.65" thickBot="1" x14ac:dyDescent="0.5">
      <c r="S184" s="37">
        <f t="shared" si="5"/>
        <v>368.78008638724594</v>
      </c>
      <c r="U184" s="26">
        <f t="shared" si="4"/>
        <v>-5</v>
      </c>
    </row>
    <row r="185" spans="19:21" ht="14.65" thickBot="1" x14ac:dyDescent="0.5">
      <c r="S185" s="37">
        <f t="shared" si="5"/>
        <v>372.46788725111838</v>
      </c>
      <c r="U185" s="26">
        <f t="shared" si="4"/>
        <v>-5</v>
      </c>
    </row>
    <row r="186" spans="19:21" ht="14.65" thickBot="1" x14ac:dyDescent="0.5">
      <c r="S186" s="37">
        <f t="shared" si="5"/>
        <v>376.19256612362955</v>
      </c>
      <c r="U186" s="26">
        <f t="shared" si="4"/>
        <v>-5</v>
      </c>
    </row>
    <row r="187" spans="19:21" ht="14.65" thickBot="1" x14ac:dyDescent="0.5">
      <c r="S187" s="37">
        <f t="shared" si="5"/>
        <v>379.95449178486587</v>
      </c>
      <c r="U187" s="26">
        <f t="shared" si="4"/>
        <v>-5</v>
      </c>
    </row>
    <row r="188" spans="19:21" ht="14.65" thickBot="1" x14ac:dyDescent="0.5">
      <c r="S188" s="37">
        <f t="shared" si="5"/>
        <v>383.75403670271453</v>
      </c>
      <c r="U188" s="26">
        <f t="shared" si="4"/>
        <v>-5</v>
      </c>
    </row>
    <row r="189" spans="19:21" ht="14.65" thickBot="1" x14ac:dyDescent="0.5">
      <c r="S189" s="37">
        <f t="shared" si="5"/>
        <v>387.59157706974167</v>
      </c>
      <c r="U189" s="26">
        <f t="shared" si="4"/>
        <v>-5</v>
      </c>
    </row>
    <row r="190" spans="19:21" ht="14.65" thickBot="1" x14ac:dyDescent="0.5">
      <c r="S190" s="37">
        <f t="shared" si="5"/>
        <v>391.46749284043909</v>
      </c>
      <c r="U190" s="26">
        <f t="shared" si="4"/>
        <v>-5</v>
      </c>
    </row>
    <row r="191" spans="19:21" ht="14.65" thickBot="1" x14ac:dyDescent="0.5">
      <c r="S191" s="37">
        <f t="shared" si="5"/>
        <v>395.38216776884349</v>
      </c>
      <c r="U191" s="26">
        <f t="shared" si="4"/>
        <v>-5</v>
      </c>
    </row>
    <row r="192" spans="19:21" ht="14.65" thickBot="1" x14ac:dyDescent="0.5">
      <c r="S192" s="37">
        <f t="shared" si="5"/>
        <v>399.33598944653193</v>
      </c>
      <c r="U192" s="26">
        <f t="shared" si="4"/>
        <v>-5</v>
      </c>
    </row>
    <row r="193" spans="19:21" ht="14.65" thickBot="1" x14ac:dyDescent="0.5">
      <c r="S193" s="37">
        <f t="shared" si="5"/>
        <v>403.32934934099723</v>
      </c>
      <c r="U193" s="26">
        <f t="shared" si="4"/>
        <v>-5</v>
      </c>
    </row>
    <row r="194" spans="19:21" ht="14.65" thickBot="1" x14ac:dyDescent="0.5">
      <c r="S194" s="37">
        <f t="shared" si="5"/>
        <v>407.36264283440721</v>
      </c>
      <c r="U194" s="26">
        <f t="shared" si="4"/>
        <v>-5</v>
      </c>
    </row>
    <row r="195" spans="19:21" ht="14.65" thickBot="1" x14ac:dyDescent="0.5">
      <c r="S195" s="37">
        <f t="shared" si="5"/>
        <v>411.4362692627513</v>
      </c>
      <c r="U195" s="26">
        <f t="shared" si="4"/>
        <v>-5</v>
      </c>
    </row>
    <row r="196" spans="19:21" ht="14.65" thickBot="1" x14ac:dyDescent="0.5">
      <c r="S196" s="37">
        <f t="shared" si="5"/>
        <v>415.55063195537883</v>
      </c>
      <c r="U196" s="26">
        <f t="shared" si="4"/>
        <v>-5</v>
      </c>
    </row>
    <row r="197" spans="19:21" ht="14.65" thickBot="1" x14ac:dyDescent="0.5">
      <c r="S197" s="37">
        <f t="shared" si="5"/>
        <v>419.70613827493264</v>
      </c>
      <c r="U197" s="26">
        <f t="shared" si="4"/>
        <v>-5</v>
      </c>
    </row>
    <row r="198" spans="19:21" ht="14.65" thickBot="1" x14ac:dyDescent="0.5">
      <c r="S198" s="37">
        <f t="shared" si="5"/>
        <v>423.90319965768197</v>
      </c>
      <c r="U198" s="26">
        <f t="shared" si="4"/>
        <v>-5</v>
      </c>
    </row>
    <row r="199" spans="19:21" ht="14.65" thickBot="1" x14ac:dyDescent="0.5">
      <c r="S199" s="37">
        <f t="shared" si="5"/>
        <v>428.14223165425881</v>
      </c>
      <c r="U199" s="26">
        <f t="shared" si="4"/>
        <v>-5</v>
      </c>
    </row>
    <row r="200" spans="19:21" ht="14.65" thickBot="1" x14ac:dyDescent="0.5">
      <c r="S200" s="37">
        <f t="shared" si="5"/>
        <v>432.42365397080141</v>
      </c>
      <c r="U200" s="26">
        <f t="shared" si="4"/>
        <v>-5</v>
      </c>
    </row>
    <row r="201" spans="19:21" ht="14.65" thickBot="1" x14ac:dyDescent="0.5">
      <c r="S201" s="37">
        <f t="shared" si="5"/>
        <v>436.74789051050942</v>
      </c>
      <c r="U201" s="26">
        <f t="shared" si="4"/>
        <v>-5</v>
      </c>
    </row>
    <row r="202" spans="19:21" ht="14.65" thickBot="1" x14ac:dyDescent="0.5">
      <c r="S202" s="37">
        <f t="shared" si="5"/>
        <v>441.11536941561451</v>
      </c>
      <c r="U202" s="26">
        <f t="shared" si="4"/>
        <v>-5</v>
      </c>
    </row>
    <row r="203" spans="19:21" ht="14.65" thickBot="1" x14ac:dyDescent="0.5">
      <c r="S203" s="37">
        <f t="shared" si="5"/>
        <v>445.52652310977066</v>
      </c>
      <c r="U203" s="26">
        <f t="shared" si="4"/>
        <v>-5</v>
      </c>
    </row>
    <row r="204" spans="19:21" ht="14.65" thickBot="1" x14ac:dyDescent="0.5">
      <c r="S204" s="37">
        <f t="shared" si="5"/>
        <v>449.98178834086838</v>
      </c>
      <c r="U204" s="26">
        <f t="shared" si="4"/>
        <v>-5</v>
      </c>
    </row>
    <row r="205" spans="19:21" ht="14.65" thickBot="1" x14ac:dyDescent="0.5">
      <c r="S205" s="37">
        <f t="shared" si="5"/>
        <v>454.48160622427707</v>
      </c>
      <c r="U205" s="26">
        <f t="shared" si="4"/>
        <v>-5</v>
      </c>
    </row>
    <row r="206" spans="19:21" ht="14.65" thickBot="1" x14ac:dyDescent="0.5">
      <c r="S206" s="37">
        <f t="shared" si="5"/>
        <v>459.02642228651985</v>
      </c>
      <c r="U206" s="26">
        <f t="shared" si="4"/>
        <v>-5</v>
      </c>
    </row>
    <row r="207" spans="19:21" ht="14.65" thickBot="1" x14ac:dyDescent="0.5">
      <c r="S207" s="37">
        <f t="shared" si="5"/>
        <v>463.61668650938503</v>
      </c>
      <c r="U207" s="26">
        <f t="shared" si="4"/>
        <v>-5</v>
      </c>
    </row>
    <row r="208" spans="19:21" ht="14.65" thickBot="1" x14ac:dyDescent="0.5">
      <c r="S208" s="37">
        <f t="shared" si="5"/>
        <v>468.25285337447889</v>
      </c>
      <c r="U208" s="26">
        <f t="shared" si="4"/>
        <v>-5</v>
      </c>
    </row>
    <row r="209" spans="19:21" ht="14.65" thickBot="1" x14ac:dyDescent="0.5">
      <c r="S209" s="37">
        <f t="shared" si="5"/>
        <v>472.93538190822369</v>
      </c>
      <c r="U209" s="26">
        <f t="shared" si="4"/>
        <v>-5</v>
      </c>
    </row>
    <row r="210" spans="19:21" ht="14.65" thickBot="1" x14ac:dyDescent="0.5">
      <c r="S210" s="37">
        <f t="shared" si="5"/>
        <v>477.66473572730592</v>
      </c>
      <c r="U210" s="26">
        <f t="shared" ref="U210:U273" si="6">IF(S210&lt;$D$7,($D$7-S210)-$D$8,-$D$8)</f>
        <v>-5</v>
      </c>
    </row>
    <row r="211" spans="19:21" ht="14.65" thickBot="1" x14ac:dyDescent="0.5">
      <c r="S211" s="37">
        <f t="shared" ref="S211:S274" si="7">S210*(1.01)</f>
        <v>482.441383084579</v>
      </c>
      <c r="U211" s="26">
        <f t="shared" si="6"/>
        <v>-5</v>
      </c>
    </row>
    <row r="212" spans="19:21" ht="14.65" thickBot="1" x14ac:dyDescent="0.5">
      <c r="S212" s="37">
        <f t="shared" si="7"/>
        <v>487.2657969154248</v>
      </c>
      <c r="U212" s="26">
        <f t="shared" si="6"/>
        <v>-5</v>
      </c>
    </row>
    <row r="213" spans="19:21" ht="14.65" thickBot="1" x14ac:dyDescent="0.5">
      <c r="S213" s="37">
        <f t="shared" si="7"/>
        <v>492.13845488457906</v>
      </c>
      <c r="U213" s="26">
        <f t="shared" si="6"/>
        <v>-5</v>
      </c>
    </row>
    <row r="214" spans="19:21" ht="14.65" thickBot="1" x14ac:dyDescent="0.5">
      <c r="S214" s="37">
        <f t="shared" si="7"/>
        <v>497.05983943342488</v>
      </c>
      <c r="U214" s="26">
        <f t="shared" si="6"/>
        <v>-5</v>
      </c>
    </row>
    <row r="215" spans="19:21" ht="14.65" thickBot="1" x14ac:dyDescent="0.5">
      <c r="S215" s="37">
        <f t="shared" si="7"/>
        <v>502.03043782775916</v>
      </c>
      <c r="U215" s="26">
        <f t="shared" si="6"/>
        <v>-5</v>
      </c>
    </row>
    <row r="216" spans="19:21" ht="14.65" thickBot="1" x14ac:dyDescent="0.5">
      <c r="S216" s="37">
        <f t="shared" si="7"/>
        <v>507.05074220603677</v>
      </c>
      <c r="U216" s="26">
        <f t="shared" si="6"/>
        <v>-5</v>
      </c>
    </row>
    <row r="217" spans="19:21" ht="14.65" thickBot="1" x14ac:dyDescent="0.5">
      <c r="S217" s="37">
        <f t="shared" si="7"/>
        <v>512.12124962809719</v>
      </c>
      <c r="U217" s="26">
        <f t="shared" si="6"/>
        <v>-5</v>
      </c>
    </row>
    <row r="218" spans="19:21" ht="14.65" thickBot="1" x14ac:dyDescent="0.5">
      <c r="S218" s="37">
        <f t="shared" si="7"/>
        <v>517.24246212437822</v>
      </c>
      <c r="U218" s="26">
        <f t="shared" si="6"/>
        <v>-5</v>
      </c>
    </row>
    <row r="219" spans="19:21" ht="14.65" thickBot="1" x14ac:dyDescent="0.5">
      <c r="S219" s="37">
        <f t="shared" si="7"/>
        <v>522.41488674562197</v>
      </c>
      <c r="U219" s="26">
        <f t="shared" si="6"/>
        <v>-5</v>
      </c>
    </row>
    <row r="220" spans="19:21" ht="14.65" thickBot="1" x14ac:dyDescent="0.5">
      <c r="S220" s="37">
        <f t="shared" si="7"/>
        <v>527.63903561307825</v>
      </c>
      <c r="U220" s="26">
        <f t="shared" si="6"/>
        <v>-5</v>
      </c>
    </row>
    <row r="221" spans="19:21" ht="14.65" thickBot="1" x14ac:dyDescent="0.5">
      <c r="S221" s="37">
        <f t="shared" si="7"/>
        <v>532.91542596920908</v>
      </c>
      <c r="U221" s="26">
        <f t="shared" si="6"/>
        <v>-5</v>
      </c>
    </row>
    <row r="222" spans="19:21" ht="14.65" thickBot="1" x14ac:dyDescent="0.5">
      <c r="S222" s="37">
        <f t="shared" si="7"/>
        <v>538.24458022890121</v>
      </c>
      <c r="U222" s="26">
        <f t="shared" si="6"/>
        <v>-5</v>
      </c>
    </row>
    <row r="223" spans="19:21" ht="14.65" thickBot="1" x14ac:dyDescent="0.5">
      <c r="S223" s="37">
        <f t="shared" si="7"/>
        <v>543.62702603119021</v>
      </c>
      <c r="U223" s="26">
        <f t="shared" si="6"/>
        <v>-5</v>
      </c>
    </row>
    <row r="224" spans="19:21" ht="14.65" thickBot="1" x14ac:dyDescent="0.5">
      <c r="S224" s="37">
        <f t="shared" si="7"/>
        <v>549.06329629150207</v>
      </c>
      <c r="U224" s="26">
        <f t="shared" si="6"/>
        <v>-5</v>
      </c>
    </row>
    <row r="225" spans="19:21" ht="14.65" thickBot="1" x14ac:dyDescent="0.5">
      <c r="S225" s="37">
        <f t="shared" si="7"/>
        <v>554.55392925441708</v>
      </c>
      <c r="U225" s="26">
        <f t="shared" si="6"/>
        <v>-5</v>
      </c>
    </row>
    <row r="226" spans="19:21" ht="14.65" thickBot="1" x14ac:dyDescent="0.5">
      <c r="S226" s="37">
        <f t="shared" si="7"/>
        <v>560.09946854696125</v>
      </c>
      <c r="U226" s="26">
        <f t="shared" si="6"/>
        <v>-5</v>
      </c>
    </row>
    <row r="227" spans="19:21" ht="14.65" thickBot="1" x14ac:dyDescent="0.5">
      <c r="S227" s="37">
        <f t="shared" si="7"/>
        <v>565.70046323243082</v>
      </c>
      <c r="U227" s="26">
        <f t="shared" si="6"/>
        <v>-5</v>
      </c>
    </row>
    <row r="228" spans="19:21" ht="14.65" thickBot="1" x14ac:dyDescent="0.5">
      <c r="S228" s="37">
        <f t="shared" si="7"/>
        <v>571.35746786475511</v>
      </c>
      <c r="U228" s="26">
        <f t="shared" si="6"/>
        <v>-5</v>
      </c>
    </row>
    <row r="229" spans="19:21" ht="14.65" thickBot="1" x14ac:dyDescent="0.5">
      <c r="S229" s="37">
        <f t="shared" si="7"/>
        <v>577.07104254340265</v>
      </c>
      <c r="U229" s="26">
        <f t="shared" si="6"/>
        <v>-5</v>
      </c>
    </row>
    <row r="230" spans="19:21" ht="14.65" thickBot="1" x14ac:dyDescent="0.5">
      <c r="S230" s="37">
        <f t="shared" si="7"/>
        <v>582.84175296883666</v>
      </c>
      <c r="U230" s="26">
        <f t="shared" si="6"/>
        <v>-5</v>
      </c>
    </row>
    <row r="231" spans="19:21" ht="14.65" thickBot="1" x14ac:dyDescent="0.5">
      <c r="S231" s="37">
        <f t="shared" si="7"/>
        <v>588.67017049852507</v>
      </c>
      <c r="U231" s="26">
        <f t="shared" si="6"/>
        <v>-5</v>
      </c>
    </row>
    <row r="232" spans="19:21" ht="14.65" thickBot="1" x14ac:dyDescent="0.5">
      <c r="S232" s="37">
        <f t="shared" si="7"/>
        <v>594.55687220351035</v>
      </c>
      <c r="U232" s="26">
        <f t="shared" si="6"/>
        <v>-5</v>
      </c>
    </row>
    <row r="233" spans="19:21" ht="14.65" thickBot="1" x14ac:dyDescent="0.5">
      <c r="S233" s="37">
        <f t="shared" si="7"/>
        <v>600.50244092554544</v>
      </c>
      <c r="U233" s="26">
        <f t="shared" si="6"/>
        <v>-5</v>
      </c>
    </row>
    <row r="234" spans="19:21" ht="14.65" thickBot="1" x14ac:dyDescent="0.5">
      <c r="S234" s="37">
        <f t="shared" si="7"/>
        <v>606.50746533480094</v>
      </c>
      <c r="U234" s="26">
        <f t="shared" si="6"/>
        <v>-5</v>
      </c>
    </row>
    <row r="235" spans="19:21" ht="14.65" thickBot="1" x14ac:dyDescent="0.5">
      <c r="S235" s="37">
        <f t="shared" si="7"/>
        <v>612.57253998814895</v>
      </c>
      <c r="U235" s="26">
        <f t="shared" si="6"/>
        <v>-5</v>
      </c>
    </row>
    <row r="236" spans="19:21" ht="14.65" thickBot="1" x14ac:dyDescent="0.5">
      <c r="S236" s="37">
        <f t="shared" si="7"/>
        <v>618.69826538803045</v>
      </c>
      <c r="U236" s="26">
        <f t="shared" si="6"/>
        <v>-5</v>
      </c>
    </row>
    <row r="237" spans="19:21" ht="14.65" thickBot="1" x14ac:dyDescent="0.5">
      <c r="S237" s="37">
        <f t="shared" si="7"/>
        <v>624.88524804191081</v>
      </c>
      <c r="U237" s="26">
        <f t="shared" si="6"/>
        <v>-5</v>
      </c>
    </row>
    <row r="238" spans="19:21" ht="14.65" thickBot="1" x14ac:dyDescent="0.5">
      <c r="S238" s="37">
        <f t="shared" si="7"/>
        <v>631.13410052232996</v>
      </c>
      <c r="U238" s="26">
        <f t="shared" si="6"/>
        <v>-5</v>
      </c>
    </row>
    <row r="239" spans="19:21" ht="14.65" thickBot="1" x14ac:dyDescent="0.5">
      <c r="S239" s="37">
        <f t="shared" si="7"/>
        <v>637.44544152755327</v>
      </c>
      <c r="U239" s="26">
        <f t="shared" si="6"/>
        <v>-5</v>
      </c>
    </row>
    <row r="240" spans="19:21" ht="14.65" thickBot="1" x14ac:dyDescent="0.5">
      <c r="S240" s="37">
        <f t="shared" si="7"/>
        <v>643.81989594282879</v>
      </c>
      <c r="U240" s="26">
        <f t="shared" si="6"/>
        <v>-5</v>
      </c>
    </row>
    <row r="241" spans="19:21" ht="14.65" thickBot="1" x14ac:dyDescent="0.5">
      <c r="S241" s="37">
        <f t="shared" si="7"/>
        <v>650.25809490225708</v>
      </c>
      <c r="U241" s="26">
        <f t="shared" si="6"/>
        <v>-5</v>
      </c>
    </row>
    <row r="242" spans="19:21" ht="14.65" thickBot="1" x14ac:dyDescent="0.5">
      <c r="S242" s="37">
        <f t="shared" si="7"/>
        <v>656.76067585127964</v>
      </c>
      <c r="U242" s="26">
        <f t="shared" si="6"/>
        <v>-5</v>
      </c>
    </row>
    <row r="243" spans="19:21" ht="14.65" thickBot="1" x14ac:dyDescent="0.5">
      <c r="S243" s="37">
        <f t="shared" si="7"/>
        <v>663.3282826097925</v>
      </c>
      <c r="U243" s="26">
        <f t="shared" si="6"/>
        <v>-5</v>
      </c>
    </row>
    <row r="244" spans="19:21" ht="14.65" thickBot="1" x14ac:dyDescent="0.5">
      <c r="S244" s="37">
        <f t="shared" si="7"/>
        <v>669.96156543589041</v>
      </c>
      <c r="U244" s="26">
        <f t="shared" si="6"/>
        <v>-5</v>
      </c>
    </row>
    <row r="245" spans="19:21" ht="14.65" thickBot="1" x14ac:dyDescent="0.5">
      <c r="S245" s="37">
        <f t="shared" si="7"/>
        <v>676.66118109024933</v>
      </c>
      <c r="U245" s="26">
        <f t="shared" si="6"/>
        <v>-5</v>
      </c>
    </row>
    <row r="246" spans="19:21" ht="14.65" thickBot="1" x14ac:dyDescent="0.5">
      <c r="S246" s="37">
        <f t="shared" si="7"/>
        <v>683.42779290115186</v>
      </c>
      <c r="U246" s="26">
        <f t="shared" si="6"/>
        <v>-5</v>
      </c>
    </row>
    <row r="247" spans="19:21" ht="14.65" thickBot="1" x14ac:dyDescent="0.5">
      <c r="S247" s="37">
        <f t="shared" si="7"/>
        <v>690.26207083016334</v>
      </c>
      <c r="U247" s="26">
        <f t="shared" si="6"/>
        <v>-5</v>
      </c>
    </row>
    <row r="248" spans="19:21" ht="14.65" thickBot="1" x14ac:dyDescent="0.5">
      <c r="S248" s="37">
        <f t="shared" si="7"/>
        <v>697.16469153846492</v>
      </c>
      <c r="U248" s="26">
        <f t="shared" si="6"/>
        <v>-5</v>
      </c>
    </row>
    <row r="249" spans="19:21" ht="14.65" thickBot="1" x14ac:dyDescent="0.5">
      <c r="S249" s="37">
        <f t="shared" si="7"/>
        <v>704.13633845384959</v>
      </c>
      <c r="U249" s="26">
        <f t="shared" si="6"/>
        <v>-5</v>
      </c>
    </row>
    <row r="250" spans="19:21" ht="14.65" thickBot="1" x14ac:dyDescent="0.5">
      <c r="S250" s="37">
        <f t="shared" si="7"/>
        <v>711.17770183838809</v>
      </c>
      <c r="U250" s="26">
        <f t="shared" si="6"/>
        <v>-5</v>
      </c>
    </row>
    <row r="251" spans="19:21" ht="14.65" thickBot="1" x14ac:dyDescent="0.5">
      <c r="S251" s="37">
        <f t="shared" si="7"/>
        <v>718.28947885677201</v>
      </c>
      <c r="U251" s="26">
        <f t="shared" si="6"/>
        <v>-5</v>
      </c>
    </row>
    <row r="252" spans="19:21" ht="14.65" thickBot="1" x14ac:dyDescent="0.5">
      <c r="S252" s="37">
        <f t="shared" si="7"/>
        <v>725.47237364533976</v>
      </c>
      <c r="U252" s="26">
        <f t="shared" si="6"/>
        <v>-5</v>
      </c>
    </row>
    <row r="253" spans="19:21" ht="14.65" thickBot="1" x14ac:dyDescent="0.5">
      <c r="S253" s="37">
        <f t="shared" si="7"/>
        <v>732.72709738179321</v>
      </c>
      <c r="U253" s="26">
        <f t="shared" si="6"/>
        <v>-5</v>
      </c>
    </row>
    <row r="254" spans="19:21" ht="14.65" thickBot="1" x14ac:dyDescent="0.5">
      <c r="S254" s="37">
        <f t="shared" si="7"/>
        <v>740.05436835561113</v>
      </c>
      <c r="U254" s="26">
        <f t="shared" si="6"/>
        <v>-5</v>
      </c>
    </row>
    <row r="255" spans="19:21" ht="14.65" thickBot="1" x14ac:dyDescent="0.5">
      <c r="S255" s="37">
        <f t="shared" si="7"/>
        <v>747.4549120391672</v>
      </c>
      <c r="U255" s="26">
        <f t="shared" si="6"/>
        <v>-5</v>
      </c>
    </row>
    <row r="256" spans="19:21" ht="14.65" thickBot="1" x14ac:dyDescent="0.5">
      <c r="S256" s="37">
        <f t="shared" si="7"/>
        <v>754.92946115955885</v>
      </c>
      <c r="U256" s="26">
        <f t="shared" si="6"/>
        <v>-5</v>
      </c>
    </row>
    <row r="257" spans="19:21" ht="14.65" thickBot="1" x14ac:dyDescent="0.5">
      <c r="S257" s="37">
        <f t="shared" si="7"/>
        <v>762.4787557711544</v>
      </c>
      <c r="U257" s="26">
        <f t="shared" si="6"/>
        <v>-5</v>
      </c>
    </row>
    <row r="258" spans="19:21" ht="14.65" thickBot="1" x14ac:dyDescent="0.5">
      <c r="S258" s="37">
        <f t="shared" si="7"/>
        <v>770.10354332886595</v>
      </c>
      <c r="U258" s="26">
        <f t="shared" si="6"/>
        <v>-5</v>
      </c>
    </row>
    <row r="259" spans="19:21" ht="14.65" thickBot="1" x14ac:dyDescent="0.5">
      <c r="S259" s="37">
        <f t="shared" si="7"/>
        <v>777.80457876215462</v>
      </c>
      <c r="U259" s="26">
        <f t="shared" si="6"/>
        <v>-5</v>
      </c>
    </row>
    <row r="260" spans="19:21" ht="14.65" thickBot="1" x14ac:dyDescent="0.5">
      <c r="S260" s="37">
        <f t="shared" si="7"/>
        <v>785.58262454977614</v>
      </c>
      <c r="U260" s="26">
        <f t="shared" si="6"/>
        <v>-5</v>
      </c>
    </row>
    <row r="261" spans="19:21" ht="14.65" thickBot="1" x14ac:dyDescent="0.5">
      <c r="S261" s="37">
        <f t="shared" si="7"/>
        <v>793.43845079527387</v>
      </c>
      <c r="U261" s="26">
        <f t="shared" si="6"/>
        <v>-5</v>
      </c>
    </row>
    <row r="262" spans="19:21" ht="14.65" thickBot="1" x14ac:dyDescent="0.5">
      <c r="S262" s="37">
        <f t="shared" si="7"/>
        <v>801.37283530322657</v>
      </c>
      <c r="U262" s="26">
        <f t="shared" si="6"/>
        <v>-5</v>
      </c>
    </row>
    <row r="263" spans="19:21" ht="14.65" thickBot="1" x14ac:dyDescent="0.5">
      <c r="S263" s="37">
        <f t="shared" si="7"/>
        <v>809.38656365625889</v>
      </c>
      <c r="U263" s="26">
        <f t="shared" si="6"/>
        <v>-5</v>
      </c>
    </row>
    <row r="264" spans="19:21" ht="14.65" thickBot="1" x14ac:dyDescent="0.5">
      <c r="S264" s="37">
        <f t="shared" si="7"/>
        <v>817.48042929282144</v>
      </c>
      <c r="U264" s="26">
        <f t="shared" si="6"/>
        <v>-5</v>
      </c>
    </row>
    <row r="265" spans="19:21" ht="14.65" thickBot="1" x14ac:dyDescent="0.5">
      <c r="S265" s="37">
        <f t="shared" si="7"/>
        <v>825.65523358574967</v>
      </c>
      <c r="U265" s="26">
        <f t="shared" si="6"/>
        <v>-5</v>
      </c>
    </row>
    <row r="266" spans="19:21" ht="14.65" thickBot="1" x14ac:dyDescent="0.5">
      <c r="S266" s="37">
        <f t="shared" si="7"/>
        <v>833.91178592160713</v>
      </c>
      <c r="U266" s="26">
        <f t="shared" si="6"/>
        <v>-5</v>
      </c>
    </row>
    <row r="267" spans="19:21" ht="14.65" thickBot="1" x14ac:dyDescent="0.5">
      <c r="S267" s="37">
        <f t="shared" si="7"/>
        <v>842.25090378082325</v>
      </c>
      <c r="U267" s="26">
        <f t="shared" si="6"/>
        <v>-5</v>
      </c>
    </row>
    <row r="268" spans="19:21" ht="14.65" thickBot="1" x14ac:dyDescent="0.5">
      <c r="S268" s="37">
        <f t="shared" si="7"/>
        <v>850.6734128186315</v>
      </c>
      <c r="U268" s="26">
        <f t="shared" si="6"/>
        <v>-5</v>
      </c>
    </row>
    <row r="269" spans="19:21" ht="14.65" thickBot="1" x14ac:dyDescent="0.5">
      <c r="S269" s="37">
        <f t="shared" si="7"/>
        <v>859.18014694681779</v>
      </c>
      <c r="U269" s="26">
        <f t="shared" si="6"/>
        <v>-5</v>
      </c>
    </row>
    <row r="270" spans="19:21" ht="14.65" thickBot="1" x14ac:dyDescent="0.5">
      <c r="S270" s="37">
        <f t="shared" si="7"/>
        <v>867.77194841628602</v>
      </c>
      <c r="U270" s="26">
        <f t="shared" si="6"/>
        <v>-5</v>
      </c>
    </row>
    <row r="271" spans="19:21" ht="14.65" thickBot="1" x14ac:dyDescent="0.5">
      <c r="S271" s="37">
        <f t="shared" si="7"/>
        <v>876.44966790044884</v>
      </c>
      <c r="U271" s="26">
        <f t="shared" si="6"/>
        <v>-5</v>
      </c>
    </row>
    <row r="272" spans="19:21" ht="14.65" thickBot="1" x14ac:dyDescent="0.5">
      <c r="S272" s="37">
        <f t="shared" si="7"/>
        <v>885.21416457945338</v>
      </c>
      <c r="U272" s="26">
        <f t="shared" si="6"/>
        <v>-5</v>
      </c>
    </row>
    <row r="273" spans="19:21" ht="14.65" thickBot="1" x14ac:dyDescent="0.5">
      <c r="S273" s="37">
        <f t="shared" si="7"/>
        <v>894.0663062252479</v>
      </c>
      <c r="U273" s="26">
        <f t="shared" si="6"/>
        <v>-5</v>
      </c>
    </row>
    <row r="274" spans="19:21" ht="14.65" thickBot="1" x14ac:dyDescent="0.5">
      <c r="S274" s="37">
        <f t="shared" si="7"/>
        <v>903.0069692875004</v>
      </c>
      <c r="U274" s="26">
        <f t="shared" ref="U274:U337" si="8">IF(S274&lt;$D$7,($D$7-S274)-$D$8,-$D$8)</f>
        <v>-5</v>
      </c>
    </row>
    <row r="275" spans="19:21" ht="14.65" thickBot="1" x14ac:dyDescent="0.5">
      <c r="S275" s="37">
        <f t="shared" ref="S275:S338" si="9">S274*(1.01)</f>
        <v>912.03703898037543</v>
      </c>
      <c r="U275" s="26">
        <f t="shared" si="8"/>
        <v>-5</v>
      </c>
    </row>
    <row r="276" spans="19:21" ht="14.65" thickBot="1" x14ac:dyDescent="0.5">
      <c r="S276" s="37">
        <f t="shared" si="9"/>
        <v>921.15740937017915</v>
      </c>
      <c r="U276" s="26">
        <f t="shared" si="8"/>
        <v>-5</v>
      </c>
    </row>
    <row r="277" spans="19:21" ht="14.65" thickBot="1" x14ac:dyDescent="0.5">
      <c r="S277" s="37">
        <f t="shared" si="9"/>
        <v>930.36898346388091</v>
      </c>
      <c r="U277" s="26">
        <f t="shared" si="8"/>
        <v>-5</v>
      </c>
    </row>
    <row r="278" spans="19:21" ht="14.65" thickBot="1" x14ac:dyDescent="0.5">
      <c r="S278" s="37">
        <f t="shared" si="9"/>
        <v>939.67267329851973</v>
      </c>
      <c r="U278" s="26">
        <f t="shared" si="8"/>
        <v>-5</v>
      </c>
    </row>
    <row r="279" spans="19:21" ht="14.65" thickBot="1" x14ac:dyDescent="0.5">
      <c r="S279" s="37">
        <f t="shared" si="9"/>
        <v>949.06940003150498</v>
      </c>
      <c r="U279" s="26">
        <f t="shared" si="8"/>
        <v>-5</v>
      </c>
    </row>
    <row r="280" spans="19:21" ht="14.65" thickBot="1" x14ac:dyDescent="0.5">
      <c r="S280" s="37">
        <f t="shared" si="9"/>
        <v>958.56009403182009</v>
      </c>
      <c r="U280" s="26">
        <f t="shared" si="8"/>
        <v>-5</v>
      </c>
    </row>
    <row r="281" spans="19:21" ht="14.65" thickBot="1" x14ac:dyDescent="0.5">
      <c r="S281" s="37">
        <f t="shared" si="9"/>
        <v>968.14569497213824</v>
      </c>
      <c r="U281" s="26">
        <f t="shared" si="8"/>
        <v>-5</v>
      </c>
    </row>
    <row r="282" spans="19:21" ht="14.65" thickBot="1" x14ac:dyDescent="0.5">
      <c r="S282" s="37">
        <f t="shared" si="9"/>
        <v>977.82715192185958</v>
      </c>
      <c r="U282" s="26">
        <f t="shared" si="8"/>
        <v>-5</v>
      </c>
    </row>
    <row r="283" spans="19:21" ht="14.65" thickBot="1" x14ac:dyDescent="0.5">
      <c r="S283" s="37">
        <f t="shared" si="9"/>
        <v>987.60542344107819</v>
      </c>
      <c r="U283" s="26">
        <f t="shared" si="8"/>
        <v>-5</v>
      </c>
    </row>
    <row r="284" spans="19:21" ht="14.65" thickBot="1" x14ac:dyDescent="0.5">
      <c r="S284" s="37">
        <f t="shared" si="9"/>
        <v>997.48147767548903</v>
      </c>
      <c r="U284" s="26">
        <f t="shared" si="8"/>
        <v>-5</v>
      </c>
    </row>
    <row r="285" spans="19:21" ht="14.65" thickBot="1" x14ac:dyDescent="0.5">
      <c r="S285" s="37">
        <f t="shared" si="9"/>
        <v>1007.4562924522439</v>
      </c>
      <c r="U285" s="26">
        <f t="shared" si="8"/>
        <v>-5</v>
      </c>
    </row>
    <row r="286" spans="19:21" ht="14.65" thickBot="1" x14ac:dyDescent="0.5">
      <c r="S286" s="37">
        <f t="shared" si="9"/>
        <v>1017.5308553767663</v>
      </c>
      <c r="U286" s="26">
        <f t="shared" si="8"/>
        <v>-5</v>
      </c>
    </row>
    <row r="287" spans="19:21" ht="14.65" thickBot="1" x14ac:dyDescent="0.5">
      <c r="S287" s="37">
        <f t="shared" si="9"/>
        <v>1027.7061639305341</v>
      </c>
      <c r="U287" s="26">
        <f t="shared" si="8"/>
        <v>-5</v>
      </c>
    </row>
    <row r="288" spans="19:21" ht="14.65" thickBot="1" x14ac:dyDescent="0.5">
      <c r="S288" s="37">
        <f t="shared" si="9"/>
        <v>1037.9832255698395</v>
      </c>
      <c r="U288" s="26">
        <f t="shared" si="8"/>
        <v>-5</v>
      </c>
    </row>
    <row r="289" spans="19:21" ht="14.65" thickBot="1" x14ac:dyDescent="0.5">
      <c r="S289" s="37">
        <f t="shared" si="9"/>
        <v>1048.3630578255379</v>
      </c>
      <c r="U289" s="26">
        <f t="shared" si="8"/>
        <v>-5</v>
      </c>
    </row>
    <row r="290" spans="19:21" ht="14.65" thickBot="1" x14ac:dyDescent="0.5">
      <c r="S290" s="37">
        <f t="shared" si="9"/>
        <v>1058.8466884037932</v>
      </c>
      <c r="U290" s="26">
        <f t="shared" si="8"/>
        <v>-5</v>
      </c>
    </row>
    <row r="291" spans="19:21" ht="14.65" thickBot="1" x14ac:dyDescent="0.5">
      <c r="S291" s="37">
        <f t="shared" si="9"/>
        <v>1069.4351552878311</v>
      </c>
      <c r="U291" s="26">
        <f t="shared" si="8"/>
        <v>-5</v>
      </c>
    </row>
    <row r="292" spans="19:21" ht="14.65" thickBot="1" x14ac:dyDescent="0.5">
      <c r="S292" s="37">
        <f t="shared" si="9"/>
        <v>1080.1295068407094</v>
      </c>
      <c r="U292" s="26">
        <f t="shared" si="8"/>
        <v>-5</v>
      </c>
    </row>
    <row r="293" spans="19:21" ht="14.65" thickBot="1" x14ac:dyDescent="0.5">
      <c r="S293" s="37">
        <f t="shared" si="9"/>
        <v>1090.9308019091166</v>
      </c>
      <c r="U293" s="26">
        <f t="shared" si="8"/>
        <v>-5</v>
      </c>
    </row>
    <row r="294" spans="19:21" ht="14.65" thickBot="1" x14ac:dyDescent="0.5">
      <c r="S294" s="37">
        <f t="shared" si="9"/>
        <v>1101.8401099282078</v>
      </c>
      <c r="U294" s="26">
        <f t="shared" si="8"/>
        <v>-5</v>
      </c>
    </row>
    <row r="295" spans="19:21" ht="14.65" thickBot="1" x14ac:dyDescent="0.5">
      <c r="S295" s="37">
        <f t="shared" si="9"/>
        <v>1112.8585110274898</v>
      </c>
      <c r="U295" s="26">
        <f t="shared" si="8"/>
        <v>-5</v>
      </c>
    </row>
    <row r="296" spans="19:21" ht="14.65" thickBot="1" x14ac:dyDescent="0.5">
      <c r="S296" s="37">
        <f t="shared" si="9"/>
        <v>1123.9870961377646</v>
      </c>
      <c r="U296" s="26">
        <f t="shared" si="8"/>
        <v>-5</v>
      </c>
    </row>
    <row r="297" spans="19:21" ht="14.65" thickBot="1" x14ac:dyDescent="0.5">
      <c r="S297" s="37">
        <f t="shared" si="9"/>
        <v>1135.2269670991423</v>
      </c>
      <c r="U297" s="26">
        <f t="shared" si="8"/>
        <v>-5</v>
      </c>
    </row>
    <row r="298" spans="19:21" ht="14.65" thickBot="1" x14ac:dyDescent="0.5">
      <c r="S298" s="37">
        <f t="shared" si="9"/>
        <v>1146.5792367701338</v>
      </c>
      <c r="U298" s="26">
        <f t="shared" si="8"/>
        <v>-5</v>
      </c>
    </row>
    <row r="299" spans="19:21" ht="14.65" thickBot="1" x14ac:dyDescent="0.5">
      <c r="S299" s="37">
        <f t="shared" si="9"/>
        <v>1158.0450291378352</v>
      </c>
      <c r="U299" s="26">
        <f t="shared" si="8"/>
        <v>-5</v>
      </c>
    </row>
    <row r="300" spans="19:21" ht="14.65" thickBot="1" x14ac:dyDescent="0.5">
      <c r="S300" s="37">
        <f t="shared" si="9"/>
        <v>1169.6254794292136</v>
      </c>
      <c r="U300" s="26">
        <f t="shared" si="8"/>
        <v>-5</v>
      </c>
    </row>
    <row r="301" spans="19:21" ht="14.65" thickBot="1" x14ac:dyDescent="0.5">
      <c r="S301" s="37">
        <f t="shared" si="9"/>
        <v>1181.3217342235057</v>
      </c>
      <c r="U301" s="26">
        <f t="shared" si="8"/>
        <v>-5</v>
      </c>
    </row>
    <row r="302" spans="19:21" ht="14.65" thickBot="1" x14ac:dyDescent="0.5">
      <c r="S302" s="37">
        <f t="shared" si="9"/>
        <v>1193.1349515657407</v>
      </c>
      <c r="U302" s="26">
        <f t="shared" si="8"/>
        <v>-5</v>
      </c>
    </row>
    <row r="303" spans="19:21" ht="14.65" thickBot="1" x14ac:dyDescent="0.5">
      <c r="S303" s="37">
        <f t="shared" si="9"/>
        <v>1205.0663010813983</v>
      </c>
      <c r="U303" s="26">
        <f t="shared" si="8"/>
        <v>-5</v>
      </c>
    </row>
    <row r="304" spans="19:21" ht="14.65" thickBot="1" x14ac:dyDescent="0.5">
      <c r="S304" s="37">
        <f t="shared" si="9"/>
        <v>1217.1169640922124</v>
      </c>
      <c r="U304" s="26">
        <f t="shared" si="8"/>
        <v>-5</v>
      </c>
    </row>
    <row r="305" spans="19:21" ht="14.65" thickBot="1" x14ac:dyDescent="0.5">
      <c r="S305" s="37">
        <f t="shared" si="9"/>
        <v>1229.2881337331346</v>
      </c>
      <c r="U305" s="26">
        <f t="shared" si="8"/>
        <v>-5</v>
      </c>
    </row>
    <row r="306" spans="19:21" ht="14.65" thickBot="1" x14ac:dyDescent="0.5">
      <c r="S306" s="37">
        <f t="shared" si="9"/>
        <v>1241.581015070466</v>
      </c>
      <c r="U306" s="26">
        <f t="shared" si="8"/>
        <v>-5</v>
      </c>
    </row>
    <row r="307" spans="19:21" ht="14.65" thickBot="1" x14ac:dyDescent="0.5">
      <c r="S307" s="37">
        <f t="shared" si="9"/>
        <v>1253.9968252211706</v>
      </c>
      <c r="U307" s="26">
        <f t="shared" si="8"/>
        <v>-5</v>
      </c>
    </row>
    <row r="308" spans="19:21" ht="14.65" thickBot="1" x14ac:dyDescent="0.5">
      <c r="S308" s="37">
        <f t="shared" si="9"/>
        <v>1266.5367934733824</v>
      </c>
      <c r="U308" s="26">
        <f t="shared" si="8"/>
        <v>-5</v>
      </c>
    </row>
    <row r="309" spans="19:21" ht="14.65" thickBot="1" x14ac:dyDescent="0.5">
      <c r="S309" s="37">
        <f t="shared" si="9"/>
        <v>1279.2021614081164</v>
      </c>
      <c r="U309" s="26">
        <f t="shared" si="8"/>
        <v>-5</v>
      </c>
    </row>
    <row r="310" spans="19:21" ht="14.65" thickBot="1" x14ac:dyDescent="0.5">
      <c r="S310" s="37">
        <f t="shared" si="9"/>
        <v>1291.9941830221976</v>
      </c>
      <c r="U310" s="26">
        <f t="shared" si="8"/>
        <v>-5</v>
      </c>
    </row>
    <row r="311" spans="19:21" ht="14.65" thickBot="1" x14ac:dyDescent="0.5">
      <c r="S311" s="37">
        <f t="shared" si="9"/>
        <v>1304.9141248524195</v>
      </c>
      <c r="U311" s="26">
        <f t="shared" si="8"/>
        <v>-5</v>
      </c>
    </row>
    <row r="312" spans="19:21" ht="14.65" thickBot="1" x14ac:dyDescent="0.5">
      <c r="S312" s="37">
        <f t="shared" si="9"/>
        <v>1317.9632661009437</v>
      </c>
      <c r="U312" s="26">
        <f t="shared" si="8"/>
        <v>-5</v>
      </c>
    </row>
    <row r="313" spans="19:21" ht="14.65" thickBot="1" x14ac:dyDescent="0.5">
      <c r="S313" s="37">
        <f t="shared" si="9"/>
        <v>1331.1428987619531</v>
      </c>
      <c r="U313" s="26">
        <f t="shared" si="8"/>
        <v>-5</v>
      </c>
    </row>
    <row r="314" spans="19:21" ht="14.65" thickBot="1" x14ac:dyDescent="0.5">
      <c r="S314" s="37">
        <f t="shared" si="9"/>
        <v>1344.4543277495727</v>
      </c>
      <c r="U314" s="26">
        <f t="shared" si="8"/>
        <v>-5</v>
      </c>
    </row>
    <row r="315" spans="19:21" ht="14.65" thickBot="1" x14ac:dyDescent="0.5">
      <c r="S315" s="37">
        <f t="shared" si="9"/>
        <v>1357.8988710270685</v>
      </c>
      <c r="U315" s="26">
        <f t="shared" si="8"/>
        <v>-5</v>
      </c>
    </row>
    <row r="316" spans="19:21" ht="14.65" thickBot="1" x14ac:dyDescent="0.5">
      <c r="S316" s="37">
        <f t="shared" si="9"/>
        <v>1371.4778597373393</v>
      </c>
      <c r="U316" s="26">
        <f t="shared" si="8"/>
        <v>-5</v>
      </c>
    </row>
    <row r="317" spans="19:21" ht="14.65" thickBot="1" x14ac:dyDescent="0.5">
      <c r="S317" s="37">
        <f t="shared" si="9"/>
        <v>1385.1926383347127</v>
      </c>
      <c r="U317" s="26">
        <f t="shared" si="8"/>
        <v>-5</v>
      </c>
    </row>
    <row r="318" spans="19:21" ht="14.65" thickBot="1" x14ac:dyDescent="0.5">
      <c r="S318" s="37">
        <f t="shared" si="9"/>
        <v>1399.0445647180597</v>
      </c>
      <c r="U318" s="26">
        <f t="shared" si="8"/>
        <v>-5</v>
      </c>
    </row>
    <row r="319" spans="19:21" ht="14.65" thickBot="1" x14ac:dyDescent="0.5">
      <c r="S319" s="37">
        <f t="shared" si="9"/>
        <v>1413.0350103652404</v>
      </c>
      <c r="U319" s="26">
        <f t="shared" si="8"/>
        <v>-5</v>
      </c>
    </row>
    <row r="320" spans="19:21" ht="14.65" thickBot="1" x14ac:dyDescent="0.5">
      <c r="S320" s="37">
        <f t="shared" si="9"/>
        <v>1427.1653604688929</v>
      </c>
      <c r="U320" s="26">
        <f t="shared" si="8"/>
        <v>-5</v>
      </c>
    </row>
    <row r="321" spans="19:21" ht="14.65" thickBot="1" x14ac:dyDescent="0.5">
      <c r="S321" s="37">
        <f t="shared" si="9"/>
        <v>1441.4370140735818</v>
      </c>
      <c r="U321" s="26">
        <f t="shared" si="8"/>
        <v>-5</v>
      </c>
    </row>
    <row r="322" spans="19:21" ht="14.65" thickBot="1" x14ac:dyDescent="0.5">
      <c r="S322" s="37">
        <f t="shared" si="9"/>
        <v>1455.8513842143177</v>
      </c>
      <c r="U322" s="26">
        <f t="shared" si="8"/>
        <v>-5</v>
      </c>
    </row>
    <row r="323" spans="19:21" ht="14.65" thickBot="1" x14ac:dyDescent="0.5">
      <c r="S323" s="37">
        <f t="shared" si="9"/>
        <v>1470.4098980564609</v>
      </c>
      <c r="U323" s="26">
        <f t="shared" si="8"/>
        <v>-5</v>
      </c>
    </row>
    <row r="324" spans="19:21" ht="14.65" thickBot="1" x14ac:dyDescent="0.5">
      <c r="S324" s="37">
        <f t="shared" si="9"/>
        <v>1485.1139970370255</v>
      </c>
      <c r="U324" s="26">
        <f t="shared" si="8"/>
        <v>-5</v>
      </c>
    </row>
    <row r="325" spans="19:21" ht="14.65" thickBot="1" x14ac:dyDescent="0.5">
      <c r="S325" s="37">
        <f t="shared" si="9"/>
        <v>1499.9651370073957</v>
      </c>
      <c r="U325" s="26">
        <f t="shared" si="8"/>
        <v>-5</v>
      </c>
    </row>
    <row r="326" spans="19:21" ht="14.65" thickBot="1" x14ac:dyDescent="0.5">
      <c r="S326" s="37">
        <f t="shared" si="9"/>
        <v>1514.9647883774696</v>
      </c>
      <c r="U326" s="26">
        <f t="shared" si="8"/>
        <v>-5</v>
      </c>
    </row>
    <row r="327" spans="19:21" ht="14.65" thickBot="1" x14ac:dyDescent="0.5">
      <c r="S327" s="37">
        <f t="shared" si="9"/>
        <v>1530.1144362612442</v>
      </c>
      <c r="U327" s="26">
        <f t="shared" si="8"/>
        <v>-5</v>
      </c>
    </row>
    <row r="328" spans="19:21" ht="14.65" thickBot="1" x14ac:dyDescent="0.5">
      <c r="S328" s="37">
        <f t="shared" si="9"/>
        <v>1545.4155806238566</v>
      </c>
      <c r="U328" s="26">
        <f t="shared" si="8"/>
        <v>-5</v>
      </c>
    </row>
    <row r="329" spans="19:21" ht="14.65" thickBot="1" x14ac:dyDescent="0.5">
      <c r="S329" s="37">
        <f t="shared" si="9"/>
        <v>1560.8697364300951</v>
      </c>
      <c r="U329" s="26">
        <f t="shared" si="8"/>
        <v>-5</v>
      </c>
    </row>
    <row r="330" spans="19:21" ht="14.65" thickBot="1" x14ac:dyDescent="0.5">
      <c r="S330" s="37">
        <f t="shared" si="9"/>
        <v>1576.4784337943961</v>
      </c>
      <c r="U330" s="26">
        <f t="shared" si="8"/>
        <v>-5</v>
      </c>
    </row>
    <row r="331" spans="19:21" ht="14.65" thickBot="1" x14ac:dyDescent="0.5">
      <c r="S331" s="37">
        <f t="shared" si="9"/>
        <v>1592.24321813234</v>
      </c>
      <c r="U331" s="26">
        <f t="shared" si="8"/>
        <v>-5</v>
      </c>
    </row>
    <row r="332" spans="19:21" ht="14.65" thickBot="1" x14ac:dyDescent="0.5">
      <c r="S332" s="37">
        <f t="shared" si="9"/>
        <v>1608.1656503136633</v>
      </c>
      <c r="U332" s="26">
        <f t="shared" si="8"/>
        <v>-5</v>
      </c>
    </row>
    <row r="333" spans="19:21" ht="14.65" thickBot="1" x14ac:dyDescent="0.5">
      <c r="S333" s="37">
        <f t="shared" si="9"/>
        <v>1624.2473068167999</v>
      </c>
      <c r="U333" s="26">
        <f t="shared" si="8"/>
        <v>-5</v>
      </c>
    </row>
    <row r="334" spans="19:21" ht="14.65" thickBot="1" x14ac:dyDescent="0.5">
      <c r="S334" s="37">
        <f t="shared" si="9"/>
        <v>1640.4897798849679</v>
      </c>
      <c r="U334" s="26">
        <f t="shared" si="8"/>
        <v>-5</v>
      </c>
    </row>
    <row r="335" spans="19:21" ht="14.65" thickBot="1" x14ac:dyDescent="0.5">
      <c r="S335" s="37">
        <f t="shared" si="9"/>
        <v>1656.8946776838177</v>
      </c>
      <c r="U335" s="26">
        <f t="shared" si="8"/>
        <v>-5</v>
      </c>
    </row>
    <row r="336" spans="19:21" ht="14.65" thickBot="1" x14ac:dyDescent="0.5">
      <c r="S336" s="37">
        <f t="shared" si="9"/>
        <v>1673.4636244606559</v>
      </c>
      <c r="U336" s="26">
        <f t="shared" si="8"/>
        <v>-5</v>
      </c>
    </row>
    <row r="337" spans="19:21" ht="14.65" thickBot="1" x14ac:dyDescent="0.5">
      <c r="S337" s="37">
        <f t="shared" si="9"/>
        <v>1690.1982607052623</v>
      </c>
      <c r="U337" s="26">
        <f t="shared" si="8"/>
        <v>-5</v>
      </c>
    </row>
    <row r="338" spans="19:21" ht="14.65" thickBot="1" x14ac:dyDescent="0.5">
      <c r="S338" s="37">
        <f t="shared" si="9"/>
        <v>1707.1002433123149</v>
      </c>
      <c r="U338" s="26">
        <f t="shared" ref="U338:U401" si="10">IF(S338&lt;$D$7,($D$7-S338)-$D$8,-$D$8)</f>
        <v>-5</v>
      </c>
    </row>
    <row r="339" spans="19:21" ht="14.65" thickBot="1" x14ac:dyDescent="0.5">
      <c r="S339" s="37">
        <f t="shared" ref="S339:S402" si="11">S338*(1.01)</f>
        <v>1724.171245745438</v>
      </c>
      <c r="U339" s="26">
        <f t="shared" si="10"/>
        <v>-5</v>
      </c>
    </row>
    <row r="340" spans="19:21" ht="14.65" thickBot="1" x14ac:dyDescent="0.5">
      <c r="S340" s="37">
        <f t="shared" si="11"/>
        <v>1741.4129582028925</v>
      </c>
      <c r="U340" s="26">
        <f t="shared" si="10"/>
        <v>-5</v>
      </c>
    </row>
    <row r="341" spans="19:21" ht="14.65" thickBot="1" x14ac:dyDescent="0.5">
      <c r="S341" s="37">
        <f t="shared" si="11"/>
        <v>1758.8270877849213</v>
      </c>
      <c r="U341" s="26">
        <f t="shared" si="10"/>
        <v>-5</v>
      </c>
    </row>
    <row r="342" spans="19:21" ht="14.65" thickBot="1" x14ac:dyDescent="0.5">
      <c r="S342" s="37">
        <f t="shared" si="11"/>
        <v>1776.4153586627706</v>
      </c>
      <c r="U342" s="26">
        <f t="shared" si="10"/>
        <v>-5</v>
      </c>
    </row>
    <row r="343" spans="19:21" ht="14.65" thickBot="1" x14ac:dyDescent="0.5">
      <c r="S343" s="37">
        <f t="shared" si="11"/>
        <v>1794.1795122493984</v>
      </c>
      <c r="U343" s="26">
        <f t="shared" si="10"/>
        <v>-5</v>
      </c>
    </row>
    <row r="344" spans="19:21" ht="14.65" thickBot="1" x14ac:dyDescent="0.5">
      <c r="S344" s="37">
        <f t="shared" si="11"/>
        <v>1812.1213073718923</v>
      </c>
      <c r="U344" s="26">
        <f t="shared" si="10"/>
        <v>-5</v>
      </c>
    </row>
    <row r="345" spans="19:21" ht="14.65" thickBot="1" x14ac:dyDescent="0.5">
      <c r="S345" s="37">
        <f t="shared" si="11"/>
        <v>1830.2425204456113</v>
      </c>
      <c r="U345" s="26">
        <f t="shared" si="10"/>
        <v>-5</v>
      </c>
    </row>
    <row r="346" spans="19:21" ht="14.65" thickBot="1" x14ac:dyDescent="0.5">
      <c r="S346" s="37">
        <f t="shared" si="11"/>
        <v>1848.5449456500673</v>
      </c>
      <c r="U346" s="26">
        <f t="shared" si="10"/>
        <v>-5</v>
      </c>
    </row>
    <row r="347" spans="19:21" ht="14.65" thickBot="1" x14ac:dyDescent="0.5">
      <c r="S347" s="37">
        <f t="shared" si="11"/>
        <v>1867.030395106568</v>
      </c>
      <c r="U347" s="26">
        <f t="shared" si="10"/>
        <v>-5</v>
      </c>
    </row>
    <row r="348" spans="19:21" ht="14.65" thickBot="1" x14ac:dyDescent="0.5">
      <c r="S348" s="37">
        <f t="shared" si="11"/>
        <v>1885.7006990576338</v>
      </c>
      <c r="U348" s="26">
        <f t="shared" si="10"/>
        <v>-5</v>
      </c>
    </row>
    <row r="349" spans="19:21" ht="14.65" thickBot="1" x14ac:dyDescent="0.5">
      <c r="S349" s="37">
        <f t="shared" si="11"/>
        <v>1904.5577060482101</v>
      </c>
      <c r="U349" s="26">
        <f t="shared" si="10"/>
        <v>-5</v>
      </c>
    </row>
    <row r="350" spans="19:21" ht="14.65" thickBot="1" x14ac:dyDescent="0.5">
      <c r="S350" s="37">
        <f t="shared" si="11"/>
        <v>1923.6032831086923</v>
      </c>
      <c r="U350" s="26">
        <f t="shared" si="10"/>
        <v>-5</v>
      </c>
    </row>
    <row r="351" spans="19:21" ht="14.65" thickBot="1" x14ac:dyDescent="0.5">
      <c r="S351" s="37">
        <f t="shared" si="11"/>
        <v>1942.8393159397792</v>
      </c>
      <c r="U351" s="26">
        <f t="shared" si="10"/>
        <v>-5</v>
      </c>
    </row>
    <row r="352" spans="19:21" ht="14.65" thickBot="1" x14ac:dyDescent="0.5">
      <c r="S352" s="37">
        <f t="shared" si="11"/>
        <v>1962.267709099177</v>
      </c>
      <c r="U352" s="26">
        <f t="shared" si="10"/>
        <v>-5</v>
      </c>
    </row>
    <row r="353" spans="19:21" ht="14.65" thickBot="1" x14ac:dyDescent="0.5">
      <c r="S353" s="37">
        <f t="shared" si="11"/>
        <v>1981.8903861901688</v>
      </c>
      <c r="U353" s="26">
        <f t="shared" si="10"/>
        <v>-5</v>
      </c>
    </row>
    <row r="354" spans="19:21" ht="14.65" thickBot="1" x14ac:dyDescent="0.5">
      <c r="S354" s="37">
        <f t="shared" si="11"/>
        <v>2001.7092900520704</v>
      </c>
      <c r="U354" s="26">
        <f t="shared" si="10"/>
        <v>-5</v>
      </c>
    </row>
    <row r="355" spans="19:21" ht="14.65" thickBot="1" x14ac:dyDescent="0.5">
      <c r="S355" s="37">
        <f t="shared" si="11"/>
        <v>2021.7263829525912</v>
      </c>
      <c r="U355" s="26">
        <f t="shared" si="10"/>
        <v>-5</v>
      </c>
    </row>
    <row r="356" spans="19:21" ht="14.65" thickBot="1" x14ac:dyDescent="0.5">
      <c r="S356" s="37">
        <f t="shared" si="11"/>
        <v>2041.9436467821172</v>
      </c>
      <c r="U356" s="26">
        <f t="shared" si="10"/>
        <v>-5</v>
      </c>
    </row>
    <row r="357" spans="19:21" ht="14.65" thickBot="1" x14ac:dyDescent="0.5">
      <c r="S357" s="37">
        <f t="shared" si="11"/>
        <v>2062.3630832499384</v>
      </c>
      <c r="U357" s="26">
        <f t="shared" si="10"/>
        <v>-5</v>
      </c>
    </row>
    <row r="358" spans="19:21" ht="14.65" thickBot="1" x14ac:dyDescent="0.5">
      <c r="S358" s="37">
        <f t="shared" si="11"/>
        <v>2082.9867140824376</v>
      </c>
      <c r="U358" s="26">
        <f t="shared" si="10"/>
        <v>-5</v>
      </c>
    </row>
    <row r="359" spans="19:21" ht="14.65" thickBot="1" x14ac:dyDescent="0.5">
      <c r="S359" s="37">
        <f t="shared" si="11"/>
        <v>2103.8165812232619</v>
      </c>
      <c r="U359" s="26">
        <f t="shared" si="10"/>
        <v>-5</v>
      </c>
    </row>
    <row r="360" spans="19:21" ht="14.65" thickBot="1" x14ac:dyDescent="0.5">
      <c r="S360" s="37">
        <f t="shared" si="11"/>
        <v>2124.8547470354947</v>
      </c>
      <c r="U360" s="26">
        <f t="shared" si="10"/>
        <v>-5</v>
      </c>
    </row>
    <row r="361" spans="19:21" ht="14.65" thickBot="1" x14ac:dyDescent="0.5">
      <c r="S361" s="37">
        <f t="shared" si="11"/>
        <v>2146.1032945058496</v>
      </c>
      <c r="U361" s="26">
        <f t="shared" si="10"/>
        <v>-5</v>
      </c>
    </row>
    <row r="362" spans="19:21" ht="14.65" thickBot="1" x14ac:dyDescent="0.5">
      <c r="S362" s="37">
        <f t="shared" si="11"/>
        <v>2167.564327450908</v>
      </c>
      <c r="U362" s="26">
        <f t="shared" si="10"/>
        <v>-5</v>
      </c>
    </row>
    <row r="363" spans="19:21" ht="14.65" thickBot="1" x14ac:dyDescent="0.5">
      <c r="S363" s="37">
        <f t="shared" si="11"/>
        <v>2189.2399707254172</v>
      </c>
      <c r="U363" s="26">
        <f t="shared" si="10"/>
        <v>-5</v>
      </c>
    </row>
    <row r="364" spans="19:21" ht="14.65" thickBot="1" x14ac:dyDescent="0.5">
      <c r="S364" s="37">
        <f t="shared" si="11"/>
        <v>2211.1323704326715</v>
      </c>
      <c r="U364" s="26">
        <f t="shared" si="10"/>
        <v>-5</v>
      </c>
    </row>
    <row r="365" spans="19:21" ht="14.65" thickBot="1" x14ac:dyDescent="0.5">
      <c r="S365" s="37">
        <f t="shared" si="11"/>
        <v>2233.2436941369983</v>
      </c>
      <c r="U365" s="26">
        <f t="shared" si="10"/>
        <v>-5</v>
      </c>
    </row>
    <row r="366" spans="19:21" ht="14.65" thickBot="1" x14ac:dyDescent="0.5">
      <c r="S366" s="37">
        <f t="shared" si="11"/>
        <v>2255.5761310783682</v>
      </c>
      <c r="U366" s="26">
        <f t="shared" si="10"/>
        <v>-5</v>
      </c>
    </row>
    <row r="367" spans="19:21" ht="14.65" thickBot="1" x14ac:dyDescent="0.5">
      <c r="S367" s="37">
        <f t="shared" si="11"/>
        <v>2278.1318923891517</v>
      </c>
      <c r="U367" s="26">
        <f t="shared" si="10"/>
        <v>-5</v>
      </c>
    </row>
    <row r="368" spans="19:21" ht="14.65" thickBot="1" x14ac:dyDescent="0.5">
      <c r="S368" s="37">
        <f t="shared" si="11"/>
        <v>2300.9132113130431</v>
      </c>
      <c r="U368" s="26">
        <f t="shared" si="10"/>
        <v>-5</v>
      </c>
    </row>
    <row r="369" spans="19:21" ht="14.65" thickBot="1" x14ac:dyDescent="0.5">
      <c r="S369" s="37">
        <f t="shared" si="11"/>
        <v>2323.9223434261735</v>
      </c>
      <c r="U369" s="26">
        <f t="shared" si="10"/>
        <v>-5</v>
      </c>
    </row>
    <row r="370" spans="19:21" ht="14.65" thickBot="1" x14ac:dyDescent="0.5">
      <c r="S370" s="37">
        <f t="shared" si="11"/>
        <v>2347.1615668604354</v>
      </c>
      <c r="U370" s="26">
        <f t="shared" si="10"/>
        <v>-5</v>
      </c>
    </row>
    <row r="371" spans="19:21" ht="14.65" thickBot="1" x14ac:dyDescent="0.5">
      <c r="S371" s="37">
        <f t="shared" si="11"/>
        <v>2370.6331825290399</v>
      </c>
      <c r="U371" s="26">
        <f t="shared" si="10"/>
        <v>-5</v>
      </c>
    </row>
    <row r="372" spans="19:21" ht="14.65" thickBot="1" x14ac:dyDescent="0.5">
      <c r="S372" s="37">
        <f t="shared" si="11"/>
        <v>2394.3395143543303</v>
      </c>
      <c r="U372" s="26">
        <f t="shared" si="10"/>
        <v>-5</v>
      </c>
    </row>
    <row r="373" spans="19:21" ht="14.65" thickBot="1" x14ac:dyDescent="0.5">
      <c r="S373" s="37">
        <f t="shared" si="11"/>
        <v>2418.2829094978738</v>
      </c>
      <c r="U373" s="26">
        <f t="shared" si="10"/>
        <v>-5</v>
      </c>
    </row>
    <row r="374" spans="19:21" ht="14.65" thickBot="1" x14ac:dyDescent="0.5">
      <c r="S374" s="37">
        <f t="shared" si="11"/>
        <v>2442.4657385928526</v>
      </c>
      <c r="U374" s="26">
        <f t="shared" si="10"/>
        <v>-5</v>
      </c>
    </row>
    <row r="375" spans="19:21" ht="14.65" thickBot="1" x14ac:dyDescent="0.5">
      <c r="S375" s="37">
        <f t="shared" si="11"/>
        <v>2466.8903959787813</v>
      </c>
      <c r="U375" s="26">
        <f t="shared" si="10"/>
        <v>-5</v>
      </c>
    </row>
    <row r="376" spans="19:21" ht="14.65" thickBot="1" x14ac:dyDescent="0.5">
      <c r="S376" s="37">
        <f t="shared" si="11"/>
        <v>2491.559299938569</v>
      </c>
      <c r="U376" s="26">
        <f t="shared" si="10"/>
        <v>-5</v>
      </c>
    </row>
    <row r="377" spans="19:21" ht="14.65" thickBot="1" x14ac:dyDescent="0.5">
      <c r="S377" s="37">
        <f t="shared" si="11"/>
        <v>2516.4748929379548</v>
      </c>
      <c r="U377" s="26">
        <f t="shared" si="10"/>
        <v>-5</v>
      </c>
    </row>
    <row r="378" spans="19:21" ht="14.65" thickBot="1" x14ac:dyDescent="0.5">
      <c r="S378" s="37">
        <f t="shared" si="11"/>
        <v>2541.6396418673344</v>
      </c>
      <c r="U378" s="26">
        <f t="shared" si="10"/>
        <v>-5</v>
      </c>
    </row>
    <row r="379" spans="19:21" ht="14.65" thickBot="1" x14ac:dyDescent="0.5">
      <c r="S379" s="37">
        <f t="shared" si="11"/>
        <v>2567.0560382860076</v>
      </c>
      <c r="U379" s="26">
        <f t="shared" si="10"/>
        <v>-5</v>
      </c>
    </row>
    <row r="380" spans="19:21" ht="14.65" thickBot="1" x14ac:dyDescent="0.5">
      <c r="S380" s="37">
        <f t="shared" si="11"/>
        <v>2592.7265986688676</v>
      </c>
      <c r="U380" s="26">
        <f t="shared" si="10"/>
        <v>-5</v>
      </c>
    </row>
    <row r="381" spans="19:21" ht="14.65" thickBot="1" x14ac:dyDescent="0.5">
      <c r="S381" s="37">
        <f t="shared" si="11"/>
        <v>2618.6538646555564</v>
      </c>
      <c r="U381" s="26">
        <f t="shared" si="10"/>
        <v>-5</v>
      </c>
    </row>
    <row r="382" spans="19:21" ht="14.65" thickBot="1" x14ac:dyDescent="0.5">
      <c r="S382" s="37">
        <f t="shared" si="11"/>
        <v>2644.840403302112</v>
      </c>
      <c r="U382" s="26">
        <f t="shared" si="10"/>
        <v>-5</v>
      </c>
    </row>
    <row r="383" spans="19:21" ht="14.65" thickBot="1" x14ac:dyDescent="0.5">
      <c r="S383" s="37">
        <f t="shared" si="11"/>
        <v>2671.2888073351332</v>
      </c>
      <c r="U383" s="26">
        <f t="shared" si="10"/>
        <v>-5</v>
      </c>
    </row>
    <row r="384" spans="19:21" ht="14.65" thickBot="1" x14ac:dyDescent="0.5">
      <c r="S384" s="37">
        <f t="shared" si="11"/>
        <v>2698.0016954084845</v>
      </c>
      <c r="U384" s="26">
        <f t="shared" si="10"/>
        <v>-5</v>
      </c>
    </row>
    <row r="385" spans="19:21" ht="14.65" thickBot="1" x14ac:dyDescent="0.5">
      <c r="S385" s="37">
        <f t="shared" si="11"/>
        <v>2724.9817123625694</v>
      </c>
      <c r="U385" s="26">
        <f t="shared" si="10"/>
        <v>-5</v>
      </c>
    </row>
    <row r="386" spans="19:21" ht="14.65" thickBot="1" x14ac:dyDescent="0.5">
      <c r="S386" s="37">
        <f t="shared" si="11"/>
        <v>2752.2315294861951</v>
      </c>
      <c r="U386" s="26">
        <f t="shared" si="10"/>
        <v>-5</v>
      </c>
    </row>
    <row r="387" spans="19:21" ht="14.65" thickBot="1" x14ac:dyDescent="0.5">
      <c r="S387" s="37">
        <f t="shared" si="11"/>
        <v>2779.7538447810571</v>
      </c>
      <c r="U387" s="26">
        <f t="shared" si="10"/>
        <v>-5</v>
      </c>
    </row>
    <row r="388" spans="19:21" ht="14.65" thickBot="1" x14ac:dyDescent="0.5">
      <c r="S388" s="37">
        <f t="shared" si="11"/>
        <v>2807.5513832288675</v>
      </c>
      <c r="U388" s="26">
        <f t="shared" si="10"/>
        <v>-5</v>
      </c>
    </row>
    <row r="389" spans="19:21" ht="14.65" thickBot="1" x14ac:dyDescent="0.5">
      <c r="S389" s="37">
        <f t="shared" si="11"/>
        <v>2835.6268970611563</v>
      </c>
      <c r="U389" s="26">
        <f t="shared" si="10"/>
        <v>-5</v>
      </c>
    </row>
    <row r="390" spans="19:21" ht="14.65" thickBot="1" x14ac:dyDescent="0.5">
      <c r="S390" s="37">
        <f t="shared" si="11"/>
        <v>2863.9831660317677</v>
      </c>
      <c r="U390" s="26">
        <f t="shared" si="10"/>
        <v>-5</v>
      </c>
    </row>
    <row r="391" spans="19:21" ht="14.65" thickBot="1" x14ac:dyDescent="0.5">
      <c r="S391" s="37">
        <f t="shared" si="11"/>
        <v>2892.6229976920854</v>
      </c>
      <c r="U391" s="26">
        <f t="shared" si="10"/>
        <v>-5</v>
      </c>
    </row>
    <row r="392" spans="19:21" ht="14.65" thickBot="1" x14ac:dyDescent="0.5">
      <c r="S392" s="37">
        <f t="shared" si="11"/>
        <v>2921.5492276690061</v>
      </c>
      <c r="U392" s="26">
        <f t="shared" si="10"/>
        <v>-5</v>
      </c>
    </row>
    <row r="393" spans="19:21" ht="14.65" thickBot="1" x14ac:dyDescent="0.5">
      <c r="S393" s="37">
        <f t="shared" si="11"/>
        <v>2950.764719945696</v>
      </c>
      <c r="U393" s="26">
        <f t="shared" si="10"/>
        <v>-5</v>
      </c>
    </row>
    <row r="394" spans="19:21" ht="14.65" thickBot="1" x14ac:dyDescent="0.5">
      <c r="S394" s="37">
        <f t="shared" si="11"/>
        <v>2980.2723671451531</v>
      </c>
      <c r="U394" s="26">
        <f t="shared" si="10"/>
        <v>-5</v>
      </c>
    </row>
    <row r="395" spans="19:21" ht="14.65" thickBot="1" x14ac:dyDescent="0.5">
      <c r="S395" s="37">
        <f t="shared" si="11"/>
        <v>3010.0750908166046</v>
      </c>
      <c r="U395" s="26">
        <f t="shared" si="10"/>
        <v>-5</v>
      </c>
    </row>
    <row r="396" spans="19:21" ht="14.65" thickBot="1" x14ac:dyDescent="0.5">
      <c r="S396" s="37">
        <f t="shared" si="11"/>
        <v>3040.1758417247706</v>
      </c>
      <c r="U396" s="26">
        <f t="shared" si="10"/>
        <v>-5</v>
      </c>
    </row>
    <row r="397" spans="19:21" ht="14.65" thickBot="1" x14ac:dyDescent="0.5">
      <c r="S397" s="37">
        <f t="shared" si="11"/>
        <v>3070.5776001420186</v>
      </c>
      <c r="U397" s="26">
        <f t="shared" si="10"/>
        <v>-5</v>
      </c>
    </row>
    <row r="398" spans="19:21" ht="14.65" thickBot="1" x14ac:dyDescent="0.5">
      <c r="S398" s="37">
        <f t="shared" si="11"/>
        <v>3101.283376143439</v>
      </c>
      <c r="U398" s="26">
        <f t="shared" si="10"/>
        <v>-5</v>
      </c>
    </row>
    <row r="399" spans="19:21" ht="14.65" thickBot="1" x14ac:dyDescent="0.5">
      <c r="S399" s="37">
        <f t="shared" si="11"/>
        <v>3132.2962099048732</v>
      </c>
      <c r="U399" s="26">
        <f t="shared" si="10"/>
        <v>-5</v>
      </c>
    </row>
    <row r="400" spans="19:21" ht="14.65" thickBot="1" x14ac:dyDescent="0.5">
      <c r="S400" s="37">
        <f t="shared" si="11"/>
        <v>3163.6191720039219</v>
      </c>
      <c r="U400" s="26">
        <f t="shared" si="10"/>
        <v>-5</v>
      </c>
    </row>
    <row r="401" spans="19:21" ht="14.65" thickBot="1" x14ac:dyDescent="0.5">
      <c r="S401" s="37">
        <f t="shared" si="11"/>
        <v>3195.2553637239612</v>
      </c>
      <c r="U401" s="26">
        <f t="shared" si="10"/>
        <v>-5</v>
      </c>
    </row>
    <row r="402" spans="19:21" ht="14.65" thickBot="1" x14ac:dyDescent="0.5">
      <c r="S402" s="37">
        <f t="shared" si="11"/>
        <v>3227.207917361201</v>
      </c>
      <c r="U402" s="26">
        <f t="shared" ref="U402:U465" si="12">IF(S402&lt;$D$7,($D$7-S402)-$D$8,-$D$8)</f>
        <v>-5</v>
      </c>
    </row>
    <row r="403" spans="19:21" ht="14.65" thickBot="1" x14ac:dyDescent="0.5">
      <c r="S403" s="37">
        <f t="shared" ref="S403:S466" si="13">S402*(1.01)</f>
        <v>3259.4799965348129</v>
      </c>
      <c r="U403" s="26">
        <f t="shared" si="12"/>
        <v>-5</v>
      </c>
    </row>
    <row r="404" spans="19:21" ht="14.65" thickBot="1" x14ac:dyDescent="0.5">
      <c r="S404" s="37">
        <f t="shared" si="13"/>
        <v>3292.074796500161</v>
      </c>
      <c r="U404" s="26">
        <f t="shared" si="12"/>
        <v>-5</v>
      </c>
    </row>
    <row r="405" spans="19:21" ht="14.65" thickBot="1" x14ac:dyDescent="0.5">
      <c r="S405" s="37">
        <f t="shared" si="13"/>
        <v>3324.9955444651628</v>
      </c>
      <c r="U405" s="26">
        <f t="shared" si="12"/>
        <v>-5</v>
      </c>
    </row>
    <row r="406" spans="19:21" ht="14.65" thickBot="1" x14ac:dyDescent="0.5">
      <c r="S406" s="37">
        <f t="shared" si="13"/>
        <v>3358.2454999098145</v>
      </c>
      <c r="U406" s="26">
        <f t="shared" si="12"/>
        <v>-5</v>
      </c>
    </row>
    <row r="407" spans="19:21" ht="14.65" thickBot="1" x14ac:dyDescent="0.5">
      <c r="S407" s="37">
        <f t="shared" si="13"/>
        <v>3391.8279549089125</v>
      </c>
      <c r="U407" s="26">
        <f t="shared" si="12"/>
        <v>-5</v>
      </c>
    </row>
    <row r="408" spans="19:21" ht="14.65" thickBot="1" x14ac:dyDescent="0.5">
      <c r="S408" s="37">
        <f t="shared" si="13"/>
        <v>3425.7462344580017</v>
      </c>
      <c r="U408" s="26">
        <f t="shared" si="12"/>
        <v>-5</v>
      </c>
    </row>
    <row r="409" spans="19:21" ht="14.65" thickBot="1" x14ac:dyDescent="0.5">
      <c r="S409" s="37">
        <f t="shared" si="13"/>
        <v>3460.0036968025815</v>
      </c>
      <c r="U409" s="26">
        <f t="shared" si="12"/>
        <v>-5</v>
      </c>
    </row>
    <row r="410" spans="19:21" ht="14.65" thickBot="1" x14ac:dyDescent="0.5">
      <c r="S410" s="37">
        <f t="shared" si="13"/>
        <v>3494.6037337706075</v>
      </c>
      <c r="U410" s="26">
        <f t="shared" si="12"/>
        <v>-5</v>
      </c>
    </row>
    <row r="411" spans="19:21" ht="14.65" thickBot="1" x14ac:dyDescent="0.5">
      <c r="S411" s="37">
        <f t="shared" si="13"/>
        <v>3529.5497711083135</v>
      </c>
      <c r="U411" s="26">
        <f t="shared" si="12"/>
        <v>-5</v>
      </c>
    </row>
    <row r="412" spans="19:21" ht="14.65" thickBot="1" x14ac:dyDescent="0.5">
      <c r="S412" s="37">
        <f t="shared" si="13"/>
        <v>3564.8452688193966</v>
      </c>
      <c r="U412" s="26">
        <f t="shared" si="12"/>
        <v>-5</v>
      </c>
    </row>
    <row r="413" spans="19:21" ht="14.65" thickBot="1" x14ac:dyDescent="0.5">
      <c r="S413" s="37">
        <f t="shared" si="13"/>
        <v>3600.4937215075906</v>
      </c>
      <c r="U413" s="26">
        <f t="shared" si="12"/>
        <v>-5</v>
      </c>
    </row>
    <row r="414" spans="19:21" ht="14.65" thickBot="1" x14ac:dyDescent="0.5">
      <c r="S414" s="37">
        <f t="shared" si="13"/>
        <v>3636.4986587226667</v>
      </c>
      <c r="U414" s="26">
        <f t="shared" si="12"/>
        <v>-5</v>
      </c>
    </row>
    <row r="415" spans="19:21" ht="14.65" thickBot="1" x14ac:dyDescent="0.5">
      <c r="S415" s="37">
        <f t="shared" si="13"/>
        <v>3672.8636453098934</v>
      </c>
      <c r="U415" s="26">
        <f t="shared" si="12"/>
        <v>-5</v>
      </c>
    </row>
    <row r="416" spans="19:21" ht="14.65" thickBot="1" x14ac:dyDescent="0.5">
      <c r="S416" s="37">
        <f t="shared" si="13"/>
        <v>3709.5922817629926</v>
      </c>
      <c r="U416" s="26">
        <f t="shared" si="12"/>
        <v>-5</v>
      </c>
    </row>
    <row r="417" spans="19:21" ht="14.65" thickBot="1" x14ac:dyDescent="0.5">
      <c r="S417" s="37">
        <f t="shared" si="13"/>
        <v>3746.6882045806224</v>
      </c>
      <c r="U417" s="26">
        <f t="shared" si="12"/>
        <v>-5</v>
      </c>
    </row>
    <row r="418" spans="19:21" ht="14.65" thickBot="1" x14ac:dyDescent="0.5">
      <c r="S418" s="37">
        <f t="shared" si="13"/>
        <v>3784.1550866264288</v>
      </c>
      <c r="U418" s="26">
        <f t="shared" si="12"/>
        <v>-5</v>
      </c>
    </row>
    <row r="419" spans="19:21" ht="14.65" thickBot="1" x14ac:dyDescent="0.5">
      <c r="S419" s="37">
        <f t="shared" si="13"/>
        <v>3821.996637492693</v>
      </c>
      <c r="U419" s="26">
        <f t="shared" si="12"/>
        <v>-5</v>
      </c>
    </row>
    <row r="420" spans="19:21" ht="14.65" thickBot="1" x14ac:dyDescent="0.5">
      <c r="S420" s="37">
        <f t="shared" si="13"/>
        <v>3860.2166038676201</v>
      </c>
      <c r="U420" s="26">
        <f t="shared" si="12"/>
        <v>-5</v>
      </c>
    </row>
    <row r="421" spans="19:21" ht="14.65" thickBot="1" x14ac:dyDescent="0.5">
      <c r="S421" s="37">
        <f t="shared" si="13"/>
        <v>3898.8187699062964</v>
      </c>
      <c r="U421" s="26">
        <f t="shared" si="12"/>
        <v>-5</v>
      </c>
    </row>
    <row r="422" spans="19:21" ht="14.65" thickBot="1" x14ac:dyDescent="0.5">
      <c r="S422" s="37">
        <f t="shared" si="13"/>
        <v>3937.8069576053595</v>
      </c>
      <c r="U422" s="26">
        <f t="shared" si="12"/>
        <v>-5</v>
      </c>
    </row>
    <row r="423" spans="19:21" ht="14.65" thickBot="1" x14ac:dyDescent="0.5">
      <c r="S423" s="37">
        <f t="shared" si="13"/>
        <v>3977.1850271814133</v>
      </c>
      <c r="U423" s="26">
        <f t="shared" si="12"/>
        <v>-5</v>
      </c>
    </row>
    <row r="424" spans="19:21" ht="14.65" thickBot="1" x14ac:dyDescent="0.5">
      <c r="S424" s="37">
        <f t="shared" si="13"/>
        <v>4016.9568774532272</v>
      </c>
      <c r="U424" s="26">
        <f t="shared" si="12"/>
        <v>-5</v>
      </c>
    </row>
    <row r="425" spans="19:21" ht="14.65" thickBot="1" x14ac:dyDescent="0.5">
      <c r="S425" s="37">
        <f t="shared" si="13"/>
        <v>4057.1264462277595</v>
      </c>
      <c r="U425" s="26">
        <f t="shared" si="12"/>
        <v>-5</v>
      </c>
    </row>
    <row r="426" spans="19:21" ht="14.65" thickBot="1" x14ac:dyDescent="0.5">
      <c r="S426" s="37">
        <f t="shared" si="13"/>
        <v>4097.6977106900367</v>
      </c>
      <c r="U426" s="26">
        <f t="shared" si="12"/>
        <v>-5</v>
      </c>
    </row>
    <row r="427" spans="19:21" ht="14.65" thickBot="1" x14ac:dyDescent="0.5">
      <c r="S427" s="37">
        <f t="shared" si="13"/>
        <v>4138.6746877969372</v>
      </c>
      <c r="U427" s="26">
        <f t="shared" si="12"/>
        <v>-5</v>
      </c>
    </row>
    <row r="428" spans="19:21" ht="14.65" thickBot="1" x14ac:dyDescent="0.5">
      <c r="S428" s="37">
        <f t="shared" si="13"/>
        <v>4180.0614346749062</v>
      </c>
      <c r="U428" s="26">
        <f t="shared" si="12"/>
        <v>-5</v>
      </c>
    </row>
    <row r="429" spans="19:21" ht="14.65" thickBot="1" x14ac:dyDescent="0.5">
      <c r="S429" s="37">
        <f t="shared" si="13"/>
        <v>4221.8620490216554</v>
      </c>
      <c r="U429" s="26">
        <f t="shared" si="12"/>
        <v>-5</v>
      </c>
    </row>
    <row r="430" spans="19:21" ht="14.65" thickBot="1" x14ac:dyDescent="0.5">
      <c r="S430" s="37">
        <f t="shared" si="13"/>
        <v>4264.0806695118717</v>
      </c>
      <c r="U430" s="26">
        <f t="shared" si="12"/>
        <v>-5</v>
      </c>
    </row>
    <row r="431" spans="19:21" ht="14.65" thickBot="1" x14ac:dyDescent="0.5">
      <c r="S431" s="37">
        <f t="shared" si="13"/>
        <v>4306.7214762069907</v>
      </c>
      <c r="U431" s="26">
        <f t="shared" si="12"/>
        <v>-5</v>
      </c>
    </row>
    <row r="432" spans="19:21" ht="14.65" thickBot="1" x14ac:dyDescent="0.5">
      <c r="S432" s="37">
        <f t="shared" si="13"/>
        <v>4349.7886909690606</v>
      </c>
      <c r="U432" s="26">
        <f t="shared" si="12"/>
        <v>-5</v>
      </c>
    </row>
    <row r="433" spans="19:21" ht="14.65" thickBot="1" x14ac:dyDescent="0.5">
      <c r="S433" s="37">
        <f t="shared" si="13"/>
        <v>4393.2865778787509</v>
      </c>
      <c r="U433" s="26">
        <f t="shared" si="12"/>
        <v>-5</v>
      </c>
    </row>
    <row r="434" spans="19:21" ht="14.65" thickBot="1" x14ac:dyDescent="0.5">
      <c r="S434" s="37">
        <f t="shared" si="13"/>
        <v>4437.2194436575382</v>
      </c>
      <c r="U434" s="26">
        <f t="shared" si="12"/>
        <v>-5</v>
      </c>
    </row>
    <row r="435" spans="19:21" ht="14.65" thickBot="1" x14ac:dyDescent="0.5">
      <c r="S435" s="37">
        <f t="shared" si="13"/>
        <v>4481.5916380941135</v>
      </c>
      <c r="U435" s="26">
        <f t="shared" si="12"/>
        <v>-5</v>
      </c>
    </row>
    <row r="436" spans="19:21" ht="14.65" thickBot="1" x14ac:dyDescent="0.5">
      <c r="S436" s="37">
        <f t="shared" si="13"/>
        <v>4526.4075544750549</v>
      </c>
      <c r="U436" s="26">
        <f t="shared" si="12"/>
        <v>-5</v>
      </c>
    </row>
    <row r="437" spans="19:21" ht="14.65" thickBot="1" x14ac:dyDescent="0.5">
      <c r="S437" s="37">
        <f t="shared" si="13"/>
        <v>4571.6716300198059</v>
      </c>
      <c r="U437" s="26">
        <f t="shared" si="12"/>
        <v>-5</v>
      </c>
    </row>
    <row r="438" spans="19:21" ht="14.65" thickBot="1" x14ac:dyDescent="0.5">
      <c r="S438" s="37">
        <f t="shared" si="13"/>
        <v>4617.3883463200036</v>
      </c>
      <c r="U438" s="26">
        <f t="shared" si="12"/>
        <v>-5</v>
      </c>
    </row>
    <row r="439" spans="19:21" ht="14.65" thickBot="1" x14ac:dyDescent="0.5">
      <c r="S439" s="37">
        <f t="shared" si="13"/>
        <v>4663.5622297832033</v>
      </c>
      <c r="U439" s="26">
        <f t="shared" si="12"/>
        <v>-5</v>
      </c>
    </row>
    <row r="440" spans="19:21" ht="14.65" thickBot="1" x14ac:dyDescent="0.5">
      <c r="S440" s="37">
        <f t="shared" si="13"/>
        <v>4710.1978520810353</v>
      </c>
      <c r="U440" s="26">
        <f t="shared" si="12"/>
        <v>-5</v>
      </c>
    </row>
    <row r="441" spans="19:21" ht="14.65" thickBot="1" x14ac:dyDescent="0.5">
      <c r="S441" s="37">
        <f t="shared" si="13"/>
        <v>4757.2998306018453</v>
      </c>
      <c r="U441" s="26">
        <f t="shared" si="12"/>
        <v>-5</v>
      </c>
    </row>
    <row r="442" spans="19:21" ht="14.65" thickBot="1" x14ac:dyDescent="0.5">
      <c r="S442" s="37">
        <f t="shared" si="13"/>
        <v>4804.8728289078635</v>
      </c>
      <c r="U442" s="26">
        <f t="shared" si="12"/>
        <v>-5</v>
      </c>
    </row>
    <row r="443" spans="19:21" ht="14.65" thickBot="1" x14ac:dyDescent="0.5">
      <c r="S443" s="37">
        <f t="shared" si="13"/>
        <v>4852.9215571969426</v>
      </c>
      <c r="U443" s="26">
        <f t="shared" si="12"/>
        <v>-5</v>
      </c>
    </row>
    <row r="444" spans="19:21" ht="14.65" thickBot="1" x14ac:dyDescent="0.5">
      <c r="S444" s="37">
        <f t="shared" si="13"/>
        <v>4901.4507727689124</v>
      </c>
      <c r="U444" s="26">
        <f t="shared" si="12"/>
        <v>-5</v>
      </c>
    </row>
    <row r="445" spans="19:21" ht="14.65" thickBot="1" x14ac:dyDescent="0.5">
      <c r="S445" s="37">
        <f t="shared" si="13"/>
        <v>4950.4652804966017</v>
      </c>
      <c r="U445" s="26">
        <f t="shared" si="12"/>
        <v>-5</v>
      </c>
    </row>
    <row r="446" spans="19:21" ht="14.65" thickBot="1" x14ac:dyDescent="0.5">
      <c r="S446" s="37">
        <f t="shared" si="13"/>
        <v>4999.9699333015678</v>
      </c>
      <c r="U446" s="26">
        <f t="shared" si="12"/>
        <v>-5</v>
      </c>
    </row>
    <row r="447" spans="19:21" ht="14.65" thickBot="1" x14ac:dyDescent="0.5">
      <c r="S447" s="37">
        <f t="shared" si="13"/>
        <v>5049.9696326345838</v>
      </c>
      <c r="U447" s="26">
        <f t="shared" si="12"/>
        <v>-5</v>
      </c>
    </row>
    <row r="448" spans="19:21" ht="14.65" thickBot="1" x14ac:dyDescent="0.5">
      <c r="S448" s="37">
        <f t="shared" si="13"/>
        <v>5100.4693289609295</v>
      </c>
      <c r="U448" s="26">
        <f t="shared" si="12"/>
        <v>-5</v>
      </c>
    </row>
    <row r="449" spans="19:21" ht="14.65" thickBot="1" x14ac:dyDescent="0.5">
      <c r="S449" s="37">
        <f t="shared" si="13"/>
        <v>5151.4740222505388</v>
      </c>
      <c r="U449" s="26">
        <f t="shared" si="12"/>
        <v>-5</v>
      </c>
    </row>
    <row r="450" spans="19:21" ht="14.65" thickBot="1" x14ac:dyDescent="0.5">
      <c r="S450" s="37">
        <f t="shared" si="13"/>
        <v>5202.9887624730445</v>
      </c>
      <c r="U450" s="26">
        <f t="shared" si="12"/>
        <v>-5</v>
      </c>
    </row>
    <row r="451" spans="19:21" ht="14.65" thickBot="1" x14ac:dyDescent="0.5">
      <c r="S451" s="37">
        <f t="shared" si="13"/>
        <v>5255.0186500977752</v>
      </c>
      <c r="U451" s="26">
        <f t="shared" si="12"/>
        <v>-5</v>
      </c>
    </row>
    <row r="452" spans="19:21" ht="14.65" thickBot="1" x14ac:dyDescent="0.5">
      <c r="S452" s="37">
        <f t="shared" si="13"/>
        <v>5307.5688365987526</v>
      </c>
      <c r="U452" s="26">
        <f t="shared" si="12"/>
        <v>-5</v>
      </c>
    </row>
    <row r="453" spans="19:21" ht="14.65" thickBot="1" x14ac:dyDescent="0.5">
      <c r="S453" s="37">
        <f t="shared" si="13"/>
        <v>5360.6445249647404</v>
      </c>
      <c r="U453" s="26">
        <f t="shared" si="12"/>
        <v>-5</v>
      </c>
    </row>
    <row r="454" spans="19:21" ht="14.65" thickBot="1" x14ac:dyDescent="0.5">
      <c r="S454" s="37">
        <f t="shared" si="13"/>
        <v>5414.250970214388</v>
      </c>
      <c r="U454" s="26">
        <f t="shared" si="12"/>
        <v>-5</v>
      </c>
    </row>
    <row r="455" spans="19:21" ht="14.65" thickBot="1" x14ac:dyDescent="0.5">
      <c r="S455" s="37">
        <f t="shared" si="13"/>
        <v>5468.3934799165318</v>
      </c>
      <c r="U455" s="26">
        <f t="shared" si="12"/>
        <v>-5</v>
      </c>
    </row>
    <row r="456" spans="19:21" ht="14.65" thickBot="1" x14ac:dyDescent="0.5">
      <c r="S456" s="37">
        <f t="shared" si="13"/>
        <v>5523.0774147156972</v>
      </c>
      <c r="U456" s="26">
        <f t="shared" si="12"/>
        <v>-5</v>
      </c>
    </row>
    <row r="457" spans="19:21" ht="14.65" thickBot="1" x14ac:dyDescent="0.5">
      <c r="S457" s="37">
        <f t="shared" si="13"/>
        <v>5578.308188862854</v>
      </c>
      <c r="U457" s="26">
        <f t="shared" si="12"/>
        <v>-5</v>
      </c>
    </row>
    <row r="458" spans="19:21" ht="14.65" thickBot="1" x14ac:dyDescent="0.5">
      <c r="S458" s="37">
        <f t="shared" si="13"/>
        <v>5634.0912707514826</v>
      </c>
      <c r="U458" s="26">
        <f t="shared" si="12"/>
        <v>-5</v>
      </c>
    </row>
    <row r="459" spans="19:21" ht="14.65" thickBot="1" x14ac:dyDescent="0.5">
      <c r="S459" s="37">
        <f t="shared" si="13"/>
        <v>5690.4321834589973</v>
      </c>
      <c r="U459" s="26">
        <f t="shared" si="12"/>
        <v>-5</v>
      </c>
    </row>
    <row r="460" spans="19:21" ht="14.65" thickBot="1" x14ac:dyDescent="0.5">
      <c r="S460" s="37">
        <f t="shared" si="13"/>
        <v>5747.3365052935869</v>
      </c>
      <c r="U460" s="26">
        <f t="shared" si="12"/>
        <v>-5</v>
      </c>
    </row>
    <row r="461" spans="19:21" ht="14.65" thickBot="1" x14ac:dyDescent="0.5">
      <c r="S461" s="37">
        <f t="shared" si="13"/>
        <v>5804.809870346523</v>
      </c>
      <c r="U461" s="26">
        <f t="shared" si="12"/>
        <v>-5</v>
      </c>
    </row>
    <row r="462" spans="19:21" ht="14.65" thickBot="1" x14ac:dyDescent="0.5">
      <c r="S462" s="37">
        <f t="shared" si="13"/>
        <v>5862.8579690499882</v>
      </c>
      <c r="U462" s="26">
        <f t="shared" si="12"/>
        <v>-5</v>
      </c>
    </row>
    <row r="463" spans="19:21" ht="14.65" thickBot="1" x14ac:dyDescent="0.5">
      <c r="S463" s="37">
        <f t="shared" si="13"/>
        <v>5921.4865487404886</v>
      </c>
      <c r="U463" s="26">
        <f t="shared" si="12"/>
        <v>-5</v>
      </c>
    </row>
    <row r="464" spans="19:21" ht="14.65" thickBot="1" x14ac:dyDescent="0.5">
      <c r="S464" s="37">
        <f t="shared" si="13"/>
        <v>5980.7014142278931</v>
      </c>
      <c r="U464" s="26">
        <f t="shared" si="12"/>
        <v>-5</v>
      </c>
    </row>
    <row r="465" spans="19:21" ht="14.65" thickBot="1" x14ac:dyDescent="0.5">
      <c r="S465" s="37">
        <f t="shared" si="13"/>
        <v>6040.5084283701717</v>
      </c>
      <c r="U465" s="26">
        <f t="shared" si="12"/>
        <v>-5</v>
      </c>
    </row>
    <row r="466" spans="19:21" ht="14.65" thickBot="1" x14ac:dyDescent="0.5">
      <c r="S466" s="37">
        <f t="shared" si="13"/>
        <v>6100.9135126538731</v>
      </c>
      <c r="U466" s="26">
        <f t="shared" ref="U466:U529" si="14">IF(S466&lt;$D$7,($D$7-S466)-$D$8,-$D$8)</f>
        <v>-5</v>
      </c>
    </row>
    <row r="467" spans="19:21" ht="14.65" thickBot="1" x14ac:dyDescent="0.5">
      <c r="S467" s="37">
        <f t="shared" ref="S467:S530" si="15">S466*(1.01)</f>
        <v>6161.9226477804123</v>
      </c>
      <c r="U467" s="26">
        <f t="shared" si="14"/>
        <v>-5</v>
      </c>
    </row>
    <row r="468" spans="19:21" ht="14.65" thickBot="1" x14ac:dyDescent="0.5">
      <c r="S468" s="37">
        <f t="shared" si="15"/>
        <v>6223.541874258216</v>
      </c>
      <c r="U468" s="26">
        <f t="shared" si="14"/>
        <v>-5</v>
      </c>
    </row>
    <row r="469" spans="19:21" ht="14.65" thickBot="1" x14ac:dyDescent="0.5">
      <c r="S469" s="37">
        <f t="shared" si="15"/>
        <v>6285.7772930007986</v>
      </c>
      <c r="U469" s="26">
        <f t="shared" si="14"/>
        <v>-5</v>
      </c>
    </row>
    <row r="470" spans="19:21" ht="14.65" thickBot="1" x14ac:dyDescent="0.5">
      <c r="S470" s="37">
        <f t="shared" si="15"/>
        <v>6348.6350659308064</v>
      </c>
      <c r="U470" s="26">
        <f t="shared" si="14"/>
        <v>-5</v>
      </c>
    </row>
    <row r="471" spans="19:21" ht="14.65" thickBot="1" x14ac:dyDescent="0.5">
      <c r="S471" s="37">
        <f t="shared" si="15"/>
        <v>6412.1214165901147</v>
      </c>
      <c r="U471" s="26">
        <f t="shared" si="14"/>
        <v>-5</v>
      </c>
    </row>
    <row r="472" spans="19:21" ht="14.65" thickBot="1" x14ac:dyDescent="0.5">
      <c r="S472" s="37">
        <f t="shared" si="15"/>
        <v>6476.2426307560163</v>
      </c>
      <c r="U472" s="26">
        <f t="shared" si="14"/>
        <v>-5</v>
      </c>
    </row>
    <row r="473" spans="19:21" ht="14.65" thickBot="1" x14ac:dyDescent="0.5">
      <c r="S473" s="37">
        <f t="shared" si="15"/>
        <v>6541.0050570635767</v>
      </c>
      <c r="U473" s="26">
        <f t="shared" si="14"/>
        <v>-5</v>
      </c>
    </row>
    <row r="474" spans="19:21" ht="14.65" thickBot="1" x14ac:dyDescent="0.5">
      <c r="S474" s="37">
        <f t="shared" si="15"/>
        <v>6606.4151076342123</v>
      </c>
      <c r="U474" s="26">
        <f t="shared" si="14"/>
        <v>-5</v>
      </c>
    </row>
    <row r="475" spans="19:21" ht="14.65" thickBot="1" x14ac:dyDescent="0.5">
      <c r="S475" s="37">
        <f t="shared" si="15"/>
        <v>6672.4792587105549</v>
      </c>
      <c r="U475" s="26">
        <f t="shared" si="14"/>
        <v>-5</v>
      </c>
    </row>
    <row r="476" spans="19:21" ht="14.65" thickBot="1" x14ac:dyDescent="0.5">
      <c r="S476" s="37">
        <f t="shared" si="15"/>
        <v>6739.20405129766</v>
      </c>
      <c r="U476" s="26">
        <f t="shared" si="14"/>
        <v>-5</v>
      </c>
    </row>
    <row r="477" spans="19:21" ht="14.65" thickBot="1" x14ac:dyDescent="0.5">
      <c r="S477" s="37">
        <f t="shared" si="15"/>
        <v>6806.5960918106366</v>
      </c>
      <c r="U477" s="26">
        <f t="shared" si="14"/>
        <v>-5</v>
      </c>
    </row>
    <row r="478" spans="19:21" ht="14.65" thickBot="1" x14ac:dyDescent="0.5">
      <c r="S478" s="37">
        <f t="shared" si="15"/>
        <v>6874.6620527287432</v>
      </c>
      <c r="U478" s="26">
        <f t="shared" si="14"/>
        <v>-5</v>
      </c>
    </row>
    <row r="479" spans="19:21" ht="14.65" thickBot="1" x14ac:dyDescent="0.5">
      <c r="S479" s="37">
        <f t="shared" si="15"/>
        <v>6943.4086732560309</v>
      </c>
      <c r="U479" s="26">
        <f t="shared" si="14"/>
        <v>-5</v>
      </c>
    </row>
    <row r="480" spans="19:21" ht="14.65" thickBot="1" x14ac:dyDescent="0.5">
      <c r="S480" s="37">
        <f t="shared" si="15"/>
        <v>7012.8427599885908</v>
      </c>
      <c r="U480" s="26">
        <f t="shared" si="14"/>
        <v>-5</v>
      </c>
    </row>
    <row r="481" spans="19:21" ht="14.65" thickBot="1" x14ac:dyDescent="0.5">
      <c r="S481" s="37">
        <f t="shared" si="15"/>
        <v>7082.9711875884768</v>
      </c>
      <c r="U481" s="26">
        <f t="shared" si="14"/>
        <v>-5</v>
      </c>
    </row>
    <row r="482" spans="19:21" ht="14.65" thickBot="1" x14ac:dyDescent="0.5">
      <c r="S482" s="37">
        <f t="shared" si="15"/>
        <v>7153.8008994643615</v>
      </c>
      <c r="U482" s="26">
        <f t="shared" si="14"/>
        <v>-5</v>
      </c>
    </row>
    <row r="483" spans="19:21" ht="14.65" thickBot="1" x14ac:dyDescent="0.5">
      <c r="S483" s="37">
        <f t="shared" si="15"/>
        <v>7225.3389084590053</v>
      </c>
      <c r="U483" s="26">
        <f t="shared" si="14"/>
        <v>-5</v>
      </c>
    </row>
    <row r="484" spans="19:21" ht="14.65" thickBot="1" x14ac:dyDescent="0.5">
      <c r="S484" s="37">
        <f t="shared" si="15"/>
        <v>7297.5922975435951</v>
      </c>
      <c r="U484" s="26">
        <f t="shared" si="14"/>
        <v>-5</v>
      </c>
    </row>
    <row r="485" spans="19:21" ht="14.65" thickBot="1" x14ac:dyDescent="0.5">
      <c r="S485" s="37">
        <f t="shared" si="15"/>
        <v>7370.5682205190315</v>
      </c>
      <c r="U485" s="26">
        <f t="shared" si="14"/>
        <v>-5</v>
      </c>
    </row>
    <row r="486" spans="19:21" ht="14.65" thickBot="1" x14ac:dyDescent="0.5">
      <c r="S486" s="37">
        <f t="shared" si="15"/>
        <v>7444.2739027242214</v>
      </c>
      <c r="U486" s="26">
        <f t="shared" si="14"/>
        <v>-5</v>
      </c>
    </row>
    <row r="487" spans="19:21" ht="14.65" thickBot="1" x14ac:dyDescent="0.5">
      <c r="S487" s="37">
        <f t="shared" si="15"/>
        <v>7518.7166417514636</v>
      </c>
      <c r="U487" s="26">
        <f t="shared" si="14"/>
        <v>-5</v>
      </c>
    </row>
    <row r="488" spans="19:21" ht="14.65" thickBot="1" x14ac:dyDescent="0.5">
      <c r="S488" s="37">
        <f t="shared" si="15"/>
        <v>7593.9038081689787</v>
      </c>
      <c r="U488" s="26">
        <f t="shared" si="14"/>
        <v>-5</v>
      </c>
    </row>
    <row r="489" spans="19:21" ht="14.65" thickBot="1" x14ac:dyDescent="0.5">
      <c r="S489" s="37">
        <f t="shared" si="15"/>
        <v>7669.8428462506681</v>
      </c>
      <c r="U489" s="26">
        <f t="shared" si="14"/>
        <v>-5</v>
      </c>
    </row>
    <row r="490" spans="19:21" ht="14.65" thickBot="1" x14ac:dyDescent="0.5">
      <c r="S490" s="37">
        <f t="shared" si="15"/>
        <v>7746.541274713175</v>
      </c>
      <c r="U490" s="26">
        <f t="shared" si="14"/>
        <v>-5</v>
      </c>
    </row>
    <row r="491" spans="19:21" ht="14.65" thickBot="1" x14ac:dyDescent="0.5">
      <c r="S491" s="37">
        <f t="shared" si="15"/>
        <v>7824.0066874603071</v>
      </c>
      <c r="U491" s="26">
        <f t="shared" si="14"/>
        <v>-5</v>
      </c>
    </row>
    <row r="492" spans="19:21" ht="14.65" thickBot="1" x14ac:dyDescent="0.5">
      <c r="S492" s="37">
        <f t="shared" si="15"/>
        <v>7902.2467543349103</v>
      </c>
      <c r="U492" s="26">
        <f t="shared" si="14"/>
        <v>-5</v>
      </c>
    </row>
    <row r="493" spans="19:21" ht="14.65" thickBot="1" x14ac:dyDescent="0.5">
      <c r="S493" s="37">
        <f t="shared" si="15"/>
        <v>7981.2692218782595</v>
      </c>
      <c r="U493" s="26">
        <f t="shared" si="14"/>
        <v>-5</v>
      </c>
    </row>
    <row r="494" spans="19:21" ht="14.65" thickBot="1" x14ac:dyDescent="0.5">
      <c r="S494" s="37">
        <f t="shared" si="15"/>
        <v>8061.0819140970425</v>
      </c>
      <c r="U494" s="26">
        <f t="shared" si="14"/>
        <v>-5</v>
      </c>
    </row>
    <row r="495" spans="19:21" ht="14.65" thickBot="1" x14ac:dyDescent="0.5">
      <c r="S495" s="37">
        <f t="shared" si="15"/>
        <v>8141.6927332380128</v>
      </c>
      <c r="U495" s="26">
        <f t="shared" si="14"/>
        <v>-5</v>
      </c>
    </row>
    <row r="496" spans="19:21" ht="14.65" thickBot="1" x14ac:dyDescent="0.5">
      <c r="S496" s="37">
        <f t="shared" si="15"/>
        <v>8223.1096605703933</v>
      </c>
      <c r="U496" s="26">
        <f t="shared" si="14"/>
        <v>-5</v>
      </c>
    </row>
    <row r="497" spans="19:21" ht="14.65" thickBot="1" x14ac:dyDescent="0.5">
      <c r="S497" s="37">
        <f t="shared" si="15"/>
        <v>8305.3407571760981</v>
      </c>
      <c r="U497" s="26">
        <f t="shared" si="14"/>
        <v>-5</v>
      </c>
    </row>
    <row r="498" spans="19:21" ht="14.65" thickBot="1" x14ac:dyDescent="0.5">
      <c r="S498" s="37">
        <f t="shared" si="15"/>
        <v>8388.3941647478587</v>
      </c>
      <c r="U498" s="26">
        <f t="shared" si="14"/>
        <v>-5</v>
      </c>
    </row>
    <row r="499" spans="19:21" ht="14.65" thickBot="1" x14ac:dyDescent="0.5">
      <c r="S499" s="37">
        <f t="shared" si="15"/>
        <v>8472.2781063953371</v>
      </c>
      <c r="U499" s="26">
        <f t="shared" si="14"/>
        <v>-5</v>
      </c>
    </row>
    <row r="500" spans="19:21" ht="14.65" thickBot="1" x14ac:dyDescent="0.5">
      <c r="S500" s="37">
        <f t="shared" si="15"/>
        <v>8557.0008874592913</v>
      </c>
      <c r="U500" s="26">
        <f t="shared" si="14"/>
        <v>-5</v>
      </c>
    </row>
    <row r="501" spans="19:21" ht="14.65" thickBot="1" x14ac:dyDescent="0.5">
      <c r="S501" s="37">
        <f t="shared" si="15"/>
        <v>8642.5708963338839</v>
      </c>
      <c r="U501" s="26">
        <f t="shared" si="14"/>
        <v>-5</v>
      </c>
    </row>
    <row r="502" spans="19:21" ht="14.65" thickBot="1" x14ac:dyDescent="0.5">
      <c r="S502" s="37">
        <f t="shared" si="15"/>
        <v>8728.9966052972231</v>
      </c>
      <c r="U502" s="26">
        <f t="shared" si="14"/>
        <v>-5</v>
      </c>
    </row>
    <row r="503" spans="19:21" ht="14.65" thickBot="1" x14ac:dyDescent="0.5">
      <c r="S503" s="37">
        <f t="shared" si="15"/>
        <v>8816.286571350196</v>
      </c>
      <c r="U503" s="26">
        <f t="shared" si="14"/>
        <v>-5</v>
      </c>
    </row>
    <row r="504" spans="19:21" ht="14.65" thickBot="1" x14ac:dyDescent="0.5">
      <c r="S504" s="37">
        <f t="shared" si="15"/>
        <v>8904.4494370636985</v>
      </c>
      <c r="U504" s="26">
        <f t="shared" si="14"/>
        <v>-5</v>
      </c>
    </row>
    <row r="505" spans="19:21" ht="14.65" thickBot="1" x14ac:dyDescent="0.5">
      <c r="S505" s="37">
        <f t="shared" si="15"/>
        <v>8993.4939314343355</v>
      </c>
      <c r="U505" s="26">
        <f t="shared" si="14"/>
        <v>-5</v>
      </c>
    </row>
    <row r="506" spans="19:21" ht="14.65" thickBot="1" x14ac:dyDescent="0.5">
      <c r="S506" s="37">
        <f t="shared" si="15"/>
        <v>9083.4288707486794</v>
      </c>
      <c r="U506" s="26">
        <f t="shared" si="14"/>
        <v>-5</v>
      </c>
    </row>
    <row r="507" spans="19:21" ht="14.65" thickBot="1" x14ac:dyDescent="0.5">
      <c r="S507" s="37">
        <f t="shared" si="15"/>
        <v>9174.2631594561662</v>
      </c>
      <c r="U507" s="26">
        <f t="shared" si="14"/>
        <v>-5</v>
      </c>
    </row>
    <row r="508" spans="19:21" ht="14.65" thickBot="1" x14ac:dyDescent="0.5">
      <c r="S508" s="37">
        <f t="shared" si="15"/>
        <v>9266.0057910507276</v>
      </c>
      <c r="U508" s="26">
        <f t="shared" si="14"/>
        <v>-5</v>
      </c>
    </row>
    <row r="509" spans="19:21" ht="14.65" thickBot="1" x14ac:dyDescent="0.5">
      <c r="S509" s="37">
        <f t="shared" si="15"/>
        <v>9358.6658489612346</v>
      </c>
      <c r="U509" s="26">
        <f t="shared" si="14"/>
        <v>-5</v>
      </c>
    </row>
    <row r="510" spans="19:21" ht="14.65" thickBot="1" x14ac:dyDescent="0.5">
      <c r="S510" s="37">
        <f t="shared" si="15"/>
        <v>9452.2525074508467</v>
      </c>
      <c r="U510" s="26">
        <f t="shared" si="14"/>
        <v>-5</v>
      </c>
    </row>
    <row r="511" spans="19:21" ht="14.65" thickBot="1" x14ac:dyDescent="0.5">
      <c r="S511" s="37">
        <f t="shared" si="15"/>
        <v>9546.7750325253546</v>
      </c>
      <c r="U511" s="26">
        <f t="shared" si="14"/>
        <v>-5</v>
      </c>
    </row>
    <row r="512" spans="19:21" ht="14.65" thickBot="1" x14ac:dyDescent="0.5">
      <c r="S512" s="37">
        <f t="shared" si="15"/>
        <v>9642.2427828506079</v>
      </c>
      <c r="U512" s="26">
        <f t="shared" si="14"/>
        <v>-5</v>
      </c>
    </row>
    <row r="513" spans="19:21" ht="14.65" thickBot="1" x14ac:dyDescent="0.5">
      <c r="S513" s="37">
        <f t="shared" si="15"/>
        <v>9738.6652106791134</v>
      </c>
      <c r="U513" s="26">
        <f t="shared" si="14"/>
        <v>-5</v>
      </c>
    </row>
    <row r="514" spans="19:21" ht="14.65" thickBot="1" x14ac:dyDescent="0.5">
      <c r="S514" s="37">
        <f t="shared" si="15"/>
        <v>9836.0518627859055</v>
      </c>
      <c r="U514" s="26">
        <f t="shared" si="14"/>
        <v>-5</v>
      </c>
    </row>
    <row r="515" spans="19:21" ht="14.65" thickBot="1" x14ac:dyDescent="0.5">
      <c r="S515" s="37">
        <f t="shared" si="15"/>
        <v>9934.4123814137638</v>
      </c>
      <c r="U515" s="26">
        <f t="shared" si="14"/>
        <v>-5</v>
      </c>
    </row>
    <row r="516" spans="19:21" ht="14.65" thickBot="1" x14ac:dyDescent="0.5">
      <c r="S516" s="37">
        <f t="shared" si="15"/>
        <v>10033.756505227902</v>
      </c>
      <c r="U516" s="26">
        <f t="shared" si="14"/>
        <v>-5</v>
      </c>
    </row>
    <row r="517" spans="19:21" ht="14.65" thickBot="1" x14ac:dyDescent="0.5">
      <c r="S517" s="37">
        <f t="shared" si="15"/>
        <v>10134.094070280182</v>
      </c>
      <c r="U517" s="26">
        <f t="shared" si="14"/>
        <v>-5</v>
      </c>
    </row>
    <row r="518" spans="19:21" ht="14.65" thickBot="1" x14ac:dyDescent="0.5">
      <c r="S518" s="37">
        <f t="shared" si="15"/>
        <v>10235.435010982983</v>
      </c>
      <c r="U518" s="26">
        <f t="shared" si="14"/>
        <v>-5</v>
      </c>
    </row>
    <row r="519" spans="19:21" ht="14.65" thickBot="1" x14ac:dyDescent="0.5">
      <c r="S519" s="37">
        <f t="shared" si="15"/>
        <v>10337.789361092813</v>
      </c>
      <c r="U519" s="26">
        <f t="shared" si="14"/>
        <v>-5</v>
      </c>
    </row>
    <row r="520" spans="19:21" ht="14.65" thickBot="1" x14ac:dyDescent="0.5">
      <c r="S520" s="37">
        <f t="shared" si="15"/>
        <v>10441.167254703741</v>
      </c>
      <c r="U520" s="26">
        <f t="shared" si="14"/>
        <v>-5</v>
      </c>
    </row>
    <row r="521" spans="19:21" ht="14.65" thickBot="1" x14ac:dyDescent="0.5">
      <c r="S521" s="37">
        <f t="shared" si="15"/>
        <v>10545.578927250779</v>
      </c>
      <c r="U521" s="26">
        <f t="shared" si="14"/>
        <v>-5</v>
      </c>
    </row>
    <row r="522" spans="19:21" ht="14.65" thickBot="1" x14ac:dyDescent="0.5">
      <c r="S522" s="37">
        <f t="shared" si="15"/>
        <v>10651.034716523287</v>
      </c>
      <c r="U522" s="26">
        <f t="shared" si="14"/>
        <v>-5</v>
      </c>
    </row>
    <row r="523" spans="19:21" ht="14.65" thickBot="1" x14ac:dyDescent="0.5">
      <c r="S523" s="37">
        <f t="shared" si="15"/>
        <v>10757.54506368852</v>
      </c>
      <c r="U523" s="26">
        <f t="shared" si="14"/>
        <v>-5</v>
      </c>
    </row>
    <row r="524" spans="19:21" ht="14.65" thickBot="1" x14ac:dyDescent="0.5">
      <c r="S524" s="37">
        <f t="shared" si="15"/>
        <v>10865.120514325405</v>
      </c>
      <c r="U524" s="26">
        <f t="shared" si="14"/>
        <v>-5</v>
      </c>
    </row>
    <row r="525" spans="19:21" ht="14.65" thickBot="1" x14ac:dyDescent="0.5">
      <c r="S525" s="37">
        <f t="shared" si="15"/>
        <v>10973.771719468659</v>
      </c>
      <c r="U525" s="26">
        <f t="shared" si="14"/>
        <v>-5</v>
      </c>
    </row>
    <row r="526" spans="19:21" ht="14.65" thickBot="1" x14ac:dyDescent="0.5">
      <c r="S526" s="37">
        <f t="shared" si="15"/>
        <v>11083.509436663346</v>
      </c>
      <c r="U526" s="26">
        <f t="shared" si="14"/>
        <v>-5</v>
      </c>
    </row>
    <row r="527" spans="19:21" ht="14.65" thickBot="1" x14ac:dyDescent="0.5">
      <c r="S527" s="37">
        <f t="shared" si="15"/>
        <v>11194.344531029979</v>
      </c>
      <c r="U527" s="26">
        <f t="shared" si="14"/>
        <v>-5</v>
      </c>
    </row>
    <row r="528" spans="19:21" ht="14.65" thickBot="1" x14ac:dyDescent="0.5">
      <c r="S528" s="37">
        <f t="shared" si="15"/>
        <v>11306.28797634028</v>
      </c>
      <c r="U528" s="26">
        <f t="shared" si="14"/>
        <v>-5</v>
      </c>
    </row>
    <row r="529" spans="19:21" ht="14.65" thickBot="1" x14ac:dyDescent="0.5">
      <c r="S529" s="37">
        <f t="shared" si="15"/>
        <v>11419.350856103683</v>
      </c>
      <c r="U529" s="26">
        <f t="shared" si="14"/>
        <v>-5</v>
      </c>
    </row>
    <row r="530" spans="19:21" ht="14.65" thickBot="1" x14ac:dyDescent="0.5">
      <c r="S530" s="37">
        <f t="shared" si="15"/>
        <v>11533.54436466472</v>
      </c>
      <c r="U530" s="26">
        <f t="shared" ref="U530:U593" si="16">IF(S530&lt;$D$7,($D$7-S530)-$D$8,-$D$8)</f>
        <v>-5</v>
      </c>
    </row>
    <row r="531" spans="19:21" ht="14.65" thickBot="1" x14ac:dyDescent="0.5">
      <c r="S531" s="37">
        <f t="shared" ref="S531:S594" si="17">S530*(1.01)</f>
        <v>11648.879808311367</v>
      </c>
      <c r="U531" s="26">
        <f t="shared" si="16"/>
        <v>-5</v>
      </c>
    </row>
    <row r="532" spans="19:21" ht="14.65" thickBot="1" x14ac:dyDescent="0.5">
      <c r="S532" s="37">
        <f t="shared" si="17"/>
        <v>11765.368606394481</v>
      </c>
      <c r="U532" s="26">
        <f t="shared" si="16"/>
        <v>-5</v>
      </c>
    </row>
    <row r="533" spans="19:21" ht="14.65" thickBot="1" x14ac:dyDescent="0.5">
      <c r="S533" s="37">
        <f t="shared" si="17"/>
        <v>11883.022292458425</v>
      </c>
      <c r="U533" s="26">
        <f t="shared" si="16"/>
        <v>-5</v>
      </c>
    </row>
    <row r="534" spans="19:21" ht="14.65" thickBot="1" x14ac:dyDescent="0.5">
      <c r="S534" s="37">
        <f t="shared" si="17"/>
        <v>12001.852515383009</v>
      </c>
      <c r="U534" s="26">
        <f t="shared" si="16"/>
        <v>-5</v>
      </c>
    </row>
    <row r="535" spans="19:21" ht="14.65" thickBot="1" x14ac:dyDescent="0.5">
      <c r="S535" s="37">
        <f t="shared" si="17"/>
        <v>12121.871040536838</v>
      </c>
      <c r="U535" s="26">
        <f t="shared" si="16"/>
        <v>-5</v>
      </c>
    </row>
    <row r="536" spans="19:21" ht="14.65" thickBot="1" x14ac:dyDescent="0.5">
      <c r="S536" s="37">
        <f t="shared" si="17"/>
        <v>12243.089750942207</v>
      </c>
      <c r="U536" s="26">
        <f t="shared" si="16"/>
        <v>-5</v>
      </c>
    </row>
    <row r="537" spans="19:21" ht="14.65" thickBot="1" x14ac:dyDescent="0.5">
      <c r="S537" s="37">
        <f t="shared" si="17"/>
        <v>12365.520648451629</v>
      </c>
      <c r="U537" s="26">
        <f t="shared" si="16"/>
        <v>-5</v>
      </c>
    </row>
    <row r="538" spans="19:21" ht="14.65" thickBot="1" x14ac:dyDescent="0.5">
      <c r="S538" s="37">
        <f t="shared" si="17"/>
        <v>12489.175854936146</v>
      </c>
      <c r="U538" s="26">
        <f t="shared" si="16"/>
        <v>-5</v>
      </c>
    </row>
    <row r="539" spans="19:21" ht="14.65" thickBot="1" x14ac:dyDescent="0.5">
      <c r="S539" s="37">
        <f t="shared" si="17"/>
        <v>12614.067613485508</v>
      </c>
      <c r="U539" s="26">
        <f t="shared" si="16"/>
        <v>-5</v>
      </c>
    </row>
    <row r="540" spans="19:21" ht="14.65" thickBot="1" x14ac:dyDescent="0.5">
      <c r="S540" s="37">
        <f t="shared" si="17"/>
        <v>12740.208289620363</v>
      </c>
      <c r="U540" s="26">
        <f t="shared" si="16"/>
        <v>-5</v>
      </c>
    </row>
    <row r="541" spans="19:21" ht="14.65" thickBot="1" x14ac:dyDescent="0.5">
      <c r="S541" s="37">
        <f t="shared" si="17"/>
        <v>12867.610372516567</v>
      </c>
      <c r="U541" s="26">
        <f t="shared" si="16"/>
        <v>-5</v>
      </c>
    </row>
    <row r="542" spans="19:21" ht="14.65" thickBot="1" x14ac:dyDescent="0.5">
      <c r="S542" s="37">
        <f t="shared" si="17"/>
        <v>12996.286476241732</v>
      </c>
      <c r="U542" s="26">
        <f t="shared" si="16"/>
        <v>-5</v>
      </c>
    </row>
    <row r="543" spans="19:21" ht="14.65" thickBot="1" x14ac:dyDescent="0.5">
      <c r="S543" s="37">
        <f t="shared" si="17"/>
        <v>13126.24934100415</v>
      </c>
      <c r="U543" s="26">
        <f t="shared" si="16"/>
        <v>-5</v>
      </c>
    </row>
    <row r="544" spans="19:21" ht="14.65" thickBot="1" x14ac:dyDescent="0.5">
      <c r="S544" s="37">
        <f t="shared" si="17"/>
        <v>13257.511834414192</v>
      </c>
      <c r="U544" s="26">
        <f t="shared" si="16"/>
        <v>-5</v>
      </c>
    </row>
    <row r="545" spans="19:21" ht="14.65" thickBot="1" x14ac:dyDescent="0.5">
      <c r="S545" s="37">
        <f t="shared" si="17"/>
        <v>13390.086952758335</v>
      </c>
      <c r="U545" s="26">
        <f t="shared" si="16"/>
        <v>-5</v>
      </c>
    </row>
    <row r="546" spans="19:21" ht="14.65" thickBot="1" x14ac:dyDescent="0.5">
      <c r="S546" s="37">
        <f t="shared" si="17"/>
        <v>13523.987822285919</v>
      </c>
      <c r="U546" s="26">
        <f t="shared" si="16"/>
        <v>-5</v>
      </c>
    </row>
    <row r="547" spans="19:21" ht="14.65" thickBot="1" x14ac:dyDescent="0.5">
      <c r="S547" s="37">
        <f t="shared" si="17"/>
        <v>13659.227700508778</v>
      </c>
      <c r="U547" s="26">
        <f t="shared" si="16"/>
        <v>-5</v>
      </c>
    </row>
    <row r="548" spans="19:21" ht="14.65" thickBot="1" x14ac:dyDescent="0.5">
      <c r="S548" s="37">
        <f t="shared" si="17"/>
        <v>13795.819977513866</v>
      </c>
      <c r="U548" s="26">
        <f t="shared" si="16"/>
        <v>-5</v>
      </c>
    </row>
    <row r="549" spans="19:21" ht="14.65" thickBot="1" x14ac:dyDescent="0.5">
      <c r="S549" s="37">
        <f t="shared" si="17"/>
        <v>13933.778177289005</v>
      </c>
      <c r="U549" s="26">
        <f t="shared" si="16"/>
        <v>-5</v>
      </c>
    </row>
    <row r="550" spans="19:21" ht="14.65" thickBot="1" x14ac:dyDescent="0.5">
      <c r="S550" s="37">
        <f t="shared" si="17"/>
        <v>14073.115959061895</v>
      </c>
      <c r="U550" s="26">
        <f t="shared" si="16"/>
        <v>-5</v>
      </c>
    </row>
    <row r="551" spans="19:21" ht="14.65" thickBot="1" x14ac:dyDescent="0.5">
      <c r="S551" s="37">
        <f t="shared" si="17"/>
        <v>14213.847118652515</v>
      </c>
      <c r="U551" s="26">
        <f t="shared" si="16"/>
        <v>-5</v>
      </c>
    </row>
    <row r="552" spans="19:21" ht="14.65" thickBot="1" x14ac:dyDescent="0.5">
      <c r="S552" s="37">
        <f t="shared" si="17"/>
        <v>14355.98558983904</v>
      </c>
      <c r="U552" s="26">
        <f t="shared" si="16"/>
        <v>-5</v>
      </c>
    </row>
    <row r="553" spans="19:21" ht="14.65" thickBot="1" x14ac:dyDescent="0.5">
      <c r="S553" s="37">
        <f t="shared" si="17"/>
        <v>14499.545445737431</v>
      </c>
      <c r="U553" s="26">
        <f t="shared" si="16"/>
        <v>-5</v>
      </c>
    </row>
    <row r="554" spans="19:21" ht="14.65" thickBot="1" x14ac:dyDescent="0.5">
      <c r="S554" s="37">
        <f t="shared" si="17"/>
        <v>14644.540900194805</v>
      </c>
      <c r="U554" s="26">
        <f t="shared" si="16"/>
        <v>-5</v>
      </c>
    </row>
    <row r="555" spans="19:21" ht="14.65" thickBot="1" x14ac:dyDescent="0.5">
      <c r="S555" s="37">
        <f t="shared" si="17"/>
        <v>14790.986309196753</v>
      </c>
      <c r="U555" s="26">
        <f t="shared" si="16"/>
        <v>-5</v>
      </c>
    </row>
    <row r="556" spans="19:21" ht="14.65" thickBot="1" x14ac:dyDescent="0.5">
      <c r="S556" s="37">
        <f t="shared" si="17"/>
        <v>14938.89617228872</v>
      </c>
      <c r="U556" s="26">
        <f t="shared" si="16"/>
        <v>-5</v>
      </c>
    </row>
    <row r="557" spans="19:21" ht="14.65" thickBot="1" x14ac:dyDescent="0.5">
      <c r="S557" s="37">
        <f t="shared" si="17"/>
        <v>15088.285134011607</v>
      </c>
      <c r="U557" s="26">
        <f t="shared" si="16"/>
        <v>-5</v>
      </c>
    </row>
    <row r="558" spans="19:21" ht="14.65" thickBot="1" x14ac:dyDescent="0.5">
      <c r="S558" s="37">
        <f t="shared" si="17"/>
        <v>15239.167985351723</v>
      </c>
      <c r="U558" s="26">
        <f t="shared" si="16"/>
        <v>-5</v>
      </c>
    </row>
    <row r="559" spans="19:21" ht="14.65" thickBot="1" x14ac:dyDescent="0.5">
      <c r="S559" s="37">
        <f t="shared" si="17"/>
        <v>15391.559665205241</v>
      </c>
      <c r="U559" s="26">
        <f t="shared" si="16"/>
        <v>-5</v>
      </c>
    </row>
    <row r="560" spans="19:21" ht="14.65" thickBot="1" x14ac:dyDescent="0.5">
      <c r="S560" s="37">
        <f t="shared" si="17"/>
        <v>15545.475261857293</v>
      </c>
      <c r="U560" s="26">
        <f t="shared" si="16"/>
        <v>-5</v>
      </c>
    </row>
    <row r="561" spans="19:21" ht="14.65" thickBot="1" x14ac:dyDescent="0.5">
      <c r="S561" s="37">
        <f t="shared" si="17"/>
        <v>15700.930014475865</v>
      </c>
      <c r="U561" s="26">
        <f t="shared" si="16"/>
        <v>-5</v>
      </c>
    </row>
    <row r="562" spans="19:21" ht="14.65" thickBot="1" x14ac:dyDescent="0.5">
      <c r="S562" s="37">
        <f t="shared" si="17"/>
        <v>15857.939314620624</v>
      </c>
      <c r="U562" s="26">
        <f t="shared" si="16"/>
        <v>-5</v>
      </c>
    </row>
    <row r="563" spans="19:21" ht="14.65" thickBot="1" x14ac:dyDescent="0.5">
      <c r="S563" s="37">
        <f t="shared" si="17"/>
        <v>16016.518707766831</v>
      </c>
      <c r="U563" s="26">
        <f t="shared" si="16"/>
        <v>-5</v>
      </c>
    </row>
    <row r="564" spans="19:21" ht="14.65" thickBot="1" x14ac:dyDescent="0.5">
      <c r="S564" s="37">
        <f t="shared" si="17"/>
        <v>16176.683894844498</v>
      </c>
      <c r="U564" s="26">
        <f t="shared" si="16"/>
        <v>-5</v>
      </c>
    </row>
    <row r="565" spans="19:21" ht="14.65" thickBot="1" x14ac:dyDescent="0.5">
      <c r="S565" s="37">
        <f t="shared" si="17"/>
        <v>16338.450733792943</v>
      </c>
      <c r="U565" s="26">
        <f t="shared" si="16"/>
        <v>-5</v>
      </c>
    </row>
    <row r="566" spans="19:21" ht="14.65" thickBot="1" x14ac:dyDescent="0.5">
      <c r="S566" s="37">
        <f t="shared" si="17"/>
        <v>16501.835241130873</v>
      </c>
      <c r="U566" s="26">
        <f t="shared" si="16"/>
        <v>-5</v>
      </c>
    </row>
    <row r="567" spans="19:21" ht="14.65" thickBot="1" x14ac:dyDescent="0.5">
      <c r="S567" s="37">
        <f t="shared" si="17"/>
        <v>16666.853593542182</v>
      </c>
      <c r="U567" s="26">
        <f t="shared" si="16"/>
        <v>-5</v>
      </c>
    </row>
    <row r="568" spans="19:21" ht="14.65" thickBot="1" x14ac:dyDescent="0.5">
      <c r="S568" s="37">
        <f t="shared" si="17"/>
        <v>16833.522129477606</v>
      </c>
      <c r="U568" s="26">
        <f t="shared" si="16"/>
        <v>-5</v>
      </c>
    </row>
    <row r="569" spans="19:21" ht="14.65" thickBot="1" x14ac:dyDescent="0.5">
      <c r="S569" s="37">
        <f t="shared" si="17"/>
        <v>17001.857350772381</v>
      </c>
      <c r="U569" s="26">
        <f t="shared" si="16"/>
        <v>-5</v>
      </c>
    </row>
    <row r="570" spans="19:21" ht="14.65" thickBot="1" x14ac:dyDescent="0.5">
      <c r="S570" s="37">
        <f t="shared" si="17"/>
        <v>17171.875924280106</v>
      </c>
      <c r="U570" s="26">
        <f t="shared" si="16"/>
        <v>-5</v>
      </c>
    </row>
    <row r="571" spans="19:21" ht="14.65" thickBot="1" x14ac:dyDescent="0.5">
      <c r="S571" s="37">
        <f t="shared" si="17"/>
        <v>17343.594683522908</v>
      </c>
      <c r="U571" s="26">
        <f t="shared" si="16"/>
        <v>-5</v>
      </c>
    </row>
    <row r="572" spans="19:21" ht="14.65" thickBot="1" x14ac:dyDescent="0.5">
      <c r="S572" s="37">
        <f t="shared" si="17"/>
        <v>17517.030630358138</v>
      </c>
      <c r="U572" s="26">
        <f t="shared" si="16"/>
        <v>-5</v>
      </c>
    </row>
    <row r="573" spans="19:21" ht="14.65" thickBot="1" x14ac:dyDescent="0.5">
      <c r="S573" s="37">
        <f t="shared" si="17"/>
        <v>17692.20093666172</v>
      </c>
      <c r="U573" s="26">
        <f t="shared" si="16"/>
        <v>-5</v>
      </c>
    </row>
    <row r="574" spans="19:21" ht="14.65" thickBot="1" x14ac:dyDescent="0.5">
      <c r="S574" s="37">
        <f t="shared" si="17"/>
        <v>17869.122946028339</v>
      </c>
      <c r="U574" s="26">
        <f t="shared" si="16"/>
        <v>-5</v>
      </c>
    </row>
    <row r="575" spans="19:21" ht="14.65" thickBot="1" x14ac:dyDescent="0.5">
      <c r="S575" s="37">
        <f t="shared" si="17"/>
        <v>18047.814175488624</v>
      </c>
      <c r="U575" s="26">
        <f t="shared" si="16"/>
        <v>-5</v>
      </c>
    </row>
    <row r="576" spans="19:21" ht="14.65" thickBot="1" x14ac:dyDescent="0.5">
      <c r="S576" s="37">
        <f t="shared" si="17"/>
        <v>18228.292317243511</v>
      </c>
      <c r="U576" s="26">
        <f t="shared" si="16"/>
        <v>-5</v>
      </c>
    </row>
    <row r="577" spans="19:21" ht="14.65" thickBot="1" x14ac:dyDescent="0.5">
      <c r="S577" s="37">
        <f t="shared" si="17"/>
        <v>18410.575240415947</v>
      </c>
      <c r="U577" s="26">
        <f t="shared" si="16"/>
        <v>-5</v>
      </c>
    </row>
    <row r="578" spans="19:21" ht="14.65" thickBot="1" x14ac:dyDescent="0.5">
      <c r="S578" s="37">
        <f t="shared" si="17"/>
        <v>18594.680992820107</v>
      </c>
      <c r="U578" s="26">
        <f t="shared" si="16"/>
        <v>-5</v>
      </c>
    </row>
    <row r="579" spans="19:21" ht="14.65" thickBot="1" x14ac:dyDescent="0.5">
      <c r="S579" s="37">
        <f t="shared" si="17"/>
        <v>18780.627802748309</v>
      </c>
      <c r="U579" s="26">
        <f t="shared" si="16"/>
        <v>-5</v>
      </c>
    </row>
    <row r="580" spans="19:21" ht="14.65" thickBot="1" x14ac:dyDescent="0.5">
      <c r="S580" s="37">
        <f t="shared" si="17"/>
        <v>18968.434080775794</v>
      </c>
      <c r="U580" s="26">
        <f t="shared" si="16"/>
        <v>-5</v>
      </c>
    </row>
    <row r="581" spans="19:21" ht="14.65" thickBot="1" x14ac:dyDescent="0.5">
      <c r="S581" s="37">
        <f t="shared" si="17"/>
        <v>19158.118421583553</v>
      </c>
      <c r="U581" s="26">
        <f t="shared" si="16"/>
        <v>-5</v>
      </c>
    </row>
    <row r="582" spans="19:21" ht="14.65" thickBot="1" x14ac:dyDescent="0.5">
      <c r="S582" s="37">
        <f t="shared" si="17"/>
        <v>19349.699605799389</v>
      </c>
      <c r="U582" s="26">
        <f t="shared" si="16"/>
        <v>-5</v>
      </c>
    </row>
    <row r="583" spans="19:21" ht="14.65" thickBot="1" x14ac:dyDescent="0.5">
      <c r="S583" s="37">
        <f t="shared" si="17"/>
        <v>19543.196601857384</v>
      </c>
      <c r="U583" s="26">
        <f t="shared" si="16"/>
        <v>-5</v>
      </c>
    </row>
    <row r="584" spans="19:21" ht="14.65" thickBot="1" x14ac:dyDescent="0.5">
      <c r="S584" s="37">
        <f t="shared" si="17"/>
        <v>19738.62856787596</v>
      </c>
      <c r="U584" s="26">
        <f t="shared" si="16"/>
        <v>-5</v>
      </c>
    </row>
    <row r="585" spans="19:21" ht="14.65" thickBot="1" x14ac:dyDescent="0.5">
      <c r="S585" s="37">
        <f t="shared" si="17"/>
        <v>19936.01485355472</v>
      </c>
      <c r="U585" s="26">
        <f t="shared" si="16"/>
        <v>-5</v>
      </c>
    </row>
    <row r="586" spans="19:21" ht="14.65" thickBot="1" x14ac:dyDescent="0.5">
      <c r="S586" s="37">
        <f t="shared" si="17"/>
        <v>20135.375002090266</v>
      </c>
      <c r="U586" s="26">
        <f t="shared" si="16"/>
        <v>-5</v>
      </c>
    </row>
    <row r="587" spans="19:21" ht="14.65" thickBot="1" x14ac:dyDescent="0.5">
      <c r="S587" s="37">
        <f t="shared" si="17"/>
        <v>20336.728752111168</v>
      </c>
      <c r="U587" s="26">
        <f t="shared" si="16"/>
        <v>-5</v>
      </c>
    </row>
    <row r="588" spans="19:21" ht="14.65" thickBot="1" x14ac:dyDescent="0.5">
      <c r="S588" s="37">
        <f t="shared" si="17"/>
        <v>20540.096039632281</v>
      </c>
      <c r="U588" s="26">
        <f t="shared" si="16"/>
        <v>-5</v>
      </c>
    </row>
    <row r="589" spans="19:21" ht="14.65" thickBot="1" x14ac:dyDescent="0.5">
      <c r="S589" s="37">
        <f t="shared" si="17"/>
        <v>20745.497000028605</v>
      </c>
      <c r="U589" s="26">
        <f t="shared" si="16"/>
        <v>-5</v>
      </c>
    </row>
    <row r="590" spans="19:21" ht="14.65" thickBot="1" x14ac:dyDescent="0.5">
      <c r="S590" s="37">
        <f t="shared" si="17"/>
        <v>20952.951970028891</v>
      </c>
      <c r="U590" s="26">
        <f t="shared" si="16"/>
        <v>-5</v>
      </c>
    </row>
    <row r="591" spans="19:21" ht="14.65" thickBot="1" x14ac:dyDescent="0.5">
      <c r="S591" s="37">
        <f t="shared" si="17"/>
        <v>21162.48148972918</v>
      </c>
      <c r="U591" s="26">
        <f t="shared" si="16"/>
        <v>-5</v>
      </c>
    </row>
    <row r="592" spans="19:21" ht="14.65" thickBot="1" x14ac:dyDescent="0.5">
      <c r="S592" s="37">
        <f t="shared" si="17"/>
        <v>21374.106304626472</v>
      </c>
      <c r="U592" s="26">
        <f t="shared" si="16"/>
        <v>-5</v>
      </c>
    </row>
    <row r="593" spans="19:21" ht="14.65" thickBot="1" x14ac:dyDescent="0.5">
      <c r="S593" s="37">
        <f t="shared" si="17"/>
        <v>21587.847367672737</v>
      </c>
      <c r="U593" s="26">
        <f t="shared" si="16"/>
        <v>-5</v>
      </c>
    </row>
    <row r="594" spans="19:21" ht="14.65" thickBot="1" x14ac:dyDescent="0.5">
      <c r="S594" s="37">
        <f t="shared" si="17"/>
        <v>21803.725841349464</v>
      </c>
      <c r="U594" s="26">
        <f t="shared" ref="U594:U657" si="18">IF(S594&lt;$D$7,($D$7-S594)-$D$8,-$D$8)</f>
        <v>-5</v>
      </c>
    </row>
    <row r="595" spans="19:21" ht="14.65" thickBot="1" x14ac:dyDescent="0.5">
      <c r="S595" s="37">
        <f t="shared" ref="S595:S658" si="19">S594*(1.01)</f>
        <v>22021.76309976296</v>
      </c>
      <c r="U595" s="26">
        <f t="shared" si="18"/>
        <v>-5</v>
      </c>
    </row>
    <row r="596" spans="19:21" ht="14.65" thickBot="1" x14ac:dyDescent="0.5">
      <c r="S596" s="37">
        <f t="shared" si="19"/>
        <v>22241.980730760592</v>
      </c>
      <c r="U596" s="26">
        <f t="shared" si="18"/>
        <v>-5</v>
      </c>
    </row>
    <row r="597" spans="19:21" ht="14.65" thickBot="1" x14ac:dyDescent="0.5">
      <c r="S597" s="37">
        <f t="shared" si="19"/>
        <v>22464.400538068199</v>
      </c>
      <c r="U597" s="26">
        <f t="shared" si="18"/>
        <v>-5</v>
      </c>
    </row>
    <row r="598" spans="19:21" ht="14.65" thickBot="1" x14ac:dyDescent="0.5">
      <c r="S598" s="37">
        <f t="shared" si="19"/>
        <v>22689.044543448883</v>
      </c>
      <c r="U598" s="26">
        <f t="shared" si="18"/>
        <v>-5</v>
      </c>
    </row>
    <row r="599" spans="19:21" ht="14.65" thickBot="1" x14ac:dyDescent="0.5">
      <c r="S599" s="37">
        <f t="shared" si="19"/>
        <v>22915.934988883371</v>
      </c>
      <c r="U599" s="26">
        <f t="shared" si="18"/>
        <v>-5</v>
      </c>
    </row>
    <row r="600" spans="19:21" ht="14.65" thickBot="1" x14ac:dyDescent="0.5">
      <c r="S600" s="37">
        <f t="shared" si="19"/>
        <v>23145.094338772204</v>
      </c>
      <c r="U600" s="26">
        <f t="shared" si="18"/>
        <v>-5</v>
      </c>
    </row>
    <row r="601" spans="19:21" ht="14.65" thickBot="1" x14ac:dyDescent="0.5">
      <c r="S601" s="37">
        <f t="shared" si="19"/>
        <v>23376.545282159925</v>
      </c>
      <c r="U601" s="26">
        <f t="shared" si="18"/>
        <v>-5</v>
      </c>
    </row>
    <row r="602" spans="19:21" ht="14.65" thickBot="1" x14ac:dyDescent="0.5">
      <c r="S602" s="37">
        <f t="shared" si="19"/>
        <v>23610.310734981525</v>
      </c>
      <c r="U602" s="26">
        <f t="shared" si="18"/>
        <v>-5</v>
      </c>
    </row>
    <row r="603" spans="19:21" ht="14.65" thickBot="1" x14ac:dyDescent="0.5">
      <c r="S603" s="37">
        <f t="shared" si="19"/>
        <v>23846.413842331342</v>
      </c>
      <c r="U603" s="26">
        <f t="shared" si="18"/>
        <v>-5</v>
      </c>
    </row>
    <row r="604" spans="19:21" ht="14.65" thickBot="1" x14ac:dyDescent="0.5">
      <c r="S604" s="37">
        <f t="shared" si="19"/>
        <v>24084.877980754656</v>
      </c>
      <c r="U604" s="26">
        <f t="shared" si="18"/>
        <v>-5</v>
      </c>
    </row>
    <row r="605" spans="19:21" ht="14.65" thickBot="1" x14ac:dyDescent="0.5">
      <c r="S605" s="37">
        <f t="shared" si="19"/>
        <v>24325.726760562204</v>
      </c>
      <c r="U605" s="26">
        <f t="shared" si="18"/>
        <v>-5</v>
      </c>
    </row>
    <row r="606" spans="19:21" ht="14.65" thickBot="1" x14ac:dyDescent="0.5">
      <c r="S606" s="37">
        <f t="shared" si="19"/>
        <v>24568.984028167826</v>
      </c>
      <c r="U606" s="26">
        <f t="shared" si="18"/>
        <v>-5</v>
      </c>
    </row>
    <row r="607" spans="19:21" ht="14.65" thickBot="1" x14ac:dyDescent="0.5">
      <c r="S607" s="37">
        <f t="shared" si="19"/>
        <v>24814.673868449503</v>
      </c>
      <c r="U607" s="26">
        <f t="shared" si="18"/>
        <v>-5</v>
      </c>
    </row>
    <row r="608" spans="19:21" ht="14.65" thickBot="1" x14ac:dyDescent="0.5">
      <c r="S608" s="37">
        <f t="shared" si="19"/>
        <v>25062.820607133999</v>
      </c>
      <c r="U608" s="26">
        <f t="shared" si="18"/>
        <v>-5</v>
      </c>
    </row>
    <row r="609" spans="19:21" ht="14.65" thickBot="1" x14ac:dyDescent="0.5">
      <c r="S609" s="37">
        <f t="shared" si="19"/>
        <v>25313.448813205341</v>
      </c>
      <c r="U609" s="26">
        <f t="shared" si="18"/>
        <v>-5</v>
      </c>
    </row>
    <row r="610" spans="19:21" ht="14.65" thickBot="1" x14ac:dyDescent="0.5">
      <c r="S610" s="37">
        <f t="shared" si="19"/>
        <v>25566.583301337396</v>
      </c>
      <c r="U610" s="26">
        <f t="shared" si="18"/>
        <v>-5</v>
      </c>
    </row>
    <row r="611" spans="19:21" ht="14.65" thickBot="1" x14ac:dyDescent="0.5">
      <c r="S611" s="37">
        <f t="shared" si="19"/>
        <v>25822.249134350772</v>
      </c>
      <c r="U611" s="26">
        <f t="shared" si="18"/>
        <v>-5</v>
      </c>
    </row>
    <row r="612" spans="19:21" ht="14.65" thickBot="1" x14ac:dyDescent="0.5">
      <c r="S612" s="37">
        <f t="shared" si="19"/>
        <v>26080.471625694281</v>
      </c>
      <c r="U612" s="26">
        <f t="shared" si="18"/>
        <v>-5</v>
      </c>
    </row>
    <row r="613" spans="19:21" ht="14.65" thickBot="1" x14ac:dyDescent="0.5">
      <c r="S613" s="37">
        <f t="shared" si="19"/>
        <v>26341.276341951223</v>
      </c>
      <c r="U613" s="26">
        <f t="shared" si="18"/>
        <v>-5</v>
      </c>
    </row>
    <row r="614" spans="19:21" ht="14.65" thickBot="1" x14ac:dyDescent="0.5">
      <c r="S614" s="37">
        <f t="shared" si="19"/>
        <v>26604.689105370737</v>
      </c>
      <c r="U614" s="26">
        <f t="shared" si="18"/>
        <v>-5</v>
      </c>
    </row>
    <row r="615" spans="19:21" ht="14.65" thickBot="1" x14ac:dyDescent="0.5">
      <c r="S615" s="37">
        <f t="shared" si="19"/>
        <v>26870.735996424446</v>
      </c>
      <c r="U615" s="26">
        <f t="shared" si="18"/>
        <v>-5</v>
      </c>
    </row>
    <row r="616" spans="19:21" ht="14.65" thickBot="1" x14ac:dyDescent="0.5">
      <c r="S616" s="37">
        <f t="shared" si="19"/>
        <v>27139.443356388692</v>
      </c>
      <c r="U616" s="26">
        <f t="shared" si="18"/>
        <v>-5</v>
      </c>
    </row>
    <row r="617" spans="19:21" ht="14.65" thickBot="1" x14ac:dyDescent="0.5">
      <c r="S617" s="37">
        <f t="shared" si="19"/>
        <v>27410.83778995258</v>
      </c>
      <c r="U617" s="26">
        <f t="shared" si="18"/>
        <v>-5</v>
      </c>
    </row>
    <row r="618" spans="19:21" ht="14.65" thickBot="1" x14ac:dyDescent="0.5">
      <c r="S618" s="37">
        <f t="shared" si="19"/>
        <v>27684.946167852107</v>
      </c>
      <c r="U618" s="26">
        <f t="shared" si="18"/>
        <v>-5</v>
      </c>
    </row>
    <row r="619" spans="19:21" ht="14.65" thickBot="1" x14ac:dyDescent="0.5">
      <c r="S619" s="37">
        <f t="shared" si="19"/>
        <v>27961.795629530629</v>
      </c>
      <c r="U619" s="26">
        <f t="shared" si="18"/>
        <v>-5</v>
      </c>
    </row>
    <row r="620" spans="19:21" ht="14.65" thickBot="1" x14ac:dyDescent="0.5">
      <c r="S620" s="37">
        <f t="shared" si="19"/>
        <v>28241.413585825936</v>
      </c>
      <c r="U620" s="26">
        <f t="shared" si="18"/>
        <v>-5</v>
      </c>
    </row>
    <row r="621" spans="19:21" ht="14.65" thickBot="1" x14ac:dyDescent="0.5">
      <c r="S621" s="37">
        <f t="shared" si="19"/>
        <v>28523.827721684196</v>
      </c>
      <c r="U621" s="26">
        <f t="shared" si="18"/>
        <v>-5</v>
      </c>
    </row>
    <row r="622" spans="19:21" ht="14.65" thickBot="1" x14ac:dyDescent="0.5">
      <c r="S622" s="37">
        <f t="shared" si="19"/>
        <v>28809.065998901038</v>
      </c>
      <c r="U622" s="26">
        <f t="shared" si="18"/>
        <v>-5</v>
      </c>
    </row>
    <row r="623" spans="19:21" ht="14.65" thickBot="1" x14ac:dyDescent="0.5">
      <c r="S623" s="37">
        <f t="shared" si="19"/>
        <v>29097.15665889005</v>
      </c>
      <c r="U623" s="26">
        <f t="shared" si="18"/>
        <v>-5</v>
      </c>
    </row>
    <row r="624" spans="19:21" ht="14.65" thickBot="1" x14ac:dyDescent="0.5">
      <c r="S624" s="37">
        <f t="shared" si="19"/>
        <v>29388.128225478951</v>
      </c>
      <c r="U624" s="26">
        <f t="shared" si="18"/>
        <v>-5</v>
      </c>
    </row>
    <row r="625" spans="19:21" ht="14.65" thickBot="1" x14ac:dyDescent="0.5">
      <c r="S625" s="37">
        <f t="shared" si="19"/>
        <v>29682.009507733743</v>
      </c>
      <c r="U625" s="26">
        <f t="shared" si="18"/>
        <v>-5</v>
      </c>
    </row>
    <row r="626" spans="19:21" ht="14.65" thickBot="1" x14ac:dyDescent="0.5">
      <c r="S626" s="37">
        <f t="shared" si="19"/>
        <v>29978.829602811082</v>
      </c>
      <c r="U626" s="26">
        <f t="shared" si="18"/>
        <v>-5</v>
      </c>
    </row>
    <row r="627" spans="19:21" ht="14.65" thickBot="1" x14ac:dyDescent="0.5">
      <c r="S627" s="37">
        <f t="shared" si="19"/>
        <v>30278.617898839191</v>
      </c>
      <c r="U627" s="26">
        <f t="shared" si="18"/>
        <v>-5</v>
      </c>
    </row>
    <row r="628" spans="19:21" ht="14.65" thickBot="1" x14ac:dyDescent="0.5">
      <c r="S628" s="37">
        <f t="shared" si="19"/>
        <v>30581.404077827585</v>
      </c>
      <c r="U628" s="26">
        <f t="shared" si="18"/>
        <v>-5</v>
      </c>
    </row>
    <row r="629" spans="19:21" ht="14.65" thickBot="1" x14ac:dyDescent="0.5">
      <c r="S629" s="37">
        <f t="shared" si="19"/>
        <v>30887.218118605862</v>
      </c>
      <c r="U629" s="26">
        <f t="shared" si="18"/>
        <v>-5</v>
      </c>
    </row>
    <row r="630" spans="19:21" ht="14.65" thickBot="1" x14ac:dyDescent="0.5">
      <c r="S630" s="37">
        <f t="shared" si="19"/>
        <v>31196.090299791922</v>
      </c>
      <c r="U630" s="26">
        <f t="shared" si="18"/>
        <v>-5</v>
      </c>
    </row>
    <row r="631" spans="19:21" ht="14.65" thickBot="1" x14ac:dyDescent="0.5">
      <c r="S631" s="37">
        <f t="shared" si="19"/>
        <v>31508.05120278984</v>
      </c>
      <c r="U631" s="26">
        <f t="shared" si="18"/>
        <v>-5</v>
      </c>
    </row>
    <row r="632" spans="19:21" ht="14.65" thickBot="1" x14ac:dyDescent="0.5">
      <c r="S632" s="37">
        <f t="shared" si="19"/>
        <v>31823.13171481774</v>
      </c>
      <c r="U632" s="26">
        <f t="shared" si="18"/>
        <v>-5</v>
      </c>
    </row>
    <row r="633" spans="19:21" ht="14.65" thickBot="1" x14ac:dyDescent="0.5">
      <c r="S633" s="37">
        <f t="shared" si="19"/>
        <v>32141.363031965917</v>
      </c>
      <c r="U633" s="26">
        <f t="shared" si="18"/>
        <v>-5</v>
      </c>
    </row>
    <row r="634" spans="19:21" ht="14.65" thickBot="1" x14ac:dyDescent="0.5">
      <c r="S634" s="37">
        <f t="shared" si="19"/>
        <v>32462.776662285578</v>
      </c>
      <c r="U634" s="26">
        <f t="shared" si="18"/>
        <v>-5</v>
      </c>
    </row>
    <row r="635" spans="19:21" ht="14.65" thickBot="1" x14ac:dyDescent="0.5">
      <c r="S635" s="37">
        <f t="shared" si="19"/>
        <v>32787.404428908434</v>
      </c>
      <c r="U635" s="26">
        <f t="shared" si="18"/>
        <v>-5</v>
      </c>
    </row>
    <row r="636" spans="19:21" ht="14.65" thickBot="1" x14ac:dyDescent="0.5">
      <c r="S636" s="37">
        <f t="shared" si="19"/>
        <v>33115.278473197519</v>
      </c>
      <c r="U636" s="26">
        <f t="shared" si="18"/>
        <v>-5</v>
      </c>
    </row>
    <row r="637" spans="19:21" ht="14.65" thickBot="1" x14ac:dyDescent="0.5">
      <c r="S637" s="37">
        <f t="shared" si="19"/>
        <v>33446.431257929493</v>
      </c>
      <c r="U637" s="26">
        <f t="shared" si="18"/>
        <v>-5</v>
      </c>
    </row>
    <row r="638" spans="19:21" ht="14.65" thickBot="1" x14ac:dyDescent="0.5">
      <c r="S638" s="37">
        <f t="shared" si="19"/>
        <v>33780.895570508786</v>
      </c>
      <c r="U638" s="26">
        <f t="shared" si="18"/>
        <v>-5</v>
      </c>
    </row>
    <row r="639" spans="19:21" ht="14.65" thickBot="1" x14ac:dyDescent="0.5">
      <c r="S639" s="37">
        <f t="shared" si="19"/>
        <v>34118.704526213878</v>
      </c>
      <c r="U639" s="26">
        <f t="shared" si="18"/>
        <v>-5</v>
      </c>
    </row>
    <row r="640" spans="19:21" ht="14.65" thickBot="1" x14ac:dyDescent="0.5">
      <c r="S640" s="37">
        <f t="shared" si="19"/>
        <v>34459.891571476015</v>
      </c>
      <c r="U640" s="26">
        <f t="shared" si="18"/>
        <v>-5</v>
      </c>
    </row>
    <row r="641" spans="19:21" ht="14.65" thickBot="1" x14ac:dyDescent="0.5">
      <c r="S641" s="37">
        <f t="shared" si="19"/>
        <v>34804.490487190778</v>
      </c>
      <c r="U641" s="26">
        <f t="shared" si="18"/>
        <v>-5</v>
      </c>
    </row>
    <row r="642" spans="19:21" ht="14.65" thickBot="1" x14ac:dyDescent="0.5">
      <c r="S642" s="37">
        <f t="shared" si="19"/>
        <v>35152.535392062688</v>
      </c>
      <c r="U642" s="26">
        <f t="shared" si="18"/>
        <v>-5</v>
      </c>
    </row>
    <row r="643" spans="19:21" ht="14.65" thickBot="1" x14ac:dyDescent="0.5">
      <c r="S643" s="37">
        <f t="shared" si="19"/>
        <v>35504.060745983312</v>
      </c>
      <c r="U643" s="26">
        <f t="shared" si="18"/>
        <v>-5</v>
      </c>
    </row>
    <row r="644" spans="19:21" ht="14.65" thickBot="1" x14ac:dyDescent="0.5">
      <c r="S644" s="37">
        <f t="shared" si="19"/>
        <v>35859.101353443148</v>
      </c>
      <c r="U644" s="26">
        <f t="shared" si="18"/>
        <v>-5</v>
      </c>
    </row>
    <row r="645" spans="19:21" ht="14.65" thickBot="1" x14ac:dyDescent="0.5">
      <c r="S645" s="37">
        <f t="shared" si="19"/>
        <v>36217.692366977579</v>
      </c>
      <c r="U645" s="26">
        <f t="shared" si="18"/>
        <v>-5</v>
      </c>
    </row>
    <row r="646" spans="19:21" ht="14.65" thickBot="1" x14ac:dyDescent="0.5">
      <c r="S646" s="37">
        <f t="shared" si="19"/>
        <v>36579.869290647352</v>
      </c>
      <c r="U646" s="26">
        <f t="shared" si="18"/>
        <v>-5</v>
      </c>
    </row>
    <row r="647" spans="19:21" ht="14.65" thickBot="1" x14ac:dyDescent="0.5">
      <c r="S647" s="37">
        <f t="shared" si="19"/>
        <v>36945.667983553823</v>
      </c>
      <c r="U647" s="26">
        <f t="shared" si="18"/>
        <v>-5</v>
      </c>
    </row>
    <row r="648" spans="19:21" ht="14.65" thickBot="1" x14ac:dyDescent="0.5">
      <c r="S648" s="37">
        <f t="shared" si="19"/>
        <v>37315.124663389361</v>
      </c>
      <c r="U648" s="26">
        <f t="shared" si="18"/>
        <v>-5</v>
      </c>
    </row>
    <row r="649" spans="19:21" ht="14.65" thickBot="1" x14ac:dyDescent="0.5">
      <c r="S649" s="37">
        <f t="shared" si="19"/>
        <v>37688.275910023258</v>
      </c>
      <c r="U649" s="26">
        <f t="shared" si="18"/>
        <v>-5</v>
      </c>
    </row>
    <row r="650" spans="19:21" ht="14.65" thickBot="1" x14ac:dyDescent="0.5">
      <c r="S650" s="37">
        <f t="shared" si="19"/>
        <v>38065.158669123492</v>
      </c>
      <c r="U650" s="26">
        <f t="shared" si="18"/>
        <v>-5</v>
      </c>
    </row>
    <row r="651" spans="19:21" ht="14.65" thickBot="1" x14ac:dyDescent="0.5">
      <c r="S651" s="37">
        <f t="shared" si="19"/>
        <v>38445.810255814729</v>
      </c>
      <c r="U651" s="26">
        <f t="shared" si="18"/>
        <v>-5</v>
      </c>
    </row>
    <row r="652" spans="19:21" ht="14.65" thickBot="1" x14ac:dyDescent="0.5">
      <c r="S652" s="37">
        <f t="shared" si="19"/>
        <v>38830.268358372879</v>
      </c>
      <c r="U652" s="26">
        <f t="shared" si="18"/>
        <v>-5</v>
      </c>
    </row>
    <row r="653" spans="19:21" ht="14.65" thickBot="1" x14ac:dyDescent="0.5">
      <c r="S653" s="37">
        <f t="shared" si="19"/>
        <v>39218.571041956609</v>
      </c>
      <c r="U653" s="26">
        <f t="shared" si="18"/>
        <v>-5</v>
      </c>
    </row>
    <row r="654" spans="19:21" ht="14.65" thickBot="1" x14ac:dyDescent="0.5">
      <c r="S654" s="37">
        <f t="shared" si="19"/>
        <v>39610.756752376175</v>
      </c>
      <c r="U654" s="26">
        <f t="shared" si="18"/>
        <v>-5</v>
      </c>
    </row>
    <row r="655" spans="19:21" ht="14.65" thickBot="1" x14ac:dyDescent="0.5">
      <c r="S655" s="37">
        <f t="shared" si="19"/>
        <v>40006.864319899934</v>
      </c>
      <c r="U655" s="26">
        <f t="shared" si="18"/>
        <v>-5</v>
      </c>
    </row>
    <row r="656" spans="19:21" ht="14.65" thickBot="1" x14ac:dyDescent="0.5">
      <c r="S656" s="37">
        <f t="shared" si="19"/>
        <v>40406.93296309893</v>
      </c>
      <c r="U656" s="26">
        <f t="shared" si="18"/>
        <v>-5</v>
      </c>
    </row>
    <row r="657" spans="19:21" ht="14.65" thickBot="1" x14ac:dyDescent="0.5">
      <c r="S657" s="37">
        <f t="shared" si="19"/>
        <v>40811.002292729921</v>
      </c>
      <c r="U657" s="26">
        <f t="shared" si="18"/>
        <v>-5</v>
      </c>
    </row>
    <row r="658" spans="19:21" ht="14.65" thickBot="1" x14ac:dyDescent="0.5">
      <c r="S658" s="37">
        <f t="shared" si="19"/>
        <v>41219.112315657221</v>
      </c>
      <c r="U658" s="26">
        <f t="shared" ref="U658:U721" si="20">IF(S658&lt;$D$7,($D$7-S658)-$D$8,-$D$8)</f>
        <v>-5</v>
      </c>
    </row>
    <row r="659" spans="19:21" ht="14.65" thickBot="1" x14ac:dyDescent="0.5">
      <c r="S659" s="37">
        <f t="shared" ref="S659:S722" si="21">S658*(1.01)</f>
        <v>41631.303438813797</v>
      </c>
      <c r="U659" s="26">
        <f t="shared" si="20"/>
        <v>-5</v>
      </c>
    </row>
    <row r="660" spans="19:21" ht="14.65" thickBot="1" x14ac:dyDescent="0.5">
      <c r="S660" s="37">
        <f t="shared" si="21"/>
        <v>42047.616473201932</v>
      </c>
      <c r="U660" s="26">
        <f t="shared" si="20"/>
        <v>-5</v>
      </c>
    </row>
    <row r="661" spans="19:21" ht="14.65" thickBot="1" x14ac:dyDescent="0.5">
      <c r="S661" s="37">
        <f t="shared" si="21"/>
        <v>42468.092637933951</v>
      </c>
      <c r="U661" s="26">
        <f t="shared" si="20"/>
        <v>-5</v>
      </c>
    </row>
    <row r="662" spans="19:21" ht="14.65" thickBot="1" x14ac:dyDescent="0.5">
      <c r="S662" s="37">
        <f t="shared" si="21"/>
        <v>42892.773564313291</v>
      </c>
      <c r="U662" s="26">
        <f t="shared" si="20"/>
        <v>-5</v>
      </c>
    </row>
    <row r="663" spans="19:21" ht="14.65" thickBot="1" x14ac:dyDescent="0.5">
      <c r="S663" s="37">
        <f t="shared" si="21"/>
        <v>43321.701299956425</v>
      </c>
      <c r="U663" s="26">
        <f t="shared" si="20"/>
        <v>-5</v>
      </c>
    </row>
    <row r="664" spans="19:21" ht="14.65" thickBot="1" x14ac:dyDescent="0.5">
      <c r="S664" s="37">
        <f t="shared" si="21"/>
        <v>43754.91831295599</v>
      </c>
      <c r="U664" s="26">
        <f t="shared" si="20"/>
        <v>-5</v>
      </c>
    </row>
    <row r="665" spans="19:21" ht="14.65" thickBot="1" x14ac:dyDescent="0.5">
      <c r="S665" s="37">
        <f t="shared" si="21"/>
        <v>44192.467496085548</v>
      </c>
      <c r="U665" s="26">
        <f t="shared" si="20"/>
        <v>-5</v>
      </c>
    </row>
    <row r="666" spans="19:21" ht="14.65" thickBot="1" x14ac:dyDescent="0.5">
      <c r="S666" s="37">
        <f t="shared" si="21"/>
        <v>44634.392171046406</v>
      </c>
      <c r="U666" s="26">
        <f t="shared" si="20"/>
        <v>-5</v>
      </c>
    </row>
    <row r="667" spans="19:21" ht="14.65" thickBot="1" x14ac:dyDescent="0.5">
      <c r="S667" s="37">
        <f t="shared" si="21"/>
        <v>45080.736092756873</v>
      </c>
      <c r="U667" s="26">
        <f t="shared" si="20"/>
        <v>-5</v>
      </c>
    </row>
    <row r="668" spans="19:21" ht="14.65" thickBot="1" x14ac:dyDescent="0.5">
      <c r="S668" s="37">
        <f t="shared" si="21"/>
        <v>45531.54345368444</v>
      </c>
      <c r="U668" s="26">
        <f t="shared" si="20"/>
        <v>-5</v>
      </c>
    </row>
    <row r="669" spans="19:21" ht="14.65" thickBot="1" x14ac:dyDescent="0.5">
      <c r="S669" s="37">
        <f t="shared" si="21"/>
        <v>45986.858888221286</v>
      </c>
      <c r="U669" s="26">
        <f t="shared" si="20"/>
        <v>-5</v>
      </c>
    </row>
    <row r="670" spans="19:21" ht="14.65" thickBot="1" x14ac:dyDescent="0.5">
      <c r="S670" s="37">
        <f t="shared" si="21"/>
        <v>46446.727477103501</v>
      </c>
      <c r="U670" s="26">
        <f t="shared" si="20"/>
        <v>-5</v>
      </c>
    </row>
    <row r="671" spans="19:21" ht="14.65" thickBot="1" x14ac:dyDescent="0.5">
      <c r="S671" s="37">
        <f t="shared" si="21"/>
        <v>46911.194751874536</v>
      </c>
      <c r="U671" s="26">
        <f t="shared" si="20"/>
        <v>-5</v>
      </c>
    </row>
    <row r="672" spans="19:21" ht="14.65" thickBot="1" x14ac:dyDescent="0.5">
      <c r="S672" s="37">
        <f t="shared" si="21"/>
        <v>47380.306699393281</v>
      </c>
      <c r="U672" s="26">
        <f t="shared" si="20"/>
        <v>-5</v>
      </c>
    </row>
    <row r="673" spans="19:21" ht="14.65" thickBot="1" x14ac:dyDescent="0.5">
      <c r="S673" s="37">
        <f t="shared" si="21"/>
        <v>47854.109766387213</v>
      </c>
      <c r="U673" s="26">
        <f t="shared" si="20"/>
        <v>-5</v>
      </c>
    </row>
    <row r="674" spans="19:21" ht="14.65" thickBot="1" x14ac:dyDescent="0.5">
      <c r="S674" s="37">
        <f t="shared" si="21"/>
        <v>48332.650864051087</v>
      </c>
      <c r="U674" s="26">
        <f t="shared" si="20"/>
        <v>-5</v>
      </c>
    </row>
    <row r="675" spans="19:21" ht="14.65" thickBot="1" x14ac:dyDescent="0.5">
      <c r="S675" s="37">
        <f t="shared" si="21"/>
        <v>48815.977372691596</v>
      </c>
      <c r="U675" s="26">
        <f t="shared" si="20"/>
        <v>-5</v>
      </c>
    </row>
    <row r="676" spans="19:21" ht="14.65" thickBot="1" x14ac:dyDescent="0.5">
      <c r="S676" s="37">
        <f t="shared" si="21"/>
        <v>49304.137146418514</v>
      </c>
      <c r="U676" s="26">
        <f t="shared" si="20"/>
        <v>-5</v>
      </c>
    </row>
    <row r="677" spans="19:21" ht="14.65" thickBot="1" x14ac:dyDescent="0.5">
      <c r="S677" s="37">
        <f t="shared" si="21"/>
        <v>49797.178517882698</v>
      </c>
      <c r="U677" s="26">
        <f t="shared" si="20"/>
        <v>-5</v>
      </c>
    </row>
    <row r="678" spans="19:21" ht="14.65" thickBot="1" x14ac:dyDescent="0.5">
      <c r="S678" s="37">
        <f t="shared" si="21"/>
        <v>50295.150303061528</v>
      </c>
      <c r="U678" s="26">
        <f t="shared" si="20"/>
        <v>-5</v>
      </c>
    </row>
    <row r="679" spans="19:21" ht="14.65" thickBot="1" x14ac:dyDescent="0.5">
      <c r="S679" s="37">
        <f t="shared" si="21"/>
        <v>50798.101806092141</v>
      </c>
      <c r="U679" s="26">
        <f t="shared" si="20"/>
        <v>-5</v>
      </c>
    </row>
    <row r="680" spans="19:21" ht="14.65" thickBot="1" x14ac:dyDescent="0.5">
      <c r="S680" s="37">
        <f t="shared" si="21"/>
        <v>51306.082824153062</v>
      </c>
      <c r="U680" s="26">
        <f t="shared" si="20"/>
        <v>-5</v>
      </c>
    </row>
    <row r="681" spans="19:21" ht="14.65" thickBot="1" x14ac:dyDescent="0.5">
      <c r="S681" s="37">
        <f t="shared" si="21"/>
        <v>51819.143652394596</v>
      </c>
      <c r="U681" s="26">
        <f t="shared" si="20"/>
        <v>-5</v>
      </c>
    </row>
    <row r="682" spans="19:21" ht="14.65" thickBot="1" x14ac:dyDescent="0.5">
      <c r="S682" s="37">
        <f t="shared" si="21"/>
        <v>52337.335088918546</v>
      </c>
      <c r="U682" s="26">
        <f t="shared" si="20"/>
        <v>-5</v>
      </c>
    </row>
    <row r="683" spans="19:21" ht="14.65" thickBot="1" x14ac:dyDescent="0.5">
      <c r="S683" s="37">
        <f t="shared" si="21"/>
        <v>52860.708439807735</v>
      </c>
      <c r="U683" s="26">
        <f t="shared" si="20"/>
        <v>-5</v>
      </c>
    </row>
    <row r="684" spans="19:21" ht="14.65" thickBot="1" x14ac:dyDescent="0.5">
      <c r="S684" s="37">
        <f t="shared" si="21"/>
        <v>53389.315524205813</v>
      </c>
      <c r="U684" s="26">
        <f t="shared" si="20"/>
        <v>-5</v>
      </c>
    </row>
    <row r="685" spans="19:21" ht="14.65" thickBot="1" x14ac:dyDescent="0.5">
      <c r="S685" s="37">
        <f t="shared" si="21"/>
        <v>53923.208679447875</v>
      </c>
      <c r="U685" s="26">
        <f t="shared" si="20"/>
        <v>-5</v>
      </c>
    </row>
    <row r="686" spans="19:21" ht="14.65" thickBot="1" x14ac:dyDescent="0.5">
      <c r="S686" s="37">
        <f t="shared" si="21"/>
        <v>54462.440766242355</v>
      </c>
      <c r="U686" s="26">
        <f t="shared" si="20"/>
        <v>-5</v>
      </c>
    </row>
    <row r="687" spans="19:21" ht="14.65" thickBot="1" x14ac:dyDescent="0.5">
      <c r="S687" s="37">
        <f t="shared" si="21"/>
        <v>55007.065173904775</v>
      </c>
      <c r="U687" s="26">
        <f t="shared" si="20"/>
        <v>-5</v>
      </c>
    </row>
    <row r="688" spans="19:21" ht="14.65" thickBot="1" x14ac:dyDescent="0.5">
      <c r="S688" s="37">
        <f t="shared" si="21"/>
        <v>55557.135825643825</v>
      </c>
      <c r="U688" s="26">
        <f t="shared" si="20"/>
        <v>-5</v>
      </c>
    </row>
    <row r="689" spans="19:21" ht="14.65" thickBot="1" x14ac:dyDescent="0.5">
      <c r="S689" s="37">
        <f t="shared" si="21"/>
        <v>56112.707183900267</v>
      </c>
      <c r="U689" s="26">
        <f t="shared" si="20"/>
        <v>-5</v>
      </c>
    </row>
    <row r="690" spans="19:21" ht="14.65" thickBot="1" x14ac:dyDescent="0.5">
      <c r="S690" s="37">
        <f t="shared" si="21"/>
        <v>56673.834255739268</v>
      </c>
      <c r="U690" s="26">
        <f t="shared" si="20"/>
        <v>-5</v>
      </c>
    </row>
    <row r="691" spans="19:21" ht="14.65" thickBot="1" x14ac:dyDescent="0.5">
      <c r="S691" s="37">
        <f t="shared" si="21"/>
        <v>57240.572598296661</v>
      </c>
      <c r="U691" s="26">
        <f t="shared" si="20"/>
        <v>-5</v>
      </c>
    </row>
    <row r="692" spans="19:21" ht="14.65" thickBot="1" x14ac:dyDescent="0.5">
      <c r="S692" s="37">
        <f t="shared" si="21"/>
        <v>57812.978324279626</v>
      </c>
      <c r="U692" s="26">
        <f t="shared" si="20"/>
        <v>-5</v>
      </c>
    </row>
    <row r="693" spans="19:21" ht="14.65" thickBot="1" x14ac:dyDescent="0.5">
      <c r="S693" s="37">
        <f t="shared" si="21"/>
        <v>58391.108107522421</v>
      </c>
      <c r="U693" s="26">
        <f t="shared" si="20"/>
        <v>-5</v>
      </c>
    </row>
    <row r="694" spans="19:21" ht="14.65" thickBot="1" x14ac:dyDescent="0.5">
      <c r="S694" s="37">
        <f t="shared" si="21"/>
        <v>58975.019188597646</v>
      </c>
      <c r="U694" s="26">
        <f t="shared" si="20"/>
        <v>-5</v>
      </c>
    </row>
    <row r="695" spans="19:21" ht="14.65" thickBot="1" x14ac:dyDescent="0.5">
      <c r="S695" s="37">
        <f t="shared" si="21"/>
        <v>59564.769380483624</v>
      </c>
      <c r="U695" s="26">
        <f t="shared" si="20"/>
        <v>-5</v>
      </c>
    </row>
    <row r="696" spans="19:21" ht="14.65" thickBot="1" x14ac:dyDescent="0.5">
      <c r="S696" s="37">
        <f t="shared" si="21"/>
        <v>60160.41707428846</v>
      </c>
      <c r="U696" s="26">
        <f t="shared" si="20"/>
        <v>-5</v>
      </c>
    </row>
    <row r="697" spans="19:21" ht="14.65" thickBot="1" x14ac:dyDescent="0.5">
      <c r="S697" s="37">
        <f t="shared" si="21"/>
        <v>60762.021245031348</v>
      </c>
      <c r="U697" s="26">
        <f t="shared" si="20"/>
        <v>-5</v>
      </c>
    </row>
    <row r="698" spans="19:21" ht="14.65" thickBot="1" x14ac:dyDescent="0.5">
      <c r="S698" s="37">
        <f t="shared" si="21"/>
        <v>61369.641457481659</v>
      </c>
      <c r="U698" s="26">
        <f t="shared" si="20"/>
        <v>-5</v>
      </c>
    </row>
    <row r="699" spans="19:21" ht="14.65" thickBot="1" x14ac:dyDescent="0.5">
      <c r="S699" s="37">
        <f t="shared" si="21"/>
        <v>61983.33787205648</v>
      </c>
      <c r="U699" s="26">
        <f t="shared" si="20"/>
        <v>-5</v>
      </c>
    </row>
    <row r="700" spans="19:21" ht="14.65" thickBot="1" x14ac:dyDescent="0.5">
      <c r="S700" s="37">
        <f t="shared" si="21"/>
        <v>62603.171250777043</v>
      </c>
      <c r="U700" s="26">
        <f t="shared" si="20"/>
        <v>-5</v>
      </c>
    </row>
    <row r="701" spans="19:21" ht="14.65" thickBot="1" x14ac:dyDescent="0.5">
      <c r="S701" s="37">
        <f t="shared" si="21"/>
        <v>63229.202963284813</v>
      </c>
      <c r="U701" s="26">
        <f t="shared" si="20"/>
        <v>-5</v>
      </c>
    </row>
    <row r="702" spans="19:21" ht="14.65" thickBot="1" x14ac:dyDescent="0.5">
      <c r="S702" s="37">
        <f t="shared" si="21"/>
        <v>63861.494992917666</v>
      </c>
      <c r="U702" s="26">
        <f t="shared" si="20"/>
        <v>-5</v>
      </c>
    </row>
    <row r="703" spans="19:21" ht="14.65" thickBot="1" x14ac:dyDescent="0.5">
      <c r="S703" s="37">
        <f t="shared" si="21"/>
        <v>64500.109942846844</v>
      </c>
      <c r="U703" s="26">
        <f t="shared" si="20"/>
        <v>-5</v>
      </c>
    </row>
    <row r="704" spans="19:21" ht="14.65" thickBot="1" x14ac:dyDescent="0.5">
      <c r="S704" s="37">
        <f t="shared" si="21"/>
        <v>65145.111042275312</v>
      </c>
      <c r="U704" s="26">
        <f t="shared" si="20"/>
        <v>-5</v>
      </c>
    </row>
    <row r="705" spans="19:21" ht="14.65" thickBot="1" x14ac:dyDescent="0.5">
      <c r="S705" s="37">
        <f t="shared" si="21"/>
        <v>65796.562152698069</v>
      </c>
      <c r="U705" s="26">
        <f t="shared" si="20"/>
        <v>-5</v>
      </c>
    </row>
    <row r="706" spans="19:21" ht="14.65" thickBot="1" x14ac:dyDescent="0.5">
      <c r="S706" s="37">
        <f t="shared" si="21"/>
        <v>66454.527774225047</v>
      </c>
      <c r="U706" s="26">
        <f t="shared" si="20"/>
        <v>-5</v>
      </c>
    </row>
    <row r="707" spans="19:21" ht="14.65" thickBot="1" x14ac:dyDescent="0.5">
      <c r="S707" s="37">
        <f t="shared" si="21"/>
        <v>67119.073051967294</v>
      </c>
      <c r="U707" s="26">
        <f t="shared" si="20"/>
        <v>-5</v>
      </c>
    </row>
    <row r="708" spans="19:21" ht="14.65" thickBot="1" x14ac:dyDescent="0.5">
      <c r="S708" s="37">
        <f t="shared" si="21"/>
        <v>67790.263782486974</v>
      </c>
      <c r="U708" s="26">
        <f t="shared" si="20"/>
        <v>-5</v>
      </c>
    </row>
    <row r="709" spans="19:21" ht="14.65" thickBot="1" x14ac:dyDescent="0.5">
      <c r="S709" s="37">
        <f t="shared" si="21"/>
        <v>68468.166420311842</v>
      </c>
      <c r="U709" s="26">
        <f t="shared" si="20"/>
        <v>-5</v>
      </c>
    </row>
    <row r="710" spans="19:21" ht="14.65" thickBot="1" x14ac:dyDescent="0.5">
      <c r="S710" s="37">
        <f t="shared" si="21"/>
        <v>69152.848084514961</v>
      </c>
      <c r="U710" s="26">
        <f t="shared" si="20"/>
        <v>-5</v>
      </c>
    </row>
    <row r="711" spans="19:21" ht="14.65" thickBot="1" x14ac:dyDescent="0.5">
      <c r="S711" s="37">
        <f t="shared" si="21"/>
        <v>69844.376565360115</v>
      </c>
      <c r="U711" s="26">
        <f t="shared" si="20"/>
        <v>-5</v>
      </c>
    </row>
    <row r="712" spans="19:21" ht="14.65" thickBot="1" x14ac:dyDescent="0.5">
      <c r="S712" s="37">
        <f t="shared" si="21"/>
        <v>70542.820331013718</v>
      </c>
      <c r="U712" s="26">
        <f t="shared" si="20"/>
        <v>-5</v>
      </c>
    </row>
    <row r="713" spans="19:21" ht="14.65" thickBot="1" x14ac:dyDescent="0.5">
      <c r="S713" s="37">
        <f t="shared" si="21"/>
        <v>71248.248534323851</v>
      </c>
      <c r="U713" s="26">
        <f t="shared" si="20"/>
        <v>-5</v>
      </c>
    </row>
    <row r="714" spans="19:21" ht="14.65" thickBot="1" x14ac:dyDescent="0.5">
      <c r="S714" s="37">
        <f t="shared" si="21"/>
        <v>71960.731019667088</v>
      </c>
      <c r="U714" s="26">
        <f t="shared" si="20"/>
        <v>-5</v>
      </c>
    </row>
    <row r="715" spans="19:21" ht="14.65" thickBot="1" x14ac:dyDescent="0.5">
      <c r="S715" s="37">
        <f t="shared" si="21"/>
        <v>72680.338329863764</v>
      </c>
      <c r="U715" s="26">
        <f t="shared" si="20"/>
        <v>-5</v>
      </c>
    </row>
    <row r="716" spans="19:21" ht="14.65" thickBot="1" x14ac:dyDescent="0.5">
      <c r="S716" s="37">
        <f t="shared" si="21"/>
        <v>73407.141713162404</v>
      </c>
      <c r="U716" s="26">
        <f t="shared" si="20"/>
        <v>-5</v>
      </c>
    </row>
    <row r="717" spans="19:21" ht="14.65" thickBot="1" x14ac:dyDescent="0.5">
      <c r="S717" s="37">
        <f t="shared" si="21"/>
        <v>74141.213130294025</v>
      </c>
      <c r="U717" s="26">
        <f t="shared" si="20"/>
        <v>-5</v>
      </c>
    </row>
    <row r="718" spans="19:21" ht="14.65" thickBot="1" x14ac:dyDescent="0.5">
      <c r="S718" s="37">
        <f t="shared" si="21"/>
        <v>74882.625261596972</v>
      </c>
      <c r="U718" s="26">
        <f t="shared" si="20"/>
        <v>-5</v>
      </c>
    </row>
    <row r="719" spans="19:21" ht="14.65" thickBot="1" x14ac:dyDescent="0.5">
      <c r="S719" s="37">
        <f t="shared" si="21"/>
        <v>75631.451514212938</v>
      </c>
      <c r="U719" s="26">
        <f t="shared" si="20"/>
        <v>-5</v>
      </c>
    </row>
    <row r="720" spans="19:21" ht="14.65" thickBot="1" x14ac:dyDescent="0.5">
      <c r="S720" s="37">
        <f t="shared" si="21"/>
        <v>76387.766029355073</v>
      </c>
      <c r="U720" s="26">
        <f t="shared" si="20"/>
        <v>-5</v>
      </c>
    </row>
    <row r="721" spans="19:21" ht="14.65" thickBot="1" x14ac:dyDescent="0.5">
      <c r="S721" s="37">
        <f t="shared" si="21"/>
        <v>77151.643689648627</v>
      </c>
      <c r="U721" s="26">
        <f t="shared" si="20"/>
        <v>-5</v>
      </c>
    </row>
    <row r="722" spans="19:21" ht="14.65" thickBot="1" x14ac:dyDescent="0.5">
      <c r="S722" s="37">
        <f t="shared" si="21"/>
        <v>77923.160126545117</v>
      </c>
      <c r="U722" s="26">
        <f t="shared" ref="U722:U785" si="22">IF(S722&lt;$D$7,($D$7-S722)-$D$8,-$D$8)</f>
        <v>-5</v>
      </c>
    </row>
    <row r="723" spans="19:21" ht="14.65" thickBot="1" x14ac:dyDescent="0.5">
      <c r="S723" s="37">
        <f t="shared" ref="S723:S786" si="23">S722*(1.01)</f>
        <v>78702.391727810565</v>
      </c>
      <c r="U723" s="26">
        <f t="shared" si="22"/>
        <v>-5</v>
      </c>
    </row>
    <row r="724" spans="19:21" ht="14.65" thickBot="1" x14ac:dyDescent="0.5">
      <c r="S724" s="37">
        <f t="shared" si="23"/>
        <v>79489.415645088666</v>
      </c>
      <c r="U724" s="26">
        <f t="shared" si="22"/>
        <v>-5</v>
      </c>
    </row>
    <row r="725" spans="19:21" ht="14.65" thickBot="1" x14ac:dyDescent="0.5">
      <c r="S725" s="37">
        <f t="shared" si="23"/>
        <v>80284.309801539552</v>
      </c>
      <c r="U725" s="26">
        <f t="shared" si="22"/>
        <v>-5</v>
      </c>
    </row>
    <row r="726" spans="19:21" ht="14.65" thickBot="1" x14ac:dyDescent="0.5">
      <c r="S726" s="37">
        <f t="shared" si="23"/>
        <v>81087.152899554945</v>
      </c>
      <c r="U726" s="26">
        <f t="shared" si="22"/>
        <v>-5</v>
      </c>
    </row>
    <row r="727" spans="19:21" ht="14.65" thickBot="1" x14ac:dyDescent="0.5">
      <c r="S727" s="37">
        <f t="shared" si="23"/>
        <v>81898.024428550489</v>
      </c>
      <c r="U727" s="26">
        <f t="shared" si="22"/>
        <v>-5</v>
      </c>
    </row>
    <row r="728" spans="19:21" ht="14.65" thickBot="1" x14ac:dyDescent="0.5">
      <c r="S728" s="37">
        <f t="shared" si="23"/>
        <v>82717.004672835988</v>
      </c>
      <c r="U728" s="26">
        <f t="shared" si="22"/>
        <v>-5</v>
      </c>
    </row>
    <row r="729" spans="19:21" ht="14.65" thickBot="1" x14ac:dyDescent="0.5">
      <c r="S729" s="37">
        <f t="shared" si="23"/>
        <v>83544.174719564355</v>
      </c>
      <c r="U729" s="26">
        <f t="shared" si="22"/>
        <v>-5</v>
      </c>
    </row>
    <row r="730" spans="19:21" ht="14.65" thickBot="1" x14ac:dyDescent="0.5">
      <c r="S730" s="37">
        <f t="shared" si="23"/>
        <v>84379.616466759995</v>
      </c>
      <c r="U730" s="26">
        <f t="shared" si="22"/>
        <v>-5</v>
      </c>
    </row>
    <row r="731" spans="19:21" ht="14.65" thickBot="1" x14ac:dyDescent="0.5">
      <c r="S731" s="37">
        <f t="shared" si="23"/>
        <v>85223.412631427593</v>
      </c>
      <c r="U731" s="26">
        <f t="shared" si="22"/>
        <v>-5</v>
      </c>
    </row>
    <row r="732" spans="19:21" ht="14.65" thickBot="1" x14ac:dyDescent="0.5">
      <c r="S732" s="37">
        <f t="shared" si="23"/>
        <v>86075.646757741866</v>
      </c>
      <c r="U732" s="26">
        <f t="shared" si="22"/>
        <v>-5</v>
      </c>
    </row>
    <row r="733" spans="19:21" ht="14.65" thickBot="1" x14ac:dyDescent="0.5">
      <c r="S733" s="37">
        <f t="shared" si="23"/>
        <v>86936.403225319285</v>
      </c>
      <c r="U733" s="26">
        <f t="shared" si="22"/>
        <v>-5</v>
      </c>
    </row>
    <row r="734" spans="19:21" ht="14.65" thickBot="1" x14ac:dyDescent="0.5">
      <c r="S734" s="37">
        <f t="shared" si="23"/>
        <v>87805.767257572472</v>
      </c>
      <c r="U734" s="26">
        <f t="shared" si="22"/>
        <v>-5</v>
      </c>
    </row>
    <row r="735" spans="19:21" ht="14.65" thickBot="1" x14ac:dyDescent="0.5">
      <c r="S735" s="37">
        <f t="shared" si="23"/>
        <v>88683.824930148199</v>
      </c>
      <c r="U735" s="26">
        <f t="shared" si="22"/>
        <v>-5</v>
      </c>
    </row>
    <row r="736" spans="19:21" ht="14.65" thickBot="1" x14ac:dyDescent="0.5">
      <c r="S736" s="37">
        <f t="shared" si="23"/>
        <v>89570.663179449679</v>
      </c>
      <c r="U736" s="26">
        <f t="shared" si="22"/>
        <v>-5</v>
      </c>
    </row>
    <row r="737" spans="19:21" ht="14.65" thickBot="1" x14ac:dyDescent="0.5">
      <c r="S737" s="37">
        <f t="shared" si="23"/>
        <v>90466.369811244178</v>
      </c>
      <c r="U737" s="26">
        <f t="shared" si="22"/>
        <v>-5</v>
      </c>
    </row>
    <row r="738" spans="19:21" ht="14.65" thickBot="1" x14ac:dyDescent="0.5">
      <c r="S738" s="37">
        <f t="shared" si="23"/>
        <v>91371.033509356625</v>
      </c>
      <c r="U738" s="26">
        <f t="shared" si="22"/>
        <v>-5</v>
      </c>
    </row>
    <row r="739" spans="19:21" ht="14.65" thickBot="1" x14ac:dyDescent="0.5">
      <c r="S739" s="37">
        <f t="shared" si="23"/>
        <v>92284.743844450189</v>
      </c>
      <c r="U739" s="26">
        <f t="shared" si="22"/>
        <v>-5</v>
      </c>
    </row>
    <row r="740" spans="19:21" ht="14.65" thickBot="1" x14ac:dyDescent="0.5">
      <c r="S740" s="37">
        <f t="shared" si="23"/>
        <v>93207.591282894689</v>
      </c>
      <c r="U740" s="26">
        <f t="shared" si="22"/>
        <v>-5</v>
      </c>
    </row>
    <row r="741" spans="19:21" ht="14.65" thickBot="1" x14ac:dyDescent="0.5">
      <c r="S741" s="37">
        <f t="shared" si="23"/>
        <v>94139.667195723639</v>
      </c>
      <c r="U741" s="26">
        <f t="shared" si="22"/>
        <v>-5</v>
      </c>
    </row>
    <row r="742" spans="19:21" ht="14.65" thickBot="1" x14ac:dyDescent="0.5">
      <c r="S742" s="37">
        <f t="shared" si="23"/>
        <v>95081.063867680874</v>
      </c>
      <c r="U742" s="26">
        <f t="shared" si="22"/>
        <v>-5</v>
      </c>
    </row>
    <row r="743" spans="19:21" ht="14.65" thickBot="1" x14ac:dyDescent="0.5">
      <c r="S743" s="37">
        <f t="shared" si="23"/>
        <v>96031.874506357679</v>
      </c>
      <c r="U743" s="26">
        <f t="shared" si="22"/>
        <v>-5</v>
      </c>
    </row>
    <row r="744" spans="19:21" ht="14.65" thickBot="1" x14ac:dyDescent="0.5">
      <c r="S744" s="37">
        <f t="shared" si="23"/>
        <v>96992.193251421253</v>
      </c>
      <c r="U744" s="26">
        <f t="shared" si="22"/>
        <v>-5</v>
      </c>
    </row>
    <row r="745" spans="19:21" ht="14.65" thickBot="1" x14ac:dyDescent="0.5">
      <c r="S745" s="37">
        <f t="shared" si="23"/>
        <v>97962.115183935472</v>
      </c>
      <c r="U745" s="26">
        <f t="shared" si="22"/>
        <v>-5</v>
      </c>
    </row>
    <row r="746" spans="19:21" ht="14.65" thickBot="1" x14ac:dyDescent="0.5">
      <c r="S746" s="37">
        <f t="shared" si="23"/>
        <v>98941.736335774825</v>
      </c>
      <c r="U746" s="26">
        <f t="shared" si="22"/>
        <v>-5</v>
      </c>
    </row>
    <row r="747" spans="19:21" ht="14.65" thickBot="1" x14ac:dyDescent="0.5">
      <c r="S747" s="37">
        <f t="shared" si="23"/>
        <v>99931.15369913257</v>
      </c>
      <c r="U747" s="26">
        <f t="shared" si="22"/>
        <v>-5</v>
      </c>
    </row>
    <row r="748" spans="19:21" ht="14.65" thickBot="1" x14ac:dyDescent="0.5">
      <c r="S748" s="37">
        <f t="shared" si="23"/>
        <v>100930.4652361239</v>
      </c>
      <c r="U748" s="26">
        <f t="shared" si="22"/>
        <v>-5</v>
      </c>
    </row>
    <row r="749" spans="19:21" ht="14.65" thickBot="1" x14ac:dyDescent="0.5">
      <c r="S749" s="37">
        <f t="shared" si="23"/>
        <v>101939.76988848514</v>
      </c>
      <c r="U749" s="26">
        <f t="shared" si="22"/>
        <v>-5</v>
      </c>
    </row>
    <row r="750" spans="19:21" ht="14.65" thickBot="1" x14ac:dyDescent="0.5">
      <c r="S750" s="37">
        <f t="shared" si="23"/>
        <v>102959.16758737</v>
      </c>
      <c r="U750" s="26">
        <f t="shared" si="22"/>
        <v>-5</v>
      </c>
    </row>
    <row r="751" spans="19:21" ht="14.65" thickBot="1" x14ac:dyDescent="0.5">
      <c r="S751" s="37">
        <f t="shared" si="23"/>
        <v>103988.7592632437</v>
      </c>
      <c r="U751" s="26">
        <f t="shared" si="22"/>
        <v>-5</v>
      </c>
    </row>
    <row r="752" spans="19:21" ht="14.65" thickBot="1" x14ac:dyDescent="0.5">
      <c r="S752" s="37">
        <f t="shared" si="23"/>
        <v>105028.64685587614</v>
      </c>
      <c r="U752" s="26">
        <f t="shared" si="22"/>
        <v>-5</v>
      </c>
    </row>
    <row r="753" spans="19:21" ht="14.65" thickBot="1" x14ac:dyDescent="0.5">
      <c r="S753" s="37">
        <f t="shared" si="23"/>
        <v>106078.9333244349</v>
      </c>
      <c r="U753" s="26">
        <f t="shared" si="22"/>
        <v>-5</v>
      </c>
    </row>
    <row r="754" spans="19:21" ht="14.65" thickBot="1" x14ac:dyDescent="0.5">
      <c r="S754" s="37">
        <f t="shared" si="23"/>
        <v>107139.72265767925</v>
      </c>
      <c r="U754" s="26">
        <f t="shared" si="22"/>
        <v>-5</v>
      </c>
    </row>
    <row r="755" spans="19:21" ht="14.65" thickBot="1" x14ac:dyDescent="0.5">
      <c r="S755" s="37">
        <f t="shared" si="23"/>
        <v>108211.11988425604</v>
      </c>
      <c r="U755" s="26">
        <f t="shared" si="22"/>
        <v>-5</v>
      </c>
    </row>
    <row r="756" spans="19:21" ht="14.65" thickBot="1" x14ac:dyDescent="0.5">
      <c r="S756" s="37">
        <f t="shared" si="23"/>
        <v>109293.2310830986</v>
      </c>
      <c r="U756" s="26">
        <f t="shared" si="22"/>
        <v>-5</v>
      </c>
    </row>
    <row r="757" spans="19:21" ht="14.65" thickBot="1" x14ac:dyDescent="0.5">
      <c r="S757" s="37">
        <f t="shared" si="23"/>
        <v>110386.16339392959</v>
      </c>
      <c r="U757" s="26">
        <f t="shared" si="22"/>
        <v>-5</v>
      </c>
    </row>
    <row r="758" spans="19:21" ht="14.65" thickBot="1" x14ac:dyDescent="0.5">
      <c r="S758" s="37">
        <f t="shared" si="23"/>
        <v>111490.02502786888</v>
      </c>
      <c r="U758" s="26">
        <f t="shared" si="22"/>
        <v>-5</v>
      </c>
    </row>
    <row r="759" spans="19:21" ht="14.65" thickBot="1" x14ac:dyDescent="0.5">
      <c r="S759" s="37">
        <f t="shared" si="23"/>
        <v>112604.92527814757</v>
      </c>
      <c r="U759" s="26">
        <f t="shared" si="22"/>
        <v>-5</v>
      </c>
    </row>
    <row r="760" spans="19:21" ht="14.65" thickBot="1" x14ac:dyDescent="0.5">
      <c r="S760" s="37">
        <f t="shared" si="23"/>
        <v>113730.97453092904</v>
      </c>
      <c r="U760" s="26">
        <f t="shared" si="22"/>
        <v>-5</v>
      </c>
    </row>
    <row r="761" spans="19:21" ht="14.65" thickBot="1" x14ac:dyDescent="0.5">
      <c r="S761" s="37">
        <f t="shared" si="23"/>
        <v>114868.28427623834</v>
      </c>
      <c r="U761" s="26">
        <f t="shared" si="22"/>
        <v>-5</v>
      </c>
    </row>
    <row r="762" spans="19:21" ht="14.65" thickBot="1" x14ac:dyDescent="0.5">
      <c r="S762" s="37">
        <f t="shared" si="23"/>
        <v>116016.96711900072</v>
      </c>
      <c r="U762" s="26">
        <f t="shared" si="22"/>
        <v>-5</v>
      </c>
    </row>
    <row r="763" spans="19:21" ht="14.65" thickBot="1" x14ac:dyDescent="0.5">
      <c r="S763" s="37">
        <f t="shared" si="23"/>
        <v>117177.13679019074</v>
      </c>
      <c r="U763" s="26">
        <f t="shared" si="22"/>
        <v>-5</v>
      </c>
    </row>
    <row r="764" spans="19:21" ht="14.65" thickBot="1" x14ac:dyDescent="0.5">
      <c r="S764" s="37">
        <f t="shared" si="23"/>
        <v>118348.90815809264</v>
      </c>
      <c r="U764" s="26">
        <f t="shared" si="22"/>
        <v>-5</v>
      </c>
    </row>
    <row r="765" spans="19:21" ht="14.65" thickBot="1" x14ac:dyDescent="0.5">
      <c r="S765" s="37">
        <f t="shared" si="23"/>
        <v>119532.39723967358</v>
      </c>
      <c r="U765" s="26">
        <f t="shared" si="22"/>
        <v>-5</v>
      </c>
    </row>
    <row r="766" spans="19:21" ht="14.65" thickBot="1" x14ac:dyDescent="0.5">
      <c r="S766" s="37">
        <f t="shared" si="23"/>
        <v>120727.72121207032</v>
      </c>
      <c r="U766" s="26">
        <f t="shared" si="22"/>
        <v>-5</v>
      </c>
    </row>
    <row r="767" spans="19:21" ht="14.65" thickBot="1" x14ac:dyDescent="0.5">
      <c r="S767" s="37">
        <f t="shared" si="23"/>
        <v>121934.99842419103</v>
      </c>
      <c r="U767" s="26">
        <f t="shared" si="22"/>
        <v>-5</v>
      </c>
    </row>
    <row r="768" spans="19:21" ht="14.65" thickBot="1" x14ac:dyDescent="0.5">
      <c r="S768" s="37">
        <f t="shared" si="23"/>
        <v>123154.34840843294</v>
      </c>
      <c r="U768" s="26">
        <f t="shared" si="22"/>
        <v>-5</v>
      </c>
    </row>
    <row r="769" spans="19:21" ht="14.65" thickBot="1" x14ac:dyDescent="0.5">
      <c r="S769" s="37">
        <f t="shared" si="23"/>
        <v>124385.89189251728</v>
      </c>
      <c r="U769" s="26">
        <f t="shared" si="22"/>
        <v>-5</v>
      </c>
    </row>
    <row r="770" spans="19:21" ht="14.65" thickBot="1" x14ac:dyDescent="0.5">
      <c r="S770" s="37">
        <f t="shared" si="23"/>
        <v>125629.75081144246</v>
      </c>
      <c r="U770" s="26">
        <f t="shared" si="22"/>
        <v>-5</v>
      </c>
    </row>
    <row r="771" spans="19:21" ht="14.65" thickBot="1" x14ac:dyDescent="0.5">
      <c r="S771" s="37">
        <f t="shared" si="23"/>
        <v>126886.04831955688</v>
      </c>
      <c r="U771" s="26">
        <f t="shared" si="22"/>
        <v>-5</v>
      </c>
    </row>
    <row r="772" spans="19:21" ht="14.65" thickBot="1" x14ac:dyDescent="0.5">
      <c r="S772" s="37">
        <f t="shared" si="23"/>
        <v>128154.90880275246</v>
      </c>
      <c r="U772" s="26">
        <f t="shared" si="22"/>
        <v>-5</v>
      </c>
    </row>
    <row r="773" spans="19:21" ht="14.65" thickBot="1" x14ac:dyDescent="0.5">
      <c r="S773" s="37">
        <f t="shared" si="23"/>
        <v>129436.45789077999</v>
      </c>
      <c r="U773" s="26">
        <f t="shared" si="22"/>
        <v>-5</v>
      </c>
    </row>
    <row r="774" spans="19:21" ht="14.65" thickBot="1" x14ac:dyDescent="0.5">
      <c r="S774" s="37">
        <f t="shared" si="23"/>
        <v>130730.82246968779</v>
      </c>
      <c r="U774" s="26">
        <f t="shared" si="22"/>
        <v>-5</v>
      </c>
    </row>
    <row r="775" spans="19:21" ht="14.65" thickBot="1" x14ac:dyDescent="0.5">
      <c r="S775" s="37">
        <f t="shared" si="23"/>
        <v>132038.13069438466</v>
      </c>
      <c r="U775" s="26">
        <f t="shared" si="22"/>
        <v>-5</v>
      </c>
    </row>
    <row r="776" spans="19:21" ht="14.65" thickBot="1" x14ac:dyDescent="0.5">
      <c r="S776" s="37">
        <f t="shared" si="23"/>
        <v>133358.51200132852</v>
      </c>
      <c r="U776" s="26">
        <f t="shared" si="22"/>
        <v>-5</v>
      </c>
    </row>
    <row r="777" spans="19:21" ht="14.65" thickBot="1" x14ac:dyDescent="0.5">
      <c r="S777" s="37">
        <f t="shared" si="23"/>
        <v>134692.09712134179</v>
      </c>
      <c r="U777" s="26">
        <f t="shared" si="22"/>
        <v>-5</v>
      </c>
    </row>
    <row r="778" spans="19:21" ht="14.65" thickBot="1" x14ac:dyDescent="0.5">
      <c r="S778" s="37">
        <f t="shared" si="23"/>
        <v>136039.01809255523</v>
      </c>
      <c r="U778" s="26">
        <f t="shared" si="22"/>
        <v>-5</v>
      </c>
    </row>
    <row r="779" spans="19:21" ht="14.65" thickBot="1" x14ac:dyDescent="0.5">
      <c r="S779" s="37">
        <f t="shared" si="23"/>
        <v>137399.40827348077</v>
      </c>
      <c r="U779" s="26">
        <f t="shared" si="22"/>
        <v>-5</v>
      </c>
    </row>
    <row r="780" spans="19:21" ht="14.65" thickBot="1" x14ac:dyDescent="0.5">
      <c r="S780" s="37">
        <f t="shared" si="23"/>
        <v>138773.40235621558</v>
      </c>
      <c r="U780" s="26">
        <f t="shared" si="22"/>
        <v>-5</v>
      </c>
    </row>
    <row r="781" spans="19:21" ht="14.65" thickBot="1" x14ac:dyDescent="0.5">
      <c r="S781" s="37">
        <f t="shared" si="23"/>
        <v>140161.13637977774</v>
      </c>
      <c r="U781" s="26">
        <f t="shared" si="22"/>
        <v>-5</v>
      </c>
    </row>
    <row r="782" spans="19:21" ht="14.65" thickBot="1" x14ac:dyDescent="0.5">
      <c r="S782" s="37">
        <f t="shared" si="23"/>
        <v>141562.74774357551</v>
      </c>
      <c r="U782" s="26">
        <f t="shared" si="22"/>
        <v>-5</v>
      </c>
    </row>
    <row r="783" spans="19:21" ht="14.65" thickBot="1" x14ac:dyDescent="0.5">
      <c r="S783" s="37">
        <f t="shared" si="23"/>
        <v>142978.37522101126</v>
      </c>
      <c r="U783" s="26">
        <f t="shared" si="22"/>
        <v>-5</v>
      </c>
    </row>
    <row r="784" spans="19:21" ht="14.65" thickBot="1" x14ac:dyDescent="0.5">
      <c r="S784" s="37">
        <f t="shared" si="23"/>
        <v>144408.15897322138</v>
      </c>
      <c r="U784" s="26">
        <f t="shared" si="22"/>
        <v>-5</v>
      </c>
    </row>
    <row r="785" spans="19:21" ht="14.65" thickBot="1" x14ac:dyDescent="0.5">
      <c r="S785" s="37">
        <f t="shared" si="23"/>
        <v>145852.24056295358</v>
      </c>
      <c r="U785" s="26">
        <f t="shared" si="22"/>
        <v>-5</v>
      </c>
    </row>
    <row r="786" spans="19:21" ht="14.65" thickBot="1" x14ac:dyDescent="0.5">
      <c r="S786" s="37">
        <f t="shared" si="23"/>
        <v>147310.76296858312</v>
      </c>
      <c r="U786" s="26">
        <f t="shared" ref="U786:U849" si="24">IF(S786&lt;$D$7,($D$7-S786)-$D$8,-$D$8)</f>
        <v>-5</v>
      </c>
    </row>
    <row r="787" spans="19:21" ht="14.65" thickBot="1" x14ac:dyDescent="0.5">
      <c r="S787" s="37">
        <f t="shared" ref="S787:S850" si="25">S786*(1.01)</f>
        <v>148783.87059826896</v>
      </c>
      <c r="U787" s="26">
        <f t="shared" si="24"/>
        <v>-5</v>
      </c>
    </row>
    <row r="788" spans="19:21" ht="14.65" thickBot="1" x14ac:dyDescent="0.5">
      <c r="S788" s="37">
        <f t="shared" si="25"/>
        <v>150271.70930425165</v>
      </c>
      <c r="U788" s="26">
        <f t="shared" si="24"/>
        <v>-5</v>
      </c>
    </row>
    <row r="789" spans="19:21" ht="14.65" thickBot="1" x14ac:dyDescent="0.5">
      <c r="S789" s="37">
        <f t="shared" si="25"/>
        <v>151774.42639729416</v>
      </c>
      <c r="U789" s="26">
        <f t="shared" si="24"/>
        <v>-5</v>
      </c>
    </row>
    <row r="790" spans="19:21" ht="14.65" thickBot="1" x14ac:dyDescent="0.5">
      <c r="S790" s="37">
        <f t="shared" si="25"/>
        <v>153292.1706612671</v>
      </c>
      <c r="U790" s="26">
        <f t="shared" si="24"/>
        <v>-5</v>
      </c>
    </row>
    <row r="791" spans="19:21" ht="14.65" thickBot="1" x14ac:dyDescent="0.5">
      <c r="S791" s="37">
        <f t="shared" si="25"/>
        <v>154825.09236787976</v>
      </c>
      <c r="U791" s="26">
        <f t="shared" si="24"/>
        <v>-5</v>
      </c>
    </row>
    <row r="792" spans="19:21" ht="14.65" thickBot="1" x14ac:dyDescent="0.5">
      <c r="S792" s="37">
        <f t="shared" si="25"/>
        <v>156373.34329155856</v>
      </c>
      <c r="U792" s="26">
        <f t="shared" si="24"/>
        <v>-5</v>
      </c>
    </row>
    <row r="793" spans="19:21" ht="14.65" thickBot="1" x14ac:dyDescent="0.5">
      <c r="S793" s="37">
        <f t="shared" si="25"/>
        <v>157937.07672447414</v>
      </c>
      <c r="U793" s="26">
        <f t="shared" si="24"/>
        <v>-5</v>
      </c>
    </row>
    <row r="794" spans="19:21" ht="14.65" thickBot="1" x14ac:dyDescent="0.5">
      <c r="S794" s="37">
        <f t="shared" si="25"/>
        <v>159516.44749171889</v>
      </c>
      <c r="U794" s="26">
        <f t="shared" si="24"/>
        <v>-5</v>
      </c>
    </row>
    <row r="795" spans="19:21" ht="14.65" thickBot="1" x14ac:dyDescent="0.5">
      <c r="S795" s="37">
        <f t="shared" si="25"/>
        <v>161111.61196663609</v>
      </c>
      <c r="U795" s="26">
        <f t="shared" si="24"/>
        <v>-5</v>
      </c>
    </row>
    <row r="796" spans="19:21" ht="14.65" thickBot="1" x14ac:dyDescent="0.5">
      <c r="S796" s="37">
        <f t="shared" si="25"/>
        <v>162722.72808630246</v>
      </c>
      <c r="U796" s="26">
        <f t="shared" si="24"/>
        <v>-5</v>
      </c>
    </row>
    <row r="797" spans="19:21" ht="14.65" thickBot="1" x14ac:dyDescent="0.5">
      <c r="S797" s="37">
        <f t="shared" si="25"/>
        <v>164349.9553671655</v>
      </c>
      <c r="U797" s="26">
        <f t="shared" si="24"/>
        <v>-5</v>
      </c>
    </row>
    <row r="798" spans="19:21" ht="14.65" thickBot="1" x14ac:dyDescent="0.5">
      <c r="S798" s="37">
        <f t="shared" si="25"/>
        <v>165993.45492083716</v>
      </c>
      <c r="U798" s="26">
        <f t="shared" si="24"/>
        <v>-5</v>
      </c>
    </row>
    <row r="799" spans="19:21" ht="14.65" thickBot="1" x14ac:dyDescent="0.5">
      <c r="S799" s="37">
        <f t="shared" si="25"/>
        <v>167653.38947004554</v>
      </c>
      <c r="U799" s="26">
        <f t="shared" si="24"/>
        <v>-5</v>
      </c>
    </row>
    <row r="800" spans="19:21" ht="14.65" thickBot="1" x14ac:dyDescent="0.5">
      <c r="S800" s="37">
        <f t="shared" si="25"/>
        <v>169329.92336474601</v>
      </c>
      <c r="U800" s="26">
        <f t="shared" si="24"/>
        <v>-5</v>
      </c>
    </row>
    <row r="801" spans="19:21" ht="14.65" thickBot="1" x14ac:dyDescent="0.5">
      <c r="S801" s="37">
        <f t="shared" si="25"/>
        <v>171023.22259839348</v>
      </c>
      <c r="U801" s="26">
        <f t="shared" si="24"/>
        <v>-5</v>
      </c>
    </row>
    <row r="802" spans="19:21" ht="14.65" thickBot="1" x14ac:dyDescent="0.5">
      <c r="S802" s="37">
        <f t="shared" si="25"/>
        <v>172733.4548243774</v>
      </c>
      <c r="U802" s="26">
        <f t="shared" si="24"/>
        <v>-5</v>
      </c>
    </row>
    <row r="803" spans="19:21" ht="14.65" thickBot="1" x14ac:dyDescent="0.5">
      <c r="S803" s="37">
        <f t="shared" si="25"/>
        <v>174460.78937262119</v>
      </c>
      <c r="U803" s="26">
        <f t="shared" si="24"/>
        <v>-5</v>
      </c>
    </row>
    <row r="804" spans="19:21" ht="14.65" thickBot="1" x14ac:dyDescent="0.5">
      <c r="S804" s="37">
        <f t="shared" si="25"/>
        <v>176205.3972663474</v>
      </c>
      <c r="U804" s="26">
        <f t="shared" si="24"/>
        <v>-5</v>
      </c>
    </row>
    <row r="805" spans="19:21" ht="14.65" thickBot="1" x14ac:dyDescent="0.5">
      <c r="S805" s="37">
        <f t="shared" si="25"/>
        <v>177967.45123901087</v>
      </c>
      <c r="U805" s="26">
        <f t="shared" si="24"/>
        <v>-5</v>
      </c>
    </row>
    <row r="806" spans="19:21" ht="14.65" thickBot="1" x14ac:dyDescent="0.5">
      <c r="S806" s="37">
        <f t="shared" si="25"/>
        <v>179747.12575140098</v>
      </c>
      <c r="U806" s="26">
        <f t="shared" si="24"/>
        <v>-5</v>
      </c>
    </row>
    <row r="807" spans="19:21" ht="14.65" thickBot="1" x14ac:dyDescent="0.5">
      <c r="S807" s="37">
        <f t="shared" si="25"/>
        <v>181544.59700891498</v>
      </c>
      <c r="U807" s="26">
        <f t="shared" si="24"/>
        <v>-5</v>
      </c>
    </row>
    <row r="808" spans="19:21" ht="14.65" thickBot="1" x14ac:dyDescent="0.5">
      <c r="S808" s="37">
        <f t="shared" si="25"/>
        <v>183360.04297900412</v>
      </c>
      <c r="U808" s="26">
        <f t="shared" si="24"/>
        <v>-5</v>
      </c>
    </row>
    <row r="809" spans="19:21" ht="14.65" thickBot="1" x14ac:dyDescent="0.5">
      <c r="S809" s="37">
        <f t="shared" si="25"/>
        <v>185193.64340879416</v>
      </c>
      <c r="U809" s="26">
        <f t="shared" si="24"/>
        <v>-5</v>
      </c>
    </row>
    <row r="810" spans="19:21" ht="14.65" thickBot="1" x14ac:dyDescent="0.5">
      <c r="S810" s="37">
        <f t="shared" si="25"/>
        <v>187045.57984288211</v>
      </c>
      <c r="U810" s="26">
        <f t="shared" si="24"/>
        <v>-5</v>
      </c>
    </row>
    <row r="811" spans="19:21" ht="14.65" thickBot="1" x14ac:dyDescent="0.5">
      <c r="S811" s="37">
        <f t="shared" si="25"/>
        <v>188916.03564131094</v>
      </c>
      <c r="U811" s="26">
        <f t="shared" si="24"/>
        <v>-5</v>
      </c>
    </row>
    <row r="812" spans="19:21" ht="14.65" thickBot="1" x14ac:dyDescent="0.5">
      <c r="S812" s="37">
        <f t="shared" si="25"/>
        <v>190805.19599772405</v>
      </c>
      <c r="U812" s="26">
        <f t="shared" si="24"/>
        <v>-5</v>
      </c>
    </row>
    <row r="813" spans="19:21" ht="14.65" thickBot="1" x14ac:dyDescent="0.5">
      <c r="S813" s="37">
        <f t="shared" si="25"/>
        <v>192713.2479577013</v>
      </c>
      <c r="U813" s="26">
        <f t="shared" si="24"/>
        <v>-5</v>
      </c>
    </row>
    <row r="814" spans="19:21" ht="14.65" thickBot="1" x14ac:dyDescent="0.5">
      <c r="S814" s="37">
        <f t="shared" si="25"/>
        <v>194640.38043727831</v>
      </c>
      <c r="U814" s="26">
        <f t="shared" si="24"/>
        <v>-5</v>
      </c>
    </row>
    <row r="815" spans="19:21" ht="14.65" thickBot="1" x14ac:dyDescent="0.5">
      <c r="S815" s="37">
        <f t="shared" si="25"/>
        <v>196586.7842416511</v>
      </c>
      <c r="U815" s="26">
        <f t="shared" si="24"/>
        <v>-5</v>
      </c>
    </row>
    <row r="816" spans="19:21" ht="14.65" thickBot="1" x14ac:dyDescent="0.5">
      <c r="S816" s="37">
        <f t="shared" si="25"/>
        <v>198552.65208406761</v>
      </c>
      <c r="U816" s="26">
        <f t="shared" si="24"/>
        <v>-5</v>
      </c>
    </row>
    <row r="817" spans="19:21" ht="14.65" thickBot="1" x14ac:dyDescent="0.5">
      <c r="S817" s="37">
        <f t="shared" si="25"/>
        <v>200538.17860490829</v>
      </c>
      <c r="U817" s="26">
        <f t="shared" si="24"/>
        <v>-5</v>
      </c>
    </row>
    <row r="818" spans="19:21" ht="14.65" thickBot="1" x14ac:dyDescent="0.5">
      <c r="S818" s="37">
        <f t="shared" si="25"/>
        <v>202543.56039095737</v>
      </c>
      <c r="U818" s="26">
        <f t="shared" si="24"/>
        <v>-5</v>
      </c>
    </row>
    <row r="819" spans="19:21" ht="14.65" thickBot="1" x14ac:dyDescent="0.5">
      <c r="S819" s="37">
        <f t="shared" si="25"/>
        <v>204568.99599486694</v>
      </c>
      <c r="U819" s="26">
        <f t="shared" si="24"/>
        <v>-5</v>
      </c>
    </row>
    <row r="820" spans="19:21" ht="14.65" thickBot="1" x14ac:dyDescent="0.5">
      <c r="S820" s="37">
        <f t="shared" si="25"/>
        <v>206614.68595481562</v>
      </c>
      <c r="U820" s="26">
        <f t="shared" si="24"/>
        <v>-5</v>
      </c>
    </row>
    <row r="821" spans="19:21" ht="14.65" thickBot="1" x14ac:dyDescent="0.5">
      <c r="S821" s="37">
        <f t="shared" si="25"/>
        <v>208680.83281436379</v>
      </c>
      <c r="U821" s="26">
        <f t="shared" si="24"/>
        <v>-5</v>
      </c>
    </row>
    <row r="822" spans="19:21" ht="14.65" thickBot="1" x14ac:dyDescent="0.5">
      <c r="S822" s="37">
        <f t="shared" si="25"/>
        <v>210767.64114250743</v>
      </c>
      <c r="U822" s="26">
        <f t="shared" si="24"/>
        <v>-5</v>
      </c>
    </row>
    <row r="823" spans="19:21" ht="14.65" thickBot="1" x14ac:dyDescent="0.5">
      <c r="S823" s="37">
        <f t="shared" si="25"/>
        <v>212875.31755393252</v>
      </c>
      <c r="U823" s="26">
        <f t="shared" si="24"/>
        <v>-5</v>
      </c>
    </row>
    <row r="824" spans="19:21" ht="14.65" thickBot="1" x14ac:dyDescent="0.5">
      <c r="S824" s="37">
        <f t="shared" si="25"/>
        <v>215004.07072947183</v>
      </c>
      <c r="U824" s="26">
        <f t="shared" si="24"/>
        <v>-5</v>
      </c>
    </row>
    <row r="825" spans="19:21" ht="14.65" thickBot="1" x14ac:dyDescent="0.5">
      <c r="S825" s="37">
        <f t="shared" si="25"/>
        <v>217154.11143676654</v>
      </c>
      <c r="U825" s="26">
        <f t="shared" si="24"/>
        <v>-5</v>
      </c>
    </row>
    <row r="826" spans="19:21" ht="14.65" thickBot="1" x14ac:dyDescent="0.5">
      <c r="S826" s="37">
        <f t="shared" si="25"/>
        <v>219325.6525511342</v>
      </c>
      <c r="U826" s="26">
        <f t="shared" si="24"/>
        <v>-5</v>
      </c>
    </row>
    <row r="827" spans="19:21" ht="14.65" thickBot="1" x14ac:dyDescent="0.5">
      <c r="S827" s="37">
        <f t="shared" si="25"/>
        <v>221518.90907664553</v>
      </c>
      <c r="U827" s="26">
        <f t="shared" si="24"/>
        <v>-5</v>
      </c>
    </row>
    <row r="828" spans="19:21" ht="14.65" thickBot="1" x14ac:dyDescent="0.5">
      <c r="S828" s="37">
        <f t="shared" si="25"/>
        <v>223734.09816741198</v>
      </c>
      <c r="U828" s="26">
        <f t="shared" si="24"/>
        <v>-5</v>
      </c>
    </row>
    <row r="829" spans="19:21" ht="14.65" thickBot="1" x14ac:dyDescent="0.5">
      <c r="S829" s="37">
        <f t="shared" si="25"/>
        <v>225971.4391490861</v>
      </c>
      <c r="U829" s="26">
        <f t="shared" si="24"/>
        <v>-5</v>
      </c>
    </row>
    <row r="830" spans="19:21" ht="14.65" thickBot="1" x14ac:dyDescent="0.5">
      <c r="S830" s="37">
        <f t="shared" si="25"/>
        <v>228231.15354057695</v>
      </c>
      <c r="U830" s="26">
        <f t="shared" si="24"/>
        <v>-5</v>
      </c>
    </row>
    <row r="831" spans="19:21" ht="14.65" thickBot="1" x14ac:dyDescent="0.5">
      <c r="S831" s="37">
        <f t="shared" si="25"/>
        <v>230513.46507598273</v>
      </c>
      <c r="U831" s="26">
        <f t="shared" si="24"/>
        <v>-5</v>
      </c>
    </row>
    <row r="832" spans="19:21" ht="14.65" thickBot="1" x14ac:dyDescent="0.5">
      <c r="S832" s="37">
        <f t="shared" si="25"/>
        <v>232818.59972674257</v>
      </c>
      <c r="U832" s="26">
        <f t="shared" si="24"/>
        <v>-5</v>
      </c>
    </row>
    <row r="833" spans="19:21" ht="14.65" thickBot="1" x14ac:dyDescent="0.5">
      <c r="S833" s="37">
        <f t="shared" si="25"/>
        <v>235146.78572401</v>
      </c>
      <c r="U833" s="26">
        <f t="shared" si="24"/>
        <v>-5</v>
      </c>
    </row>
    <row r="834" spans="19:21" ht="14.65" thickBot="1" x14ac:dyDescent="0.5">
      <c r="S834" s="37">
        <f t="shared" si="25"/>
        <v>237498.25358125009</v>
      </c>
      <c r="U834" s="26">
        <f t="shared" si="24"/>
        <v>-5</v>
      </c>
    </row>
    <row r="835" spans="19:21" ht="14.65" thickBot="1" x14ac:dyDescent="0.5">
      <c r="S835" s="37">
        <f t="shared" si="25"/>
        <v>239873.2361170626</v>
      </c>
      <c r="U835" s="26">
        <f t="shared" si="24"/>
        <v>-5</v>
      </c>
    </row>
    <row r="836" spans="19:21" ht="14.65" thickBot="1" x14ac:dyDescent="0.5">
      <c r="S836" s="37">
        <f t="shared" si="25"/>
        <v>242271.96847823323</v>
      </c>
      <c r="U836" s="26">
        <f t="shared" si="24"/>
        <v>-5</v>
      </c>
    </row>
    <row r="837" spans="19:21" ht="14.65" thickBot="1" x14ac:dyDescent="0.5">
      <c r="S837" s="37">
        <f t="shared" si="25"/>
        <v>244694.68816301555</v>
      </c>
      <c r="U837" s="26">
        <f t="shared" si="24"/>
        <v>-5</v>
      </c>
    </row>
    <row r="838" spans="19:21" ht="14.65" thickBot="1" x14ac:dyDescent="0.5">
      <c r="S838" s="37">
        <f t="shared" si="25"/>
        <v>247141.63504464572</v>
      </c>
      <c r="U838" s="26">
        <f t="shared" si="24"/>
        <v>-5</v>
      </c>
    </row>
    <row r="839" spans="19:21" ht="14.65" thickBot="1" x14ac:dyDescent="0.5">
      <c r="S839" s="37">
        <f t="shared" si="25"/>
        <v>249613.05139509219</v>
      </c>
      <c r="U839" s="26">
        <f t="shared" si="24"/>
        <v>-5</v>
      </c>
    </row>
    <row r="840" spans="19:21" ht="14.65" thickBot="1" x14ac:dyDescent="0.5">
      <c r="S840" s="37">
        <f t="shared" si="25"/>
        <v>252109.18190904311</v>
      </c>
      <c r="U840" s="26">
        <f t="shared" si="24"/>
        <v>-5</v>
      </c>
    </row>
    <row r="841" spans="19:21" ht="14.65" thickBot="1" x14ac:dyDescent="0.5">
      <c r="S841" s="37">
        <f t="shared" si="25"/>
        <v>254630.27372813353</v>
      </c>
      <c r="U841" s="26">
        <f t="shared" si="24"/>
        <v>-5</v>
      </c>
    </row>
    <row r="842" spans="19:21" ht="14.65" thickBot="1" x14ac:dyDescent="0.5">
      <c r="S842" s="37">
        <f t="shared" si="25"/>
        <v>257176.57646541487</v>
      </c>
      <c r="U842" s="26">
        <f t="shared" si="24"/>
        <v>-5</v>
      </c>
    </row>
    <row r="843" spans="19:21" ht="14.65" thickBot="1" x14ac:dyDescent="0.5">
      <c r="S843" s="37">
        <f t="shared" si="25"/>
        <v>259748.34223006901</v>
      </c>
      <c r="U843" s="26">
        <f t="shared" si="24"/>
        <v>-5</v>
      </c>
    </row>
    <row r="844" spans="19:21" ht="14.65" thickBot="1" x14ac:dyDescent="0.5">
      <c r="S844" s="37">
        <f t="shared" si="25"/>
        <v>262345.82565236971</v>
      </c>
      <c r="U844" s="26">
        <f t="shared" si="24"/>
        <v>-5</v>
      </c>
    </row>
    <row r="845" spans="19:21" ht="14.65" thickBot="1" x14ac:dyDescent="0.5">
      <c r="S845" s="37">
        <f t="shared" si="25"/>
        <v>264969.28390889341</v>
      </c>
      <c r="U845" s="26">
        <f t="shared" si="24"/>
        <v>-5</v>
      </c>
    </row>
    <row r="846" spans="19:21" ht="14.65" thickBot="1" x14ac:dyDescent="0.5">
      <c r="S846" s="37">
        <f t="shared" si="25"/>
        <v>267618.97674798232</v>
      </c>
      <c r="U846" s="26">
        <f t="shared" si="24"/>
        <v>-5</v>
      </c>
    </row>
    <row r="847" spans="19:21" ht="14.65" thickBot="1" x14ac:dyDescent="0.5">
      <c r="S847" s="37">
        <f t="shared" si="25"/>
        <v>270295.16651546216</v>
      </c>
      <c r="U847" s="26">
        <f t="shared" si="24"/>
        <v>-5</v>
      </c>
    </row>
    <row r="848" spans="19:21" ht="14.65" thickBot="1" x14ac:dyDescent="0.5">
      <c r="S848" s="37">
        <f t="shared" si="25"/>
        <v>272998.11818061676</v>
      </c>
      <c r="U848" s="26">
        <f t="shared" si="24"/>
        <v>-5</v>
      </c>
    </row>
    <row r="849" spans="19:21" ht="14.65" thickBot="1" x14ac:dyDescent="0.5">
      <c r="S849" s="37">
        <f t="shared" si="25"/>
        <v>275728.09936242294</v>
      </c>
      <c r="U849" s="26">
        <f t="shared" si="24"/>
        <v>-5</v>
      </c>
    </row>
    <row r="850" spans="19:21" ht="14.65" thickBot="1" x14ac:dyDescent="0.5">
      <c r="S850" s="37">
        <f t="shared" si="25"/>
        <v>278485.38035604719</v>
      </c>
      <c r="U850" s="26">
        <f t="shared" ref="U850:U913" si="26">IF(S850&lt;$D$7,($D$7-S850)-$D$8,-$D$8)</f>
        <v>-5</v>
      </c>
    </row>
    <row r="851" spans="19:21" ht="14.65" thickBot="1" x14ac:dyDescent="0.5">
      <c r="S851" s="37">
        <f t="shared" ref="S851:S914" si="27">S850*(1.01)</f>
        <v>281270.23415960767</v>
      </c>
      <c r="U851" s="26">
        <f t="shared" si="26"/>
        <v>-5</v>
      </c>
    </row>
    <row r="852" spans="19:21" ht="14.65" thickBot="1" x14ac:dyDescent="0.5">
      <c r="S852" s="37">
        <f t="shared" si="27"/>
        <v>284082.93650120375</v>
      </c>
      <c r="U852" s="26">
        <f t="shared" si="26"/>
        <v>-5</v>
      </c>
    </row>
    <row r="853" spans="19:21" ht="14.65" thickBot="1" x14ac:dyDescent="0.5">
      <c r="S853" s="37">
        <f t="shared" si="27"/>
        <v>286923.76586621581</v>
      </c>
      <c r="U853" s="26">
        <f t="shared" si="26"/>
        <v>-5</v>
      </c>
    </row>
    <row r="854" spans="19:21" ht="14.65" thickBot="1" x14ac:dyDescent="0.5">
      <c r="S854" s="37">
        <f t="shared" si="27"/>
        <v>289793.00352487795</v>
      </c>
      <c r="U854" s="26">
        <f t="shared" si="26"/>
        <v>-5</v>
      </c>
    </row>
    <row r="855" spans="19:21" ht="14.65" thickBot="1" x14ac:dyDescent="0.5">
      <c r="S855" s="37">
        <f t="shared" si="27"/>
        <v>292690.93356012675</v>
      </c>
      <c r="U855" s="26">
        <f t="shared" si="26"/>
        <v>-5</v>
      </c>
    </row>
    <row r="856" spans="19:21" ht="14.65" thickBot="1" x14ac:dyDescent="0.5">
      <c r="S856" s="37">
        <f t="shared" si="27"/>
        <v>295617.84289572801</v>
      </c>
      <c r="U856" s="26">
        <f t="shared" si="26"/>
        <v>-5</v>
      </c>
    </row>
    <row r="857" spans="19:21" ht="14.65" thickBot="1" x14ac:dyDescent="0.5">
      <c r="S857" s="37">
        <f t="shared" si="27"/>
        <v>298574.02132468531</v>
      </c>
      <c r="U857" s="26">
        <f t="shared" si="26"/>
        <v>-5</v>
      </c>
    </row>
    <row r="858" spans="19:21" ht="14.65" thickBot="1" x14ac:dyDescent="0.5">
      <c r="S858" s="37">
        <f t="shared" si="27"/>
        <v>301559.76153793215</v>
      </c>
      <c r="U858" s="26">
        <f t="shared" si="26"/>
        <v>-5</v>
      </c>
    </row>
    <row r="859" spans="19:21" ht="14.65" thickBot="1" x14ac:dyDescent="0.5">
      <c r="S859" s="37">
        <f t="shared" si="27"/>
        <v>304575.35915331147</v>
      </c>
      <c r="U859" s="26">
        <f t="shared" si="26"/>
        <v>-5</v>
      </c>
    </row>
    <row r="860" spans="19:21" ht="14.65" thickBot="1" x14ac:dyDescent="0.5">
      <c r="S860" s="37">
        <f t="shared" si="27"/>
        <v>307621.11274484458</v>
      </c>
      <c r="U860" s="26">
        <f t="shared" si="26"/>
        <v>-5</v>
      </c>
    </row>
    <row r="861" spans="19:21" ht="14.65" thickBot="1" x14ac:dyDescent="0.5">
      <c r="S861" s="37">
        <f t="shared" si="27"/>
        <v>310697.323872293</v>
      </c>
      <c r="U861" s="26">
        <f t="shared" si="26"/>
        <v>-5</v>
      </c>
    </row>
    <row r="862" spans="19:21" ht="14.65" thickBot="1" x14ac:dyDescent="0.5">
      <c r="S862" s="37">
        <f t="shared" si="27"/>
        <v>313804.29711101594</v>
      </c>
      <c r="U862" s="26">
        <f t="shared" si="26"/>
        <v>-5</v>
      </c>
    </row>
    <row r="863" spans="19:21" ht="14.65" thickBot="1" x14ac:dyDescent="0.5">
      <c r="S863" s="37">
        <f t="shared" si="27"/>
        <v>316942.34008212609</v>
      </c>
      <c r="U863" s="26">
        <f t="shared" si="26"/>
        <v>-5</v>
      </c>
    </row>
    <row r="864" spans="19:21" ht="14.65" thickBot="1" x14ac:dyDescent="0.5">
      <c r="S864" s="37">
        <f t="shared" si="27"/>
        <v>320111.76348294737</v>
      </c>
      <c r="U864" s="26">
        <f t="shared" si="26"/>
        <v>-5</v>
      </c>
    </row>
    <row r="865" spans="19:21" ht="14.65" thickBot="1" x14ac:dyDescent="0.5">
      <c r="S865" s="37">
        <f t="shared" si="27"/>
        <v>323312.88111777685</v>
      </c>
      <c r="U865" s="26">
        <f t="shared" si="26"/>
        <v>-5</v>
      </c>
    </row>
    <row r="866" spans="19:21" ht="14.65" thickBot="1" x14ac:dyDescent="0.5">
      <c r="S866" s="37">
        <f t="shared" si="27"/>
        <v>326546.00992895465</v>
      </c>
      <c r="U866" s="26">
        <f t="shared" si="26"/>
        <v>-5</v>
      </c>
    </row>
    <row r="867" spans="19:21" ht="14.65" thickBot="1" x14ac:dyDescent="0.5">
      <c r="S867" s="37">
        <f t="shared" si="27"/>
        <v>329811.47002824419</v>
      </c>
      <c r="U867" s="26">
        <f t="shared" si="26"/>
        <v>-5</v>
      </c>
    </row>
    <row r="868" spans="19:21" ht="14.65" thickBot="1" x14ac:dyDescent="0.5">
      <c r="S868" s="37">
        <f t="shared" si="27"/>
        <v>333109.58472852665</v>
      </c>
      <c r="U868" s="26">
        <f t="shared" si="26"/>
        <v>-5</v>
      </c>
    </row>
    <row r="869" spans="19:21" ht="14.65" thickBot="1" x14ac:dyDescent="0.5">
      <c r="S869" s="37">
        <f t="shared" si="27"/>
        <v>336440.68057581194</v>
      </c>
      <c r="U869" s="26">
        <f t="shared" si="26"/>
        <v>-5</v>
      </c>
    </row>
    <row r="870" spans="19:21" ht="14.65" thickBot="1" x14ac:dyDescent="0.5">
      <c r="S870" s="37">
        <f t="shared" si="27"/>
        <v>339805.08738157008</v>
      </c>
      <c r="U870" s="26">
        <f t="shared" si="26"/>
        <v>-5</v>
      </c>
    </row>
    <row r="871" spans="19:21" ht="14.65" thickBot="1" x14ac:dyDescent="0.5">
      <c r="S871" s="37">
        <f t="shared" si="27"/>
        <v>343203.1382553858</v>
      </c>
      <c r="U871" s="26">
        <f t="shared" si="26"/>
        <v>-5</v>
      </c>
    </row>
    <row r="872" spans="19:21" ht="14.65" thickBot="1" x14ac:dyDescent="0.5">
      <c r="S872" s="37">
        <f t="shared" si="27"/>
        <v>346635.16963793966</v>
      </c>
      <c r="U872" s="26">
        <f t="shared" si="26"/>
        <v>-5</v>
      </c>
    </row>
    <row r="873" spans="19:21" ht="14.65" thickBot="1" x14ac:dyDescent="0.5">
      <c r="S873" s="37">
        <f t="shared" si="27"/>
        <v>350101.52133431908</v>
      </c>
      <c r="U873" s="26">
        <f t="shared" si="26"/>
        <v>-5</v>
      </c>
    </row>
    <row r="874" spans="19:21" ht="14.65" thickBot="1" x14ac:dyDescent="0.5">
      <c r="S874" s="37">
        <f t="shared" si="27"/>
        <v>353602.53654766228</v>
      </c>
      <c r="U874" s="26">
        <f t="shared" si="26"/>
        <v>-5</v>
      </c>
    </row>
    <row r="875" spans="19:21" ht="14.65" thickBot="1" x14ac:dyDescent="0.5">
      <c r="S875" s="37">
        <f t="shared" si="27"/>
        <v>357138.5619131389</v>
      </c>
      <c r="U875" s="26">
        <f t="shared" si="26"/>
        <v>-5</v>
      </c>
    </row>
    <row r="876" spans="19:21" ht="14.65" thickBot="1" x14ac:dyDescent="0.5">
      <c r="S876" s="37">
        <f t="shared" si="27"/>
        <v>360709.94753227028</v>
      </c>
      <c r="U876" s="26">
        <f t="shared" si="26"/>
        <v>-5</v>
      </c>
    </row>
    <row r="877" spans="19:21" ht="14.65" thickBot="1" x14ac:dyDescent="0.5">
      <c r="S877" s="37">
        <f t="shared" si="27"/>
        <v>364317.04700759298</v>
      </c>
      <c r="U877" s="26">
        <f t="shared" si="26"/>
        <v>-5</v>
      </c>
    </row>
    <row r="878" spans="19:21" ht="14.65" thickBot="1" x14ac:dyDescent="0.5">
      <c r="S878" s="37">
        <f t="shared" si="27"/>
        <v>367960.21747766889</v>
      </c>
      <c r="U878" s="26">
        <f t="shared" si="26"/>
        <v>-5</v>
      </c>
    </row>
    <row r="879" spans="19:21" ht="14.65" thickBot="1" x14ac:dyDescent="0.5">
      <c r="S879" s="37">
        <f t="shared" si="27"/>
        <v>371639.81965244556</v>
      </c>
      <c r="U879" s="26">
        <f t="shared" si="26"/>
        <v>-5</v>
      </c>
    </row>
    <row r="880" spans="19:21" ht="14.65" thickBot="1" x14ac:dyDescent="0.5">
      <c r="S880" s="37">
        <f t="shared" si="27"/>
        <v>375356.21784897003</v>
      </c>
      <c r="U880" s="26">
        <f t="shared" si="26"/>
        <v>-5</v>
      </c>
    </row>
    <row r="881" spans="19:21" ht="14.65" thickBot="1" x14ac:dyDescent="0.5">
      <c r="S881" s="37">
        <f t="shared" si="27"/>
        <v>379109.78002745972</v>
      </c>
      <c r="U881" s="26">
        <f t="shared" si="26"/>
        <v>-5</v>
      </c>
    </row>
    <row r="882" spans="19:21" ht="14.65" thickBot="1" x14ac:dyDescent="0.5">
      <c r="S882" s="37">
        <f t="shared" si="27"/>
        <v>382900.87782773434</v>
      </c>
      <c r="U882" s="26">
        <f t="shared" si="26"/>
        <v>-5</v>
      </c>
    </row>
    <row r="883" spans="19:21" ht="14.65" thickBot="1" x14ac:dyDescent="0.5">
      <c r="S883" s="37">
        <f t="shared" si="27"/>
        <v>386729.88660601166</v>
      </c>
      <c r="U883" s="26">
        <f t="shared" si="26"/>
        <v>-5</v>
      </c>
    </row>
    <row r="884" spans="19:21" ht="14.65" thickBot="1" x14ac:dyDescent="0.5">
      <c r="S884" s="37">
        <f t="shared" si="27"/>
        <v>390597.18547207175</v>
      </c>
      <c r="U884" s="26">
        <f t="shared" si="26"/>
        <v>-5</v>
      </c>
    </row>
    <row r="885" spans="19:21" ht="14.65" thickBot="1" x14ac:dyDescent="0.5">
      <c r="S885" s="37">
        <f t="shared" si="27"/>
        <v>394503.15732679248</v>
      </c>
      <c r="U885" s="26">
        <f t="shared" si="26"/>
        <v>-5</v>
      </c>
    </row>
    <row r="886" spans="19:21" ht="14.65" thickBot="1" x14ac:dyDescent="0.5">
      <c r="S886" s="37">
        <f t="shared" si="27"/>
        <v>398448.18890006043</v>
      </c>
      <c r="U886" s="26">
        <f t="shared" si="26"/>
        <v>-5</v>
      </c>
    </row>
    <row r="887" spans="19:21" ht="14.65" thickBot="1" x14ac:dyDescent="0.5">
      <c r="S887" s="37">
        <f t="shared" si="27"/>
        <v>402432.67078906106</v>
      </c>
      <c r="U887" s="26">
        <f t="shared" si="26"/>
        <v>-5</v>
      </c>
    </row>
    <row r="888" spans="19:21" ht="14.65" thickBot="1" x14ac:dyDescent="0.5">
      <c r="S888" s="37">
        <f t="shared" si="27"/>
        <v>406456.99749695166</v>
      </c>
      <c r="U888" s="26">
        <f t="shared" si="26"/>
        <v>-5</v>
      </c>
    </row>
    <row r="889" spans="19:21" ht="14.65" thickBot="1" x14ac:dyDescent="0.5">
      <c r="S889" s="37">
        <f t="shared" si="27"/>
        <v>410521.56747192121</v>
      </c>
      <c r="U889" s="26">
        <f t="shared" si="26"/>
        <v>-5</v>
      </c>
    </row>
    <row r="890" spans="19:21" ht="14.65" thickBot="1" x14ac:dyDescent="0.5">
      <c r="S890" s="37">
        <f t="shared" si="27"/>
        <v>414626.7831466404</v>
      </c>
      <c r="U890" s="26">
        <f t="shared" si="26"/>
        <v>-5</v>
      </c>
    </row>
    <row r="891" spans="19:21" ht="14.65" thickBot="1" x14ac:dyDescent="0.5">
      <c r="S891" s="37">
        <f t="shared" si="27"/>
        <v>418773.0509781068</v>
      </c>
      <c r="U891" s="26">
        <f t="shared" si="26"/>
        <v>-5</v>
      </c>
    </row>
    <row r="892" spans="19:21" ht="14.65" thickBot="1" x14ac:dyDescent="0.5">
      <c r="S892" s="37">
        <f t="shared" si="27"/>
        <v>422960.78148788784</v>
      </c>
      <c r="U892" s="26">
        <f t="shared" si="26"/>
        <v>-5</v>
      </c>
    </row>
    <row r="893" spans="19:21" ht="14.65" thickBot="1" x14ac:dyDescent="0.5">
      <c r="S893" s="37">
        <f t="shared" si="27"/>
        <v>427190.38930276671</v>
      </c>
      <c r="U893" s="26">
        <f t="shared" si="26"/>
        <v>-5</v>
      </c>
    </row>
    <row r="894" spans="19:21" ht="14.65" thickBot="1" x14ac:dyDescent="0.5">
      <c r="S894" s="37">
        <f t="shared" si="27"/>
        <v>431462.29319579439</v>
      </c>
      <c r="U894" s="26">
        <f t="shared" si="26"/>
        <v>-5</v>
      </c>
    </row>
    <row r="895" spans="19:21" ht="14.65" thickBot="1" x14ac:dyDescent="0.5">
      <c r="S895" s="37">
        <f t="shared" si="27"/>
        <v>435776.91612775234</v>
      </c>
      <c r="U895" s="26">
        <f t="shared" si="26"/>
        <v>-5</v>
      </c>
    </row>
    <row r="896" spans="19:21" ht="14.65" thickBot="1" x14ac:dyDescent="0.5">
      <c r="S896" s="37">
        <f t="shared" si="27"/>
        <v>440134.68528902985</v>
      </c>
      <c r="U896" s="26">
        <f t="shared" si="26"/>
        <v>-5</v>
      </c>
    </row>
    <row r="897" spans="19:21" ht="14.65" thickBot="1" x14ac:dyDescent="0.5">
      <c r="S897" s="37">
        <f t="shared" si="27"/>
        <v>444536.03214192012</v>
      </c>
      <c r="U897" s="26">
        <f t="shared" si="26"/>
        <v>-5</v>
      </c>
    </row>
    <row r="898" spans="19:21" ht="14.65" thickBot="1" x14ac:dyDescent="0.5">
      <c r="S898" s="37">
        <f t="shared" si="27"/>
        <v>448981.39246333932</v>
      </c>
      <c r="U898" s="26">
        <f t="shared" si="26"/>
        <v>-5</v>
      </c>
    </row>
    <row r="899" spans="19:21" ht="14.65" thickBot="1" x14ac:dyDescent="0.5">
      <c r="S899" s="37">
        <f t="shared" si="27"/>
        <v>453471.20638797269</v>
      </c>
      <c r="U899" s="26">
        <f t="shared" si="26"/>
        <v>-5</v>
      </c>
    </row>
    <row r="900" spans="19:21" ht="14.65" thickBot="1" x14ac:dyDescent="0.5">
      <c r="S900" s="37">
        <f t="shared" si="27"/>
        <v>458005.9184518524</v>
      </c>
      <c r="U900" s="26">
        <f t="shared" si="26"/>
        <v>-5</v>
      </c>
    </row>
    <row r="901" spans="19:21" ht="14.65" thickBot="1" x14ac:dyDescent="0.5">
      <c r="S901" s="37">
        <f t="shared" si="27"/>
        <v>462585.97763637092</v>
      </c>
      <c r="U901" s="26">
        <f t="shared" si="26"/>
        <v>-5</v>
      </c>
    </row>
    <row r="902" spans="19:21" ht="14.65" thickBot="1" x14ac:dyDescent="0.5">
      <c r="S902" s="37">
        <f t="shared" si="27"/>
        <v>467211.83741273463</v>
      </c>
      <c r="U902" s="26">
        <f t="shared" si="26"/>
        <v>-5</v>
      </c>
    </row>
    <row r="903" spans="19:21" ht="14.65" thickBot="1" x14ac:dyDescent="0.5">
      <c r="S903" s="37">
        <f t="shared" si="27"/>
        <v>471883.955786862</v>
      </c>
      <c r="U903" s="26">
        <f t="shared" si="26"/>
        <v>-5</v>
      </c>
    </row>
    <row r="904" spans="19:21" ht="14.65" thickBot="1" x14ac:dyDescent="0.5">
      <c r="S904" s="37">
        <f t="shared" si="27"/>
        <v>476602.79534473061</v>
      </c>
      <c r="U904" s="26">
        <f t="shared" si="26"/>
        <v>-5</v>
      </c>
    </row>
    <row r="905" spans="19:21" ht="14.65" thickBot="1" x14ac:dyDescent="0.5">
      <c r="S905" s="37">
        <f t="shared" si="27"/>
        <v>481368.82329817791</v>
      </c>
      <c r="U905" s="26">
        <f t="shared" si="26"/>
        <v>-5</v>
      </c>
    </row>
    <row r="906" spans="19:21" ht="14.65" thickBot="1" x14ac:dyDescent="0.5">
      <c r="S906" s="37">
        <f t="shared" si="27"/>
        <v>486182.51153115969</v>
      </c>
      <c r="U906" s="26">
        <f t="shared" si="26"/>
        <v>-5</v>
      </c>
    </row>
    <row r="907" spans="19:21" ht="14.65" thickBot="1" x14ac:dyDescent="0.5">
      <c r="S907" s="37">
        <f t="shared" si="27"/>
        <v>491044.33664647129</v>
      </c>
      <c r="U907" s="26">
        <f t="shared" si="26"/>
        <v>-5</v>
      </c>
    </row>
    <row r="908" spans="19:21" ht="14.65" thickBot="1" x14ac:dyDescent="0.5">
      <c r="S908" s="37">
        <f t="shared" si="27"/>
        <v>495954.78001293598</v>
      </c>
      <c r="U908" s="26">
        <f t="shared" si="26"/>
        <v>-5</v>
      </c>
    </row>
    <row r="909" spans="19:21" ht="14.65" thickBot="1" x14ac:dyDescent="0.5">
      <c r="S909" s="37">
        <f t="shared" si="27"/>
        <v>500914.32781306532</v>
      </c>
      <c r="U909" s="26">
        <f t="shared" si="26"/>
        <v>-5</v>
      </c>
    </row>
    <row r="910" spans="19:21" ht="14.65" thickBot="1" x14ac:dyDescent="0.5">
      <c r="S910" s="37">
        <f t="shared" si="27"/>
        <v>505923.471091196</v>
      </c>
      <c r="U910" s="26">
        <f t="shared" si="26"/>
        <v>-5</v>
      </c>
    </row>
    <row r="911" spans="19:21" ht="14.65" thickBot="1" x14ac:dyDescent="0.5">
      <c r="S911" s="37">
        <f t="shared" si="27"/>
        <v>510982.70580210799</v>
      </c>
      <c r="U911" s="26">
        <f t="shared" si="26"/>
        <v>-5</v>
      </c>
    </row>
    <row r="912" spans="19:21" ht="14.65" thickBot="1" x14ac:dyDescent="0.5">
      <c r="S912" s="37">
        <f t="shared" si="27"/>
        <v>516092.53286012908</v>
      </c>
      <c r="U912" s="26">
        <f t="shared" si="26"/>
        <v>-5</v>
      </c>
    </row>
    <row r="913" spans="19:21" ht="14.65" thickBot="1" x14ac:dyDescent="0.5">
      <c r="S913" s="37">
        <f t="shared" si="27"/>
        <v>521253.45818873035</v>
      </c>
      <c r="U913" s="26">
        <f t="shared" si="26"/>
        <v>-5</v>
      </c>
    </row>
    <row r="914" spans="19:21" ht="14.65" thickBot="1" x14ac:dyDescent="0.5">
      <c r="S914" s="37">
        <f t="shared" si="27"/>
        <v>526465.99277061771</v>
      </c>
      <c r="U914" s="26">
        <f t="shared" ref="U914:U977" si="28">IF(S914&lt;$D$7,($D$7-S914)-$D$8,-$D$8)</f>
        <v>-5</v>
      </c>
    </row>
    <row r="915" spans="19:21" ht="14.65" thickBot="1" x14ac:dyDescent="0.5">
      <c r="S915" s="37">
        <f t="shared" ref="S915:S978" si="29">S914*(1.01)</f>
        <v>531730.65269832395</v>
      </c>
      <c r="U915" s="26">
        <f t="shared" si="28"/>
        <v>-5</v>
      </c>
    </row>
    <row r="916" spans="19:21" ht="14.65" thickBot="1" x14ac:dyDescent="0.5">
      <c r="S916" s="37">
        <f t="shared" si="29"/>
        <v>537047.95922530722</v>
      </c>
      <c r="U916" s="26">
        <f t="shared" si="28"/>
        <v>-5</v>
      </c>
    </row>
    <row r="917" spans="19:21" ht="14.65" thickBot="1" x14ac:dyDescent="0.5">
      <c r="S917" s="37">
        <f t="shared" si="29"/>
        <v>542418.43881756032</v>
      </c>
      <c r="U917" s="26">
        <f t="shared" si="28"/>
        <v>-5</v>
      </c>
    </row>
    <row r="918" spans="19:21" ht="14.65" thickBot="1" x14ac:dyDescent="0.5">
      <c r="S918" s="37">
        <f t="shared" si="29"/>
        <v>547842.62320573593</v>
      </c>
      <c r="U918" s="26">
        <f t="shared" si="28"/>
        <v>-5</v>
      </c>
    </row>
    <row r="919" spans="19:21" ht="14.65" thickBot="1" x14ac:dyDescent="0.5">
      <c r="S919" s="37">
        <f t="shared" si="29"/>
        <v>553321.04943779332</v>
      </c>
      <c r="U919" s="26">
        <f t="shared" si="28"/>
        <v>-5</v>
      </c>
    </row>
    <row r="920" spans="19:21" ht="14.65" thickBot="1" x14ac:dyDescent="0.5">
      <c r="S920" s="37">
        <f t="shared" si="29"/>
        <v>558854.2599321712</v>
      </c>
      <c r="U920" s="26">
        <f t="shared" si="28"/>
        <v>-5</v>
      </c>
    </row>
    <row r="921" spans="19:21" ht="14.65" thickBot="1" x14ac:dyDescent="0.5">
      <c r="S921" s="37">
        <f t="shared" si="29"/>
        <v>564442.8025314929</v>
      </c>
      <c r="U921" s="26">
        <f t="shared" si="28"/>
        <v>-5</v>
      </c>
    </row>
    <row r="922" spans="19:21" ht="14.65" thickBot="1" x14ac:dyDescent="0.5">
      <c r="S922" s="37">
        <f t="shared" si="29"/>
        <v>570087.23055680783</v>
      </c>
      <c r="U922" s="26">
        <f t="shared" si="28"/>
        <v>-5</v>
      </c>
    </row>
    <row r="923" spans="19:21" ht="14.65" thickBot="1" x14ac:dyDescent="0.5">
      <c r="S923" s="37">
        <f t="shared" si="29"/>
        <v>575788.1028623759</v>
      </c>
      <c r="U923" s="26">
        <f t="shared" si="28"/>
        <v>-5</v>
      </c>
    </row>
    <row r="924" spans="19:21" ht="14.65" thickBot="1" x14ac:dyDescent="0.5">
      <c r="S924" s="37">
        <f t="shared" si="29"/>
        <v>581545.98389099969</v>
      </c>
      <c r="U924" s="26">
        <f t="shared" si="28"/>
        <v>-5</v>
      </c>
    </row>
    <row r="925" spans="19:21" ht="14.65" thickBot="1" x14ac:dyDescent="0.5">
      <c r="S925" s="37">
        <f t="shared" si="29"/>
        <v>587361.44372990972</v>
      </c>
      <c r="U925" s="26">
        <f t="shared" si="28"/>
        <v>-5</v>
      </c>
    </row>
    <row r="926" spans="19:21" ht="14.65" thickBot="1" x14ac:dyDescent="0.5">
      <c r="S926" s="37">
        <f t="shared" si="29"/>
        <v>593235.0581672088</v>
      </c>
      <c r="U926" s="26">
        <f t="shared" si="28"/>
        <v>-5</v>
      </c>
    </row>
    <row r="927" spans="19:21" ht="14.65" thickBot="1" x14ac:dyDescent="0.5">
      <c r="S927" s="37">
        <f t="shared" si="29"/>
        <v>599167.40874888084</v>
      </c>
      <c r="U927" s="26">
        <f t="shared" si="28"/>
        <v>-5</v>
      </c>
    </row>
    <row r="928" spans="19:21" ht="14.65" thickBot="1" x14ac:dyDescent="0.5">
      <c r="S928" s="37">
        <f t="shared" si="29"/>
        <v>605159.08283636963</v>
      </c>
      <c r="U928" s="26">
        <f t="shared" si="28"/>
        <v>-5</v>
      </c>
    </row>
    <row r="929" spans="19:21" ht="14.65" thickBot="1" x14ac:dyDescent="0.5">
      <c r="S929" s="37">
        <f t="shared" si="29"/>
        <v>611210.6736647333</v>
      </c>
      <c r="U929" s="26">
        <f t="shared" si="28"/>
        <v>-5</v>
      </c>
    </row>
    <row r="930" spans="19:21" ht="14.65" thickBot="1" x14ac:dyDescent="0.5">
      <c r="S930" s="37">
        <f t="shared" si="29"/>
        <v>617322.78040138062</v>
      </c>
      <c r="U930" s="26">
        <f t="shared" si="28"/>
        <v>-5</v>
      </c>
    </row>
    <row r="931" spans="19:21" ht="14.65" thickBot="1" x14ac:dyDescent="0.5">
      <c r="S931" s="37">
        <f t="shared" si="29"/>
        <v>623496.00820539438</v>
      </c>
      <c r="U931" s="26">
        <f t="shared" si="28"/>
        <v>-5</v>
      </c>
    </row>
    <row r="932" spans="19:21" ht="14.65" thickBot="1" x14ac:dyDescent="0.5">
      <c r="S932" s="37">
        <f t="shared" si="29"/>
        <v>629730.96828744828</v>
      </c>
      <c r="U932" s="26">
        <f t="shared" si="28"/>
        <v>-5</v>
      </c>
    </row>
    <row r="933" spans="19:21" ht="14.65" thickBot="1" x14ac:dyDescent="0.5">
      <c r="S933" s="37">
        <f t="shared" si="29"/>
        <v>636028.27797032276</v>
      </c>
      <c r="U933" s="26">
        <f t="shared" si="28"/>
        <v>-5</v>
      </c>
    </row>
    <row r="934" spans="19:21" ht="14.65" thickBot="1" x14ac:dyDescent="0.5">
      <c r="S934" s="37">
        <f t="shared" si="29"/>
        <v>642388.56075002602</v>
      </c>
      <c r="U934" s="26">
        <f t="shared" si="28"/>
        <v>-5</v>
      </c>
    </row>
    <row r="935" spans="19:21" ht="14.65" thickBot="1" x14ac:dyDescent="0.5">
      <c r="S935" s="37">
        <f t="shared" si="29"/>
        <v>648812.44635752623</v>
      </c>
      <c r="U935" s="26">
        <f t="shared" si="28"/>
        <v>-5</v>
      </c>
    </row>
    <row r="936" spans="19:21" ht="14.65" thickBot="1" x14ac:dyDescent="0.5">
      <c r="S936" s="37">
        <f t="shared" si="29"/>
        <v>655300.57082110154</v>
      </c>
      <c r="U936" s="26">
        <f t="shared" si="28"/>
        <v>-5</v>
      </c>
    </row>
    <row r="937" spans="19:21" ht="14.65" thickBot="1" x14ac:dyDescent="0.5">
      <c r="S937" s="37">
        <f t="shared" si="29"/>
        <v>661853.57652931253</v>
      </c>
      <c r="U937" s="26">
        <f t="shared" si="28"/>
        <v>-5</v>
      </c>
    </row>
    <row r="938" spans="19:21" ht="14.65" thickBot="1" x14ac:dyDescent="0.5">
      <c r="S938" s="37">
        <f t="shared" si="29"/>
        <v>668472.1122946057</v>
      </c>
      <c r="U938" s="26">
        <f t="shared" si="28"/>
        <v>-5</v>
      </c>
    </row>
    <row r="939" spans="19:21" ht="14.65" thickBot="1" x14ac:dyDescent="0.5">
      <c r="S939" s="37">
        <f t="shared" si="29"/>
        <v>675156.83341755171</v>
      </c>
      <c r="U939" s="26">
        <f t="shared" si="28"/>
        <v>-5</v>
      </c>
    </row>
    <row r="940" spans="19:21" ht="14.65" thickBot="1" x14ac:dyDescent="0.5">
      <c r="S940" s="37">
        <f t="shared" si="29"/>
        <v>681908.40175172722</v>
      </c>
      <c r="U940" s="26">
        <f t="shared" si="28"/>
        <v>-5</v>
      </c>
    </row>
    <row r="941" spans="19:21" ht="14.65" thickBot="1" x14ac:dyDescent="0.5">
      <c r="S941" s="37">
        <f t="shared" si="29"/>
        <v>688727.48576924449</v>
      </c>
      <c r="U941" s="26">
        <f t="shared" si="28"/>
        <v>-5</v>
      </c>
    </row>
    <row r="942" spans="19:21" ht="14.65" thickBot="1" x14ac:dyDescent="0.5">
      <c r="S942" s="37">
        <f t="shared" si="29"/>
        <v>695614.76062693691</v>
      </c>
      <c r="U942" s="26">
        <f t="shared" si="28"/>
        <v>-5</v>
      </c>
    </row>
    <row r="943" spans="19:21" ht="14.65" thickBot="1" x14ac:dyDescent="0.5">
      <c r="S943" s="37">
        <f t="shared" si="29"/>
        <v>702570.90823320625</v>
      </c>
      <c r="U943" s="26">
        <f t="shared" si="28"/>
        <v>-5</v>
      </c>
    </row>
    <row r="944" spans="19:21" ht="14.65" thickBot="1" x14ac:dyDescent="0.5">
      <c r="S944" s="37">
        <f t="shared" si="29"/>
        <v>709596.61731553834</v>
      </c>
      <c r="U944" s="26">
        <f t="shared" si="28"/>
        <v>-5</v>
      </c>
    </row>
    <row r="945" spans="19:21" ht="14.65" thickBot="1" x14ac:dyDescent="0.5">
      <c r="S945" s="37">
        <f t="shared" si="29"/>
        <v>716692.58348869369</v>
      </c>
      <c r="U945" s="26">
        <f t="shared" si="28"/>
        <v>-5</v>
      </c>
    </row>
    <row r="946" spans="19:21" ht="14.65" thickBot="1" x14ac:dyDescent="0.5">
      <c r="S946" s="37">
        <f t="shared" si="29"/>
        <v>723859.50932358066</v>
      </c>
      <c r="U946" s="26">
        <f t="shared" si="28"/>
        <v>-5</v>
      </c>
    </row>
    <row r="947" spans="19:21" ht="14.65" thickBot="1" x14ac:dyDescent="0.5">
      <c r="S947" s="37">
        <f t="shared" si="29"/>
        <v>731098.1044168165</v>
      </c>
      <c r="U947" s="26">
        <f t="shared" si="28"/>
        <v>-5</v>
      </c>
    </row>
    <row r="948" spans="19:21" ht="14.65" thickBot="1" x14ac:dyDescent="0.5">
      <c r="S948" s="37">
        <f t="shared" si="29"/>
        <v>738409.08546098461</v>
      </c>
      <c r="U948" s="26">
        <f t="shared" si="28"/>
        <v>-5</v>
      </c>
    </row>
    <row r="949" spans="19:21" ht="14.65" thickBot="1" x14ac:dyDescent="0.5">
      <c r="S949" s="37">
        <f t="shared" si="29"/>
        <v>745793.17631559446</v>
      </c>
      <c r="U949" s="26">
        <f t="shared" si="28"/>
        <v>-5</v>
      </c>
    </row>
    <row r="950" spans="19:21" ht="14.65" thickBot="1" x14ac:dyDescent="0.5">
      <c r="S950" s="37">
        <f t="shared" si="29"/>
        <v>753251.10807875043</v>
      </c>
      <c r="U950" s="26">
        <f t="shared" si="28"/>
        <v>-5</v>
      </c>
    </row>
    <row r="951" spans="19:21" ht="14.65" thickBot="1" x14ac:dyDescent="0.5">
      <c r="S951" s="37">
        <f t="shared" si="29"/>
        <v>760783.61915953795</v>
      </c>
      <c r="U951" s="26">
        <f t="shared" si="28"/>
        <v>-5</v>
      </c>
    </row>
    <row r="952" spans="19:21" ht="14.65" thickBot="1" x14ac:dyDescent="0.5">
      <c r="S952" s="37">
        <f t="shared" si="29"/>
        <v>768391.45535113337</v>
      </c>
      <c r="U952" s="26">
        <f t="shared" si="28"/>
        <v>-5</v>
      </c>
    </row>
    <row r="953" spans="19:21" ht="14.65" thickBot="1" x14ac:dyDescent="0.5">
      <c r="S953" s="37">
        <f t="shared" si="29"/>
        <v>776075.36990464467</v>
      </c>
      <c r="U953" s="26">
        <f t="shared" si="28"/>
        <v>-5</v>
      </c>
    </row>
    <row r="954" spans="19:21" ht="14.65" thickBot="1" x14ac:dyDescent="0.5">
      <c r="S954" s="37">
        <f t="shared" si="29"/>
        <v>783836.12360369111</v>
      </c>
      <c r="U954" s="26">
        <f t="shared" si="28"/>
        <v>-5</v>
      </c>
    </row>
    <row r="955" spans="19:21" ht="14.65" thickBot="1" x14ac:dyDescent="0.5">
      <c r="S955" s="37">
        <f t="shared" si="29"/>
        <v>791674.48483972799</v>
      </c>
      <c r="U955" s="26">
        <f t="shared" si="28"/>
        <v>-5</v>
      </c>
    </row>
    <row r="956" spans="19:21" ht="14.65" thickBot="1" x14ac:dyDescent="0.5">
      <c r="S956" s="37">
        <f t="shared" si="29"/>
        <v>799591.22968812531</v>
      </c>
      <c r="U956" s="26">
        <f t="shared" si="28"/>
        <v>-5</v>
      </c>
    </row>
    <row r="957" spans="19:21" ht="14.65" thickBot="1" x14ac:dyDescent="0.5">
      <c r="S957" s="37">
        <f t="shared" si="29"/>
        <v>807587.14198500663</v>
      </c>
      <c r="U957" s="26">
        <f t="shared" si="28"/>
        <v>-5</v>
      </c>
    </row>
    <row r="958" spans="19:21" ht="14.65" thickBot="1" x14ac:dyDescent="0.5">
      <c r="S958" s="37">
        <f t="shared" si="29"/>
        <v>815663.01340485667</v>
      </c>
      <c r="U958" s="26">
        <f t="shared" si="28"/>
        <v>-5</v>
      </c>
    </row>
    <row r="959" spans="19:21" ht="14.65" thickBot="1" x14ac:dyDescent="0.5">
      <c r="S959" s="37">
        <f t="shared" si="29"/>
        <v>823819.64353890519</v>
      </c>
      <c r="U959" s="26">
        <f t="shared" si="28"/>
        <v>-5</v>
      </c>
    </row>
    <row r="960" spans="19:21" ht="14.65" thickBot="1" x14ac:dyDescent="0.5">
      <c r="S960" s="37">
        <f t="shared" si="29"/>
        <v>832057.8399742943</v>
      </c>
      <c r="U960" s="26">
        <f t="shared" si="28"/>
        <v>-5</v>
      </c>
    </row>
    <row r="961" spans="19:21" ht="14.65" thickBot="1" x14ac:dyDescent="0.5">
      <c r="S961" s="37">
        <f t="shared" si="29"/>
        <v>840378.41837403725</v>
      </c>
      <c r="U961" s="26">
        <f t="shared" si="28"/>
        <v>-5</v>
      </c>
    </row>
    <row r="962" spans="19:21" ht="14.65" thickBot="1" x14ac:dyDescent="0.5">
      <c r="S962" s="37">
        <f t="shared" si="29"/>
        <v>848782.20255777764</v>
      </c>
      <c r="U962" s="26">
        <f t="shared" si="28"/>
        <v>-5</v>
      </c>
    </row>
    <row r="963" spans="19:21" ht="14.65" thickBot="1" x14ac:dyDescent="0.5">
      <c r="S963" s="37">
        <f t="shared" si="29"/>
        <v>857270.02458335541</v>
      </c>
      <c r="U963" s="26">
        <f t="shared" si="28"/>
        <v>-5</v>
      </c>
    </row>
    <row r="964" spans="19:21" ht="14.65" thickBot="1" x14ac:dyDescent="0.5">
      <c r="S964" s="37">
        <f t="shared" si="29"/>
        <v>865842.72482918901</v>
      </c>
      <c r="U964" s="26">
        <f t="shared" si="28"/>
        <v>-5</v>
      </c>
    </row>
    <row r="965" spans="19:21" ht="14.65" thickBot="1" x14ac:dyDescent="0.5">
      <c r="S965" s="37">
        <f t="shared" si="29"/>
        <v>874501.15207748092</v>
      </c>
      <c r="U965" s="26">
        <f t="shared" si="28"/>
        <v>-5</v>
      </c>
    </row>
    <row r="966" spans="19:21" ht="14.65" thickBot="1" x14ac:dyDescent="0.5">
      <c r="S966" s="37">
        <f t="shared" si="29"/>
        <v>883246.16359825572</v>
      </c>
      <c r="U966" s="26">
        <f t="shared" si="28"/>
        <v>-5</v>
      </c>
    </row>
    <row r="967" spans="19:21" ht="14.65" thickBot="1" x14ac:dyDescent="0.5">
      <c r="S967" s="37">
        <f t="shared" si="29"/>
        <v>892078.62523423834</v>
      </c>
      <c r="U967" s="26">
        <f t="shared" si="28"/>
        <v>-5</v>
      </c>
    </row>
    <row r="968" spans="19:21" ht="14.65" thickBot="1" x14ac:dyDescent="0.5">
      <c r="S968" s="37">
        <f t="shared" si="29"/>
        <v>900999.41148658074</v>
      </c>
      <c r="U968" s="26">
        <f t="shared" si="28"/>
        <v>-5</v>
      </c>
    </row>
    <row r="969" spans="19:21" ht="14.65" thickBot="1" x14ac:dyDescent="0.5">
      <c r="S969" s="37">
        <f t="shared" si="29"/>
        <v>910009.40560144652</v>
      </c>
      <c r="U969" s="26">
        <f t="shared" si="28"/>
        <v>-5</v>
      </c>
    </row>
    <row r="970" spans="19:21" ht="14.65" thickBot="1" x14ac:dyDescent="0.5">
      <c r="S970" s="37">
        <f t="shared" si="29"/>
        <v>919109.49965746095</v>
      </c>
      <c r="U970" s="26">
        <f t="shared" si="28"/>
        <v>-5</v>
      </c>
    </row>
    <row r="971" spans="19:21" ht="14.65" thickBot="1" x14ac:dyDescent="0.5">
      <c r="S971" s="37">
        <f t="shared" si="29"/>
        <v>928300.59465403552</v>
      </c>
      <c r="U971" s="26">
        <f t="shared" si="28"/>
        <v>-5</v>
      </c>
    </row>
    <row r="972" spans="19:21" ht="14.65" thickBot="1" x14ac:dyDescent="0.5">
      <c r="S972" s="37">
        <f t="shared" si="29"/>
        <v>937583.60060057591</v>
      </c>
      <c r="U972" s="26">
        <f t="shared" si="28"/>
        <v>-5</v>
      </c>
    </row>
    <row r="973" spans="19:21" ht="14.65" thickBot="1" x14ac:dyDescent="0.5">
      <c r="S973" s="37">
        <f t="shared" si="29"/>
        <v>946959.43660658167</v>
      </c>
      <c r="U973" s="26">
        <f t="shared" si="28"/>
        <v>-5</v>
      </c>
    </row>
    <row r="974" spans="19:21" ht="14.65" thickBot="1" x14ac:dyDescent="0.5">
      <c r="S974" s="37">
        <f t="shared" si="29"/>
        <v>956429.03097264748</v>
      </c>
      <c r="U974" s="26">
        <f t="shared" si="28"/>
        <v>-5</v>
      </c>
    </row>
    <row r="975" spans="19:21" ht="14.65" thickBot="1" x14ac:dyDescent="0.5">
      <c r="S975" s="37">
        <f t="shared" si="29"/>
        <v>965993.32128237397</v>
      </c>
      <c r="U975" s="26">
        <f t="shared" si="28"/>
        <v>-5</v>
      </c>
    </row>
    <row r="976" spans="19:21" ht="14.65" thickBot="1" x14ac:dyDescent="0.5">
      <c r="S976" s="37">
        <f t="shared" si="29"/>
        <v>975653.25449519767</v>
      </c>
      <c r="U976" s="26">
        <f t="shared" si="28"/>
        <v>-5</v>
      </c>
    </row>
    <row r="977" spans="19:21" ht="14.65" thickBot="1" x14ac:dyDescent="0.5">
      <c r="S977" s="37">
        <f t="shared" si="29"/>
        <v>985409.78704014968</v>
      </c>
      <c r="U977" s="26">
        <f t="shared" si="28"/>
        <v>-5</v>
      </c>
    </row>
    <row r="978" spans="19:21" ht="14.65" thickBot="1" x14ac:dyDescent="0.5">
      <c r="S978" s="37">
        <f t="shared" si="29"/>
        <v>995263.88491055113</v>
      </c>
      <c r="U978" s="26">
        <f t="shared" ref="U978:U1032" si="30">IF(S978&lt;$D$7,($D$7-S978)-$D$8,-$D$8)</f>
        <v>-5</v>
      </c>
    </row>
    <row r="979" spans="19:21" ht="14.65" thickBot="1" x14ac:dyDescent="0.5">
      <c r="S979" s="37">
        <f t="shared" ref="S979:S1032" si="31">S978*(1.01)</f>
        <v>1005216.5237596567</v>
      </c>
      <c r="U979" s="26">
        <f t="shared" si="30"/>
        <v>-5</v>
      </c>
    </row>
    <row r="980" spans="19:21" ht="14.65" thickBot="1" x14ac:dyDescent="0.5">
      <c r="S980" s="37">
        <f t="shared" si="31"/>
        <v>1015268.6889972533</v>
      </c>
      <c r="U980" s="26">
        <f t="shared" si="30"/>
        <v>-5</v>
      </c>
    </row>
    <row r="981" spans="19:21" ht="14.65" thickBot="1" x14ac:dyDescent="0.5">
      <c r="S981" s="37">
        <f t="shared" si="31"/>
        <v>1025421.3758872258</v>
      </c>
      <c r="U981" s="26">
        <f t="shared" si="30"/>
        <v>-5</v>
      </c>
    </row>
    <row r="982" spans="19:21" ht="14.65" thickBot="1" x14ac:dyDescent="0.5">
      <c r="S982" s="37">
        <f t="shared" si="31"/>
        <v>1035675.5896460981</v>
      </c>
      <c r="U982" s="26">
        <f t="shared" si="30"/>
        <v>-5</v>
      </c>
    </row>
    <row r="983" spans="19:21" ht="14.65" thickBot="1" x14ac:dyDescent="0.5">
      <c r="S983" s="37">
        <f t="shared" si="31"/>
        <v>1046032.3455425591</v>
      </c>
      <c r="U983" s="26">
        <f t="shared" si="30"/>
        <v>-5</v>
      </c>
    </row>
    <row r="984" spans="19:21" ht="14.65" thickBot="1" x14ac:dyDescent="0.5">
      <c r="S984" s="37">
        <f t="shared" si="31"/>
        <v>1056492.6689979846</v>
      </c>
      <c r="U984" s="26">
        <f t="shared" si="30"/>
        <v>-5</v>
      </c>
    </row>
    <row r="985" spans="19:21" ht="14.65" thickBot="1" x14ac:dyDescent="0.5">
      <c r="S985" s="37">
        <f t="shared" si="31"/>
        <v>1067057.5956879645</v>
      </c>
      <c r="U985" s="26">
        <f t="shared" si="30"/>
        <v>-5</v>
      </c>
    </row>
    <row r="986" spans="19:21" ht="14.65" thickBot="1" x14ac:dyDescent="0.5">
      <c r="S986" s="37">
        <f t="shared" si="31"/>
        <v>1077728.1716448441</v>
      </c>
      <c r="U986" s="26">
        <f t="shared" si="30"/>
        <v>-5</v>
      </c>
    </row>
    <row r="987" spans="19:21" ht="14.65" thickBot="1" x14ac:dyDescent="0.5">
      <c r="S987" s="37">
        <f t="shared" si="31"/>
        <v>1088505.4533612926</v>
      </c>
      <c r="U987" s="26">
        <f t="shared" si="30"/>
        <v>-5</v>
      </c>
    </row>
    <row r="988" spans="19:21" ht="14.65" thickBot="1" x14ac:dyDescent="0.5">
      <c r="S988" s="37">
        <f t="shared" si="31"/>
        <v>1099390.5078949055</v>
      </c>
      <c r="U988" s="26">
        <f t="shared" si="30"/>
        <v>-5</v>
      </c>
    </row>
    <row r="989" spans="19:21" ht="14.65" thickBot="1" x14ac:dyDescent="0.5">
      <c r="S989" s="37">
        <f t="shared" si="31"/>
        <v>1110384.4129738547</v>
      </c>
      <c r="U989" s="26">
        <f t="shared" si="30"/>
        <v>-5</v>
      </c>
    </row>
    <row r="990" spans="19:21" ht="14.65" thickBot="1" x14ac:dyDescent="0.5">
      <c r="S990" s="37">
        <f t="shared" si="31"/>
        <v>1121488.2571035933</v>
      </c>
      <c r="U990" s="26">
        <f t="shared" si="30"/>
        <v>-5</v>
      </c>
    </row>
    <row r="991" spans="19:21" ht="14.65" thickBot="1" x14ac:dyDescent="0.5">
      <c r="S991" s="37">
        <f t="shared" si="31"/>
        <v>1132703.1396746293</v>
      </c>
      <c r="U991" s="26">
        <f t="shared" si="30"/>
        <v>-5</v>
      </c>
    </row>
    <row r="992" spans="19:21" ht="14.65" thickBot="1" x14ac:dyDescent="0.5">
      <c r="S992" s="37">
        <f t="shared" si="31"/>
        <v>1144030.1710713757</v>
      </c>
      <c r="U992" s="26">
        <f t="shared" si="30"/>
        <v>-5</v>
      </c>
    </row>
    <row r="993" spans="19:21" ht="14.65" thickBot="1" x14ac:dyDescent="0.5">
      <c r="S993" s="37">
        <f t="shared" si="31"/>
        <v>1155470.4727820894</v>
      </c>
      <c r="U993" s="26">
        <f t="shared" si="30"/>
        <v>-5</v>
      </c>
    </row>
    <row r="994" spans="19:21" ht="14.65" thickBot="1" x14ac:dyDescent="0.5">
      <c r="S994" s="37">
        <f t="shared" si="31"/>
        <v>1167025.1775099102</v>
      </c>
      <c r="U994" s="26">
        <f t="shared" si="30"/>
        <v>-5</v>
      </c>
    </row>
    <row r="995" spans="19:21" ht="14.65" thickBot="1" x14ac:dyDescent="0.5">
      <c r="S995" s="37">
        <f t="shared" si="31"/>
        <v>1178695.4292850094</v>
      </c>
      <c r="U995" s="26">
        <f t="shared" si="30"/>
        <v>-5</v>
      </c>
    </row>
    <row r="996" spans="19:21" ht="14.65" thickBot="1" x14ac:dyDescent="0.5">
      <c r="S996" s="37">
        <f t="shared" si="31"/>
        <v>1190482.3835778595</v>
      </c>
      <c r="U996" s="26">
        <f t="shared" si="30"/>
        <v>-5</v>
      </c>
    </row>
    <row r="997" spans="19:21" ht="14.65" thickBot="1" x14ac:dyDescent="0.5">
      <c r="S997" s="37">
        <f t="shared" si="31"/>
        <v>1202387.207413638</v>
      </c>
      <c r="U997" s="26">
        <f t="shared" si="30"/>
        <v>-5</v>
      </c>
    </row>
    <row r="998" spans="19:21" ht="14.65" thickBot="1" x14ac:dyDescent="0.5">
      <c r="S998" s="37">
        <f t="shared" si="31"/>
        <v>1214411.0794877743</v>
      </c>
      <c r="U998" s="26">
        <f t="shared" si="30"/>
        <v>-5</v>
      </c>
    </row>
    <row r="999" spans="19:21" ht="14.65" thickBot="1" x14ac:dyDescent="0.5">
      <c r="S999" s="37">
        <f t="shared" si="31"/>
        <v>1226555.1902826522</v>
      </c>
      <c r="U999" s="26">
        <f t="shared" si="30"/>
        <v>-5</v>
      </c>
    </row>
    <row r="1000" spans="19:21" ht="14.65" thickBot="1" x14ac:dyDescent="0.5">
      <c r="S1000" s="37">
        <f t="shared" si="31"/>
        <v>1238820.7421854788</v>
      </c>
      <c r="U1000" s="26">
        <f t="shared" si="30"/>
        <v>-5</v>
      </c>
    </row>
    <row r="1001" spans="19:21" ht="14.65" thickBot="1" x14ac:dyDescent="0.5">
      <c r="S1001" s="37">
        <f t="shared" si="31"/>
        <v>1251208.9496073336</v>
      </c>
      <c r="U1001" s="26">
        <f t="shared" si="30"/>
        <v>-5</v>
      </c>
    </row>
    <row r="1002" spans="19:21" ht="14.65" thickBot="1" x14ac:dyDescent="0.5">
      <c r="S1002" s="37">
        <f t="shared" si="31"/>
        <v>1263721.0391034069</v>
      </c>
      <c r="U1002" s="26">
        <f t="shared" si="30"/>
        <v>-5</v>
      </c>
    </row>
    <row r="1003" spans="19:21" ht="14.65" thickBot="1" x14ac:dyDescent="0.5">
      <c r="S1003" s="37">
        <f t="shared" si="31"/>
        <v>1276358.2494944411</v>
      </c>
      <c r="U1003" s="26">
        <f t="shared" si="30"/>
        <v>-5</v>
      </c>
    </row>
    <row r="1004" spans="19:21" ht="14.65" thickBot="1" x14ac:dyDescent="0.5">
      <c r="S1004" s="37">
        <f t="shared" si="31"/>
        <v>1289121.8319893854</v>
      </c>
      <c r="U1004" s="26">
        <f t="shared" si="30"/>
        <v>-5</v>
      </c>
    </row>
    <row r="1005" spans="19:21" ht="14.65" thickBot="1" x14ac:dyDescent="0.5">
      <c r="S1005" s="37">
        <f t="shared" si="31"/>
        <v>1302013.0503092792</v>
      </c>
      <c r="U1005" s="26">
        <f t="shared" si="30"/>
        <v>-5</v>
      </c>
    </row>
    <row r="1006" spans="19:21" ht="14.65" thickBot="1" x14ac:dyDescent="0.5">
      <c r="S1006" s="37">
        <f t="shared" si="31"/>
        <v>1315033.1808123721</v>
      </c>
      <c r="U1006" s="26">
        <f t="shared" si="30"/>
        <v>-5</v>
      </c>
    </row>
    <row r="1007" spans="19:21" ht="14.65" thickBot="1" x14ac:dyDescent="0.5">
      <c r="S1007" s="37">
        <f t="shared" si="31"/>
        <v>1328183.5126204959</v>
      </c>
      <c r="U1007" s="26">
        <f t="shared" si="30"/>
        <v>-5</v>
      </c>
    </row>
    <row r="1008" spans="19:21" ht="14.65" thickBot="1" x14ac:dyDescent="0.5">
      <c r="S1008" s="37">
        <f t="shared" si="31"/>
        <v>1341465.3477467007</v>
      </c>
      <c r="U1008" s="26">
        <f t="shared" si="30"/>
        <v>-5</v>
      </c>
    </row>
    <row r="1009" spans="19:21" ht="14.65" thickBot="1" x14ac:dyDescent="0.5">
      <c r="S1009" s="37">
        <f t="shared" si="31"/>
        <v>1354880.0012241679</v>
      </c>
      <c r="U1009" s="26">
        <f t="shared" si="30"/>
        <v>-5</v>
      </c>
    </row>
    <row r="1010" spans="19:21" ht="14.65" thickBot="1" x14ac:dyDescent="0.5">
      <c r="S1010" s="37">
        <f t="shared" si="31"/>
        <v>1368428.8012364095</v>
      </c>
      <c r="U1010" s="26">
        <f t="shared" si="30"/>
        <v>-5</v>
      </c>
    </row>
    <row r="1011" spans="19:21" ht="14.65" thickBot="1" x14ac:dyDescent="0.5">
      <c r="S1011" s="37">
        <f t="shared" si="31"/>
        <v>1382113.0892487736</v>
      </c>
      <c r="U1011" s="26">
        <f t="shared" si="30"/>
        <v>-5</v>
      </c>
    </row>
    <row r="1012" spans="19:21" ht="14.65" thickBot="1" x14ac:dyDescent="0.5">
      <c r="S1012" s="37">
        <f t="shared" si="31"/>
        <v>1395934.2201412614</v>
      </c>
      <c r="U1012" s="26">
        <f t="shared" si="30"/>
        <v>-5</v>
      </c>
    </row>
    <row r="1013" spans="19:21" ht="14.65" thickBot="1" x14ac:dyDescent="0.5">
      <c r="S1013" s="37">
        <f t="shared" si="31"/>
        <v>1409893.562342674</v>
      </c>
      <c r="U1013" s="26">
        <f t="shared" si="30"/>
        <v>-5</v>
      </c>
    </row>
    <row r="1014" spans="19:21" ht="14.65" thickBot="1" x14ac:dyDescent="0.5">
      <c r="S1014" s="37">
        <f t="shared" si="31"/>
        <v>1423992.4979661007</v>
      </c>
      <c r="U1014" s="26">
        <f t="shared" si="30"/>
        <v>-5</v>
      </c>
    </row>
    <row r="1015" spans="19:21" ht="14.65" thickBot="1" x14ac:dyDescent="0.5">
      <c r="S1015" s="37">
        <f t="shared" si="31"/>
        <v>1438232.4229457618</v>
      </c>
      <c r="U1015" s="26">
        <f t="shared" si="30"/>
        <v>-5</v>
      </c>
    </row>
    <row r="1016" spans="19:21" ht="14.65" thickBot="1" x14ac:dyDescent="0.5">
      <c r="S1016" s="37">
        <f t="shared" si="31"/>
        <v>1452614.7471752195</v>
      </c>
      <c r="U1016" s="26">
        <f t="shared" si="30"/>
        <v>-5</v>
      </c>
    </row>
    <row r="1017" spans="19:21" ht="14.65" thickBot="1" x14ac:dyDescent="0.5">
      <c r="S1017" s="37">
        <f t="shared" si="31"/>
        <v>1467140.8946469717</v>
      </c>
      <c r="U1017" s="26">
        <f t="shared" si="30"/>
        <v>-5</v>
      </c>
    </row>
    <row r="1018" spans="19:21" ht="14.65" thickBot="1" x14ac:dyDescent="0.5">
      <c r="S1018" s="37">
        <f t="shared" si="31"/>
        <v>1481812.3035934414</v>
      </c>
      <c r="U1018" s="26">
        <f t="shared" si="30"/>
        <v>-5</v>
      </c>
    </row>
    <row r="1019" spans="19:21" ht="14.65" thickBot="1" x14ac:dyDescent="0.5">
      <c r="S1019" s="37">
        <f t="shared" si="31"/>
        <v>1496630.4266293759</v>
      </c>
      <c r="U1019" s="26">
        <f t="shared" si="30"/>
        <v>-5</v>
      </c>
    </row>
    <row r="1020" spans="19:21" ht="14.65" thickBot="1" x14ac:dyDescent="0.5">
      <c r="S1020" s="37">
        <f t="shared" si="31"/>
        <v>1511596.7308956697</v>
      </c>
      <c r="U1020" s="26">
        <f t="shared" si="30"/>
        <v>-5</v>
      </c>
    </row>
    <row r="1021" spans="19:21" ht="14.65" thickBot="1" x14ac:dyDescent="0.5">
      <c r="S1021" s="37">
        <f t="shared" si="31"/>
        <v>1526712.6982046263</v>
      </c>
      <c r="U1021" s="26">
        <f t="shared" si="30"/>
        <v>-5</v>
      </c>
    </row>
    <row r="1022" spans="19:21" ht="14.65" thickBot="1" x14ac:dyDescent="0.5">
      <c r="S1022" s="37">
        <f t="shared" si="31"/>
        <v>1541979.8251866726</v>
      </c>
      <c r="U1022" s="26">
        <f t="shared" si="30"/>
        <v>-5</v>
      </c>
    </row>
    <row r="1023" spans="19:21" ht="14.65" thickBot="1" x14ac:dyDescent="0.5">
      <c r="S1023" s="37">
        <f t="shared" si="31"/>
        <v>1557399.6234385394</v>
      </c>
      <c r="U1023" s="26">
        <f t="shared" si="30"/>
        <v>-5</v>
      </c>
    </row>
    <row r="1024" spans="19:21" ht="14.65" thickBot="1" x14ac:dyDescent="0.5">
      <c r="S1024" s="37">
        <f t="shared" si="31"/>
        <v>1572973.6196729247</v>
      </c>
      <c r="U1024" s="26">
        <f t="shared" si="30"/>
        <v>-5</v>
      </c>
    </row>
    <row r="1025" spans="19:21" ht="14.65" thickBot="1" x14ac:dyDescent="0.5">
      <c r="S1025" s="37">
        <f t="shared" si="31"/>
        <v>1588703.3558696541</v>
      </c>
      <c r="U1025" s="26">
        <f t="shared" si="30"/>
        <v>-5</v>
      </c>
    </row>
    <row r="1026" spans="19:21" ht="14.65" thickBot="1" x14ac:dyDescent="0.5">
      <c r="S1026" s="37">
        <f t="shared" si="31"/>
        <v>1604590.3894283506</v>
      </c>
      <c r="U1026" s="26">
        <f t="shared" si="30"/>
        <v>-5</v>
      </c>
    </row>
    <row r="1027" spans="19:21" ht="14.65" thickBot="1" x14ac:dyDescent="0.5">
      <c r="S1027" s="37">
        <f t="shared" si="31"/>
        <v>1620636.2933226342</v>
      </c>
      <c r="U1027" s="26">
        <f t="shared" si="30"/>
        <v>-5</v>
      </c>
    </row>
    <row r="1028" spans="19:21" ht="14.65" thickBot="1" x14ac:dyDescent="0.5">
      <c r="S1028" s="37">
        <f t="shared" si="31"/>
        <v>1636842.6562558606</v>
      </c>
      <c r="U1028" s="26">
        <f t="shared" si="30"/>
        <v>-5</v>
      </c>
    </row>
    <row r="1029" spans="19:21" ht="14.65" thickBot="1" x14ac:dyDescent="0.5">
      <c r="S1029" s="37">
        <f t="shared" si="31"/>
        <v>1653211.0828184192</v>
      </c>
      <c r="U1029" s="26">
        <f t="shared" si="30"/>
        <v>-5</v>
      </c>
    </row>
    <row r="1030" spans="19:21" ht="14.65" thickBot="1" x14ac:dyDescent="0.5">
      <c r="S1030" s="37">
        <f t="shared" si="31"/>
        <v>1669743.1936466035</v>
      </c>
      <c r="U1030" s="26">
        <f t="shared" si="30"/>
        <v>-5</v>
      </c>
    </row>
    <row r="1031" spans="19:21" ht="14.65" thickBot="1" x14ac:dyDescent="0.5">
      <c r="S1031" s="37">
        <f t="shared" si="31"/>
        <v>1686440.6255830696</v>
      </c>
      <c r="U1031" s="26">
        <f t="shared" si="30"/>
        <v>-5</v>
      </c>
    </row>
    <row r="1032" spans="19:21" ht="14.65" thickBot="1" x14ac:dyDescent="0.5">
      <c r="S1032" s="37">
        <f t="shared" si="31"/>
        <v>1703305.0318389004</v>
      </c>
      <c r="U1032" s="26">
        <f t="shared" si="30"/>
        <v>-5</v>
      </c>
    </row>
  </sheetData>
  <conditionalFormatting sqref="D11">
    <cfRule type="cellIs" dxfId="31" priority="3" operator="greaterThan">
      <formula>0</formula>
    </cfRule>
    <cfRule type="cellIs" dxfId="30" priority="4" operator="lessThan">
      <formula>0</formula>
    </cfRule>
  </conditionalFormatting>
  <conditionalFormatting sqref="U17:U1032">
    <cfRule type="cellIs" dxfId="29" priority="1" operator="greaterThan">
      <formula>0</formula>
    </cfRule>
    <cfRule type="cellIs" dxfId="28" priority="2" operator="lessThan">
      <formula>0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09A03-CB68-41F4-A7F2-87479689162F}">
  <dimension ref="A1:U1032"/>
  <sheetViews>
    <sheetView zoomScaleNormal="100" workbookViewId="0">
      <selection activeCell="E3" sqref="E3"/>
    </sheetView>
  </sheetViews>
  <sheetFormatPr defaultColWidth="9.1328125" defaultRowHeight="14.25" x14ac:dyDescent="0.45"/>
  <cols>
    <col min="1" max="1" width="12.1328125" style="1" customWidth="1"/>
    <col min="2" max="2" width="1.59765625" style="1" customWidth="1"/>
    <col min="3" max="8" width="33.3984375" style="1" customWidth="1"/>
    <col min="9" max="10" width="9.1328125" style="1"/>
    <col min="11" max="11" width="13.3984375" style="1" customWidth="1"/>
    <col min="12" max="12" width="20" style="1" customWidth="1"/>
    <col min="13" max="14" width="11.86328125" style="1" customWidth="1"/>
    <col min="15" max="16384" width="9.1328125" style="1"/>
  </cols>
  <sheetData>
    <row r="1" spans="1:19" ht="18" x14ac:dyDescent="0.55000000000000004">
      <c r="A1" s="28" t="s">
        <v>48</v>
      </c>
    </row>
    <row r="2" spans="1:19" x14ac:dyDescent="0.45">
      <c r="C2" s="20" t="s">
        <v>51</v>
      </c>
      <c r="E2" s="20" t="s">
        <v>49</v>
      </c>
    </row>
    <row r="3" spans="1:19" ht="14.65" thickBot="1" x14ac:dyDescent="0.5">
      <c r="E3" s="1" t="s">
        <v>118</v>
      </c>
    </row>
    <row r="4" spans="1:19" ht="30.75" customHeight="1" x14ac:dyDescent="0.45">
      <c r="C4" s="6" t="s">
        <v>30</v>
      </c>
      <c r="D4" s="7" t="s">
        <v>15</v>
      </c>
      <c r="E4" s="7" t="s">
        <v>31</v>
      </c>
      <c r="F4" s="7" t="s">
        <v>35</v>
      </c>
      <c r="G4" s="7" t="s">
        <v>34</v>
      </c>
      <c r="H4" s="8" t="s">
        <v>27</v>
      </c>
      <c r="J4" s="4"/>
    </row>
    <row r="5" spans="1:19" ht="30.75" customHeight="1" thickBot="1" x14ac:dyDescent="0.5">
      <c r="C5" s="11" t="s">
        <v>50</v>
      </c>
      <c r="D5" s="9" t="s">
        <v>32</v>
      </c>
      <c r="E5" s="9" t="s">
        <v>52</v>
      </c>
      <c r="F5" s="9" t="s">
        <v>32</v>
      </c>
      <c r="G5" s="9" t="s">
        <v>53</v>
      </c>
      <c r="H5" s="10" t="s">
        <v>54</v>
      </c>
      <c r="J5" s="4"/>
    </row>
    <row r="6" spans="1:19" ht="30.75" customHeight="1" thickBot="1" x14ac:dyDescent="0.5"/>
    <row r="7" spans="1:19" x14ac:dyDescent="0.45">
      <c r="C7" s="6" t="s">
        <v>56</v>
      </c>
      <c r="D7" s="31">
        <v>95</v>
      </c>
    </row>
    <row r="8" spans="1:19" x14ac:dyDescent="0.45">
      <c r="C8" s="29" t="s">
        <v>55</v>
      </c>
      <c r="D8" s="22">
        <v>110</v>
      </c>
    </row>
    <row r="9" spans="1:19" x14ac:dyDescent="0.45">
      <c r="C9" s="29" t="s">
        <v>47</v>
      </c>
      <c r="D9" s="22">
        <v>5</v>
      </c>
    </row>
    <row r="10" spans="1:19" x14ac:dyDescent="0.45">
      <c r="C10" s="29" t="s">
        <v>28</v>
      </c>
      <c r="D10" s="22">
        <v>110</v>
      </c>
    </row>
    <row r="11" spans="1:19" x14ac:dyDescent="0.45">
      <c r="C11" s="29" t="s">
        <v>27</v>
      </c>
      <c r="D11" s="24">
        <f>D7-D9</f>
        <v>90</v>
      </c>
    </row>
    <row r="12" spans="1:19" ht="14.65" thickBot="1" x14ac:dyDescent="0.5">
      <c r="C12" s="30" t="s">
        <v>29</v>
      </c>
      <c r="D12" s="26">
        <f>IF(D10&lt;D8,D10-D7+D9,D8-D7+D9)</f>
        <v>20</v>
      </c>
    </row>
    <row r="16" spans="1:19" x14ac:dyDescent="0.45">
      <c r="S16" s="1" t="s">
        <v>25</v>
      </c>
    </row>
    <row r="17" spans="19:21" ht="14.65" thickBot="1" x14ac:dyDescent="0.5">
      <c r="S17" s="37">
        <f>ROUND((D7-(0.3*D7)),0)</f>
        <v>67</v>
      </c>
      <c r="U17" s="26">
        <f>IF(S17&lt;$D$8,S17-$D$7+$D$9,$D$8-$D$7+$D$9)</f>
        <v>-23</v>
      </c>
    </row>
    <row r="18" spans="19:21" ht="14.65" thickBot="1" x14ac:dyDescent="0.5">
      <c r="S18" s="37">
        <f>S17*(1.01)</f>
        <v>67.67</v>
      </c>
      <c r="U18" s="26">
        <f t="shared" ref="U18:U81" si="0">IF(S18&lt;$D$8,S18-$D$7+$D$9,$D$8-$D$7+$D$9)</f>
        <v>-22.33</v>
      </c>
    </row>
    <row r="19" spans="19:21" ht="14.65" thickBot="1" x14ac:dyDescent="0.5">
      <c r="S19" s="37">
        <f t="shared" ref="S19:S82" si="1">S18*(1.01)</f>
        <v>68.346699999999998</v>
      </c>
      <c r="U19" s="26">
        <f t="shared" si="0"/>
        <v>-21.653300000000002</v>
      </c>
    </row>
    <row r="20" spans="19:21" ht="14.65" thickBot="1" x14ac:dyDescent="0.5">
      <c r="S20" s="37">
        <f t="shared" si="1"/>
        <v>69.030167000000006</v>
      </c>
      <c r="U20" s="26">
        <f t="shared" si="0"/>
        <v>-20.969832999999994</v>
      </c>
    </row>
    <row r="21" spans="19:21" ht="14.65" thickBot="1" x14ac:dyDescent="0.5">
      <c r="S21" s="37">
        <f t="shared" si="1"/>
        <v>69.720468670000002</v>
      </c>
      <c r="U21" s="26">
        <f t="shared" si="0"/>
        <v>-20.279531329999998</v>
      </c>
    </row>
    <row r="22" spans="19:21" ht="14.65" thickBot="1" x14ac:dyDescent="0.5">
      <c r="S22" s="37">
        <f t="shared" si="1"/>
        <v>70.417673356700007</v>
      </c>
      <c r="U22" s="26">
        <f t="shared" si="0"/>
        <v>-19.582326643299993</v>
      </c>
    </row>
    <row r="23" spans="19:21" ht="14.65" thickBot="1" x14ac:dyDescent="0.5">
      <c r="S23" s="37">
        <f t="shared" si="1"/>
        <v>71.121850090267003</v>
      </c>
      <c r="U23" s="26">
        <f t="shared" si="0"/>
        <v>-18.878149909732997</v>
      </c>
    </row>
    <row r="24" spans="19:21" ht="14.65" thickBot="1" x14ac:dyDescent="0.5">
      <c r="S24" s="37">
        <f t="shared" si="1"/>
        <v>71.833068591169678</v>
      </c>
      <c r="U24" s="26">
        <f t="shared" si="0"/>
        <v>-18.166931408830322</v>
      </c>
    </row>
    <row r="25" spans="19:21" ht="14.65" thickBot="1" x14ac:dyDescent="0.5">
      <c r="S25" s="37">
        <f>S24*(1.01)</f>
        <v>72.551399277081373</v>
      </c>
      <c r="U25" s="26">
        <f t="shared" si="0"/>
        <v>-17.448600722918627</v>
      </c>
    </row>
    <row r="26" spans="19:21" ht="14.65" thickBot="1" x14ac:dyDescent="0.5">
      <c r="S26" s="37">
        <f t="shared" si="1"/>
        <v>73.276913269852187</v>
      </c>
      <c r="U26" s="26">
        <f t="shared" si="0"/>
        <v>-16.723086730147813</v>
      </c>
    </row>
    <row r="27" spans="19:21" ht="14.65" thickBot="1" x14ac:dyDescent="0.5">
      <c r="S27" s="37">
        <f t="shared" si="1"/>
        <v>74.009682402550709</v>
      </c>
      <c r="U27" s="26">
        <f t="shared" si="0"/>
        <v>-15.990317597449291</v>
      </c>
    </row>
    <row r="28" spans="19:21" ht="14.65" thickBot="1" x14ac:dyDescent="0.5">
      <c r="S28" s="37">
        <f t="shared" si="1"/>
        <v>74.749779226576223</v>
      </c>
      <c r="U28" s="26">
        <f t="shared" si="0"/>
        <v>-15.250220773423777</v>
      </c>
    </row>
    <row r="29" spans="19:21" ht="14.65" thickBot="1" x14ac:dyDescent="0.5">
      <c r="S29" s="37">
        <f t="shared" si="1"/>
        <v>75.497277018841984</v>
      </c>
      <c r="U29" s="26">
        <f t="shared" si="0"/>
        <v>-14.502722981158016</v>
      </c>
    </row>
    <row r="30" spans="19:21" ht="14.65" thickBot="1" x14ac:dyDescent="0.5">
      <c r="S30" s="37">
        <f t="shared" si="1"/>
        <v>76.252249789030401</v>
      </c>
      <c r="U30" s="26">
        <f t="shared" si="0"/>
        <v>-13.747750210969599</v>
      </c>
    </row>
    <row r="31" spans="19:21" ht="14.65" thickBot="1" x14ac:dyDescent="0.5">
      <c r="S31" s="37">
        <f>S30*(1.01)</f>
        <v>77.014772286920703</v>
      </c>
      <c r="U31" s="26">
        <f t="shared" si="0"/>
        <v>-12.985227713079297</v>
      </c>
    </row>
    <row r="32" spans="19:21" ht="14.65" thickBot="1" x14ac:dyDescent="0.5">
      <c r="S32" s="37">
        <f t="shared" si="1"/>
        <v>77.784920009789914</v>
      </c>
      <c r="U32" s="26">
        <f t="shared" si="0"/>
        <v>-12.215079990210086</v>
      </c>
    </row>
    <row r="33" spans="19:21" ht="14.65" thickBot="1" x14ac:dyDescent="0.5">
      <c r="S33" s="37">
        <f t="shared" si="1"/>
        <v>78.562769209887819</v>
      </c>
      <c r="U33" s="26">
        <f t="shared" si="0"/>
        <v>-11.437230790112181</v>
      </c>
    </row>
    <row r="34" spans="19:21" ht="14.65" thickBot="1" x14ac:dyDescent="0.5">
      <c r="S34" s="37">
        <f t="shared" si="1"/>
        <v>79.348396901986703</v>
      </c>
      <c r="U34" s="26">
        <f t="shared" si="0"/>
        <v>-10.651603098013297</v>
      </c>
    </row>
    <row r="35" spans="19:21" ht="14.65" thickBot="1" x14ac:dyDescent="0.5">
      <c r="S35" s="37">
        <f t="shared" si="1"/>
        <v>80.141880871006578</v>
      </c>
      <c r="U35" s="26">
        <f t="shared" si="0"/>
        <v>-9.8581191289934225</v>
      </c>
    </row>
    <row r="36" spans="19:21" ht="14.65" thickBot="1" x14ac:dyDescent="0.5">
      <c r="S36" s="37">
        <f t="shared" si="1"/>
        <v>80.943299679716645</v>
      </c>
      <c r="U36" s="26">
        <f t="shared" si="0"/>
        <v>-9.0567003202833547</v>
      </c>
    </row>
    <row r="37" spans="19:21" ht="14.65" thickBot="1" x14ac:dyDescent="0.5">
      <c r="S37" s="37">
        <f t="shared" si="1"/>
        <v>81.752732676513816</v>
      </c>
      <c r="U37" s="26">
        <f t="shared" si="0"/>
        <v>-8.2472673234861844</v>
      </c>
    </row>
    <row r="38" spans="19:21" ht="14.65" thickBot="1" x14ac:dyDescent="0.5">
      <c r="S38" s="37">
        <f t="shared" si="1"/>
        <v>82.57026000327896</v>
      </c>
      <c r="U38" s="26">
        <f t="shared" si="0"/>
        <v>-7.4297399967210396</v>
      </c>
    </row>
    <row r="39" spans="19:21" ht="14.65" thickBot="1" x14ac:dyDescent="0.5">
      <c r="S39" s="37">
        <f t="shared" si="1"/>
        <v>83.395962603311744</v>
      </c>
      <c r="U39" s="26">
        <f t="shared" si="0"/>
        <v>-6.6040373966882555</v>
      </c>
    </row>
    <row r="40" spans="19:21" ht="14.65" thickBot="1" x14ac:dyDescent="0.5">
      <c r="S40" s="37">
        <f t="shared" si="1"/>
        <v>84.229922229344865</v>
      </c>
      <c r="U40" s="26">
        <f t="shared" si="0"/>
        <v>-5.7700777706551349</v>
      </c>
    </row>
    <row r="41" spans="19:21" ht="14.65" thickBot="1" x14ac:dyDescent="0.5">
      <c r="S41" s="37">
        <f t="shared" si="1"/>
        <v>85.072221451638313</v>
      </c>
      <c r="U41" s="26">
        <f t="shared" si="0"/>
        <v>-4.9277785483616867</v>
      </c>
    </row>
    <row r="42" spans="19:21" ht="14.65" thickBot="1" x14ac:dyDescent="0.5">
      <c r="S42" s="37">
        <f t="shared" si="1"/>
        <v>85.922943666154694</v>
      </c>
      <c r="U42" s="26">
        <f t="shared" si="0"/>
        <v>-4.0770563338453059</v>
      </c>
    </row>
    <row r="43" spans="19:21" ht="14.65" thickBot="1" x14ac:dyDescent="0.5">
      <c r="S43" s="37">
        <f t="shared" si="1"/>
        <v>86.782173102816245</v>
      </c>
      <c r="U43" s="26">
        <f t="shared" si="0"/>
        <v>-3.2178268971837554</v>
      </c>
    </row>
    <row r="44" spans="19:21" ht="14.65" thickBot="1" x14ac:dyDescent="0.5">
      <c r="S44" s="37">
        <f t="shared" si="1"/>
        <v>87.649994833844403</v>
      </c>
      <c r="U44" s="26">
        <f t="shared" si="0"/>
        <v>-2.3500051661555972</v>
      </c>
    </row>
    <row r="45" spans="19:21" ht="14.65" thickBot="1" x14ac:dyDescent="0.5">
      <c r="S45" s="37">
        <f t="shared" si="1"/>
        <v>88.526494782182851</v>
      </c>
      <c r="U45" s="26">
        <f t="shared" si="0"/>
        <v>-1.4735052178171486</v>
      </c>
    </row>
    <row r="46" spans="19:21" ht="14.65" thickBot="1" x14ac:dyDescent="0.5">
      <c r="S46" s="37">
        <f t="shared" si="1"/>
        <v>89.411759730004675</v>
      </c>
      <c r="U46" s="26">
        <f t="shared" si="0"/>
        <v>-0.58824026999532464</v>
      </c>
    </row>
    <row r="47" spans="19:21" ht="14.65" thickBot="1" x14ac:dyDescent="0.5">
      <c r="S47" s="37">
        <f t="shared" si="1"/>
        <v>90.305877327304728</v>
      </c>
      <c r="U47" s="26">
        <f t="shared" si="0"/>
        <v>0.30587732730472794</v>
      </c>
    </row>
    <row r="48" spans="19:21" ht="14.65" thickBot="1" x14ac:dyDescent="0.5">
      <c r="S48" s="37">
        <f t="shared" si="1"/>
        <v>91.208936100577773</v>
      </c>
      <c r="U48" s="26">
        <f t="shared" si="0"/>
        <v>1.2089361005777732</v>
      </c>
    </row>
    <row r="49" spans="19:21" ht="14.65" thickBot="1" x14ac:dyDescent="0.5">
      <c r="S49" s="37">
        <f t="shared" si="1"/>
        <v>92.121025461583557</v>
      </c>
      <c r="U49" s="26">
        <f t="shared" si="0"/>
        <v>2.1210254615835566</v>
      </c>
    </row>
    <row r="50" spans="19:21" ht="14.65" thickBot="1" x14ac:dyDescent="0.5">
      <c r="S50" s="37">
        <f t="shared" si="1"/>
        <v>93.0422357161994</v>
      </c>
      <c r="U50" s="26">
        <f t="shared" si="0"/>
        <v>3.0422357161994</v>
      </c>
    </row>
    <row r="51" spans="19:21" ht="14.65" thickBot="1" x14ac:dyDescent="0.5">
      <c r="S51" s="37">
        <f t="shared" si="1"/>
        <v>93.972658073361401</v>
      </c>
      <c r="U51" s="26">
        <f t="shared" si="0"/>
        <v>3.9726580733614014</v>
      </c>
    </row>
    <row r="52" spans="19:21" ht="14.65" thickBot="1" x14ac:dyDescent="0.5">
      <c r="S52" s="37">
        <f t="shared" si="1"/>
        <v>94.912384654095021</v>
      </c>
      <c r="U52" s="26">
        <f t="shared" si="0"/>
        <v>4.9123846540950211</v>
      </c>
    </row>
    <row r="53" spans="19:21" ht="14.65" thickBot="1" x14ac:dyDescent="0.5">
      <c r="S53" s="37">
        <f t="shared" si="1"/>
        <v>95.861508500635978</v>
      </c>
      <c r="U53" s="26">
        <f t="shared" si="0"/>
        <v>5.8615085006359777</v>
      </c>
    </row>
    <row r="54" spans="19:21" ht="14.65" thickBot="1" x14ac:dyDescent="0.5">
      <c r="S54" s="37">
        <f t="shared" si="1"/>
        <v>96.820123585642335</v>
      </c>
      <c r="U54" s="26">
        <f t="shared" si="0"/>
        <v>6.8201235856423352</v>
      </c>
    </row>
    <row r="55" spans="19:21" ht="14.65" thickBot="1" x14ac:dyDescent="0.5">
      <c r="S55" s="37">
        <f t="shared" si="1"/>
        <v>97.788324821498762</v>
      </c>
      <c r="U55" s="26">
        <f t="shared" si="0"/>
        <v>7.7883248214987617</v>
      </c>
    </row>
    <row r="56" spans="19:21" ht="14.65" thickBot="1" x14ac:dyDescent="0.5">
      <c r="S56" s="37">
        <f t="shared" si="1"/>
        <v>98.766208069713755</v>
      </c>
      <c r="U56" s="26">
        <f t="shared" si="0"/>
        <v>8.7662080697137554</v>
      </c>
    </row>
    <row r="57" spans="19:21" ht="14.65" thickBot="1" x14ac:dyDescent="0.5">
      <c r="S57" s="37">
        <f t="shared" si="1"/>
        <v>99.75387015041089</v>
      </c>
      <c r="U57" s="26">
        <f t="shared" si="0"/>
        <v>9.75387015041089</v>
      </c>
    </row>
    <row r="58" spans="19:21" ht="14.65" thickBot="1" x14ac:dyDescent="0.5">
      <c r="S58" s="37">
        <f t="shared" si="1"/>
        <v>100.751408851915</v>
      </c>
      <c r="U58" s="26">
        <f t="shared" si="0"/>
        <v>10.751408851915002</v>
      </c>
    </row>
    <row r="59" spans="19:21" ht="14.65" thickBot="1" x14ac:dyDescent="0.5">
      <c r="S59" s="37">
        <f t="shared" si="1"/>
        <v>101.75892294043415</v>
      </c>
      <c r="U59" s="26">
        <f t="shared" si="0"/>
        <v>11.758922940434147</v>
      </c>
    </row>
    <row r="60" spans="19:21" ht="14.65" thickBot="1" x14ac:dyDescent="0.5">
      <c r="S60" s="37">
        <f t="shared" si="1"/>
        <v>102.77651216983848</v>
      </c>
      <c r="U60" s="26">
        <f t="shared" si="0"/>
        <v>12.776512169838483</v>
      </c>
    </row>
    <row r="61" spans="19:21" ht="14.65" thickBot="1" x14ac:dyDescent="0.5">
      <c r="S61" s="37">
        <f t="shared" si="1"/>
        <v>103.80427729153686</v>
      </c>
      <c r="U61" s="26">
        <f t="shared" si="0"/>
        <v>13.804277291536863</v>
      </c>
    </row>
    <row r="62" spans="19:21" ht="14.65" thickBot="1" x14ac:dyDescent="0.5">
      <c r="S62" s="37">
        <f t="shared" si="1"/>
        <v>104.84232006445224</v>
      </c>
      <c r="U62" s="26">
        <f t="shared" si="0"/>
        <v>14.842320064452238</v>
      </c>
    </row>
    <row r="63" spans="19:21" ht="14.65" thickBot="1" x14ac:dyDescent="0.5">
      <c r="S63" s="37">
        <f t="shared" si="1"/>
        <v>105.89074326509676</v>
      </c>
      <c r="U63" s="26">
        <f t="shared" si="0"/>
        <v>15.890743265096759</v>
      </c>
    </row>
    <row r="64" spans="19:21" ht="14.65" thickBot="1" x14ac:dyDescent="0.5">
      <c r="S64" s="37">
        <f t="shared" si="1"/>
        <v>106.94965069774773</v>
      </c>
      <c r="U64" s="26">
        <f t="shared" si="0"/>
        <v>16.949650697747728</v>
      </c>
    </row>
    <row r="65" spans="19:21" ht="14.65" thickBot="1" x14ac:dyDescent="0.5">
      <c r="S65" s="37">
        <f t="shared" si="1"/>
        <v>108.0191472047252</v>
      </c>
      <c r="U65" s="26">
        <f t="shared" si="0"/>
        <v>18.019147204725201</v>
      </c>
    </row>
    <row r="66" spans="19:21" ht="14.65" thickBot="1" x14ac:dyDescent="0.5">
      <c r="S66" s="37">
        <f t="shared" si="1"/>
        <v>109.09933867677245</v>
      </c>
      <c r="U66" s="26">
        <f t="shared" si="0"/>
        <v>19.099338676772447</v>
      </c>
    </row>
    <row r="67" spans="19:21" ht="14.65" thickBot="1" x14ac:dyDescent="0.5">
      <c r="S67" s="37">
        <f t="shared" si="1"/>
        <v>110.19033206354017</v>
      </c>
      <c r="U67" s="26">
        <f t="shared" si="0"/>
        <v>20</v>
      </c>
    </row>
    <row r="68" spans="19:21" ht="14.65" thickBot="1" x14ac:dyDescent="0.5">
      <c r="S68" s="37">
        <f t="shared" si="1"/>
        <v>111.29223538417557</v>
      </c>
      <c r="U68" s="26">
        <f t="shared" si="0"/>
        <v>20</v>
      </c>
    </row>
    <row r="69" spans="19:21" ht="14.65" thickBot="1" x14ac:dyDescent="0.5">
      <c r="S69" s="37">
        <f t="shared" si="1"/>
        <v>112.40515773801732</v>
      </c>
      <c r="U69" s="26">
        <f t="shared" si="0"/>
        <v>20</v>
      </c>
    </row>
    <row r="70" spans="19:21" ht="14.65" thickBot="1" x14ac:dyDescent="0.5">
      <c r="S70" s="37">
        <f t="shared" si="1"/>
        <v>113.52920931539749</v>
      </c>
      <c r="U70" s="26">
        <f t="shared" si="0"/>
        <v>20</v>
      </c>
    </row>
    <row r="71" spans="19:21" ht="14.65" thickBot="1" x14ac:dyDescent="0.5">
      <c r="S71" s="37">
        <f t="shared" si="1"/>
        <v>114.66450140855147</v>
      </c>
      <c r="U71" s="26">
        <f t="shared" si="0"/>
        <v>20</v>
      </c>
    </row>
    <row r="72" spans="19:21" ht="14.65" thickBot="1" x14ac:dyDescent="0.5">
      <c r="S72" s="37">
        <f t="shared" si="1"/>
        <v>115.81114642263699</v>
      </c>
      <c r="U72" s="26">
        <f t="shared" si="0"/>
        <v>20</v>
      </c>
    </row>
    <row r="73" spans="19:21" ht="14.65" thickBot="1" x14ac:dyDescent="0.5">
      <c r="S73" s="37">
        <f t="shared" si="1"/>
        <v>116.96925788686336</v>
      </c>
      <c r="U73" s="26">
        <f t="shared" si="0"/>
        <v>20</v>
      </c>
    </row>
    <row r="74" spans="19:21" ht="14.65" thickBot="1" x14ac:dyDescent="0.5">
      <c r="S74" s="37">
        <f t="shared" si="1"/>
        <v>118.13895046573199</v>
      </c>
      <c r="U74" s="26">
        <f t="shared" si="0"/>
        <v>20</v>
      </c>
    </row>
    <row r="75" spans="19:21" ht="14.65" thickBot="1" x14ac:dyDescent="0.5">
      <c r="S75" s="37">
        <f t="shared" si="1"/>
        <v>119.32033997038931</v>
      </c>
      <c r="U75" s="26">
        <f t="shared" si="0"/>
        <v>20</v>
      </c>
    </row>
    <row r="76" spans="19:21" ht="14.65" thickBot="1" x14ac:dyDescent="0.5">
      <c r="S76" s="37">
        <f t="shared" si="1"/>
        <v>120.5135433700932</v>
      </c>
      <c r="U76" s="26">
        <f t="shared" si="0"/>
        <v>20</v>
      </c>
    </row>
    <row r="77" spans="19:21" ht="14.65" thickBot="1" x14ac:dyDescent="0.5">
      <c r="S77" s="37">
        <f t="shared" si="1"/>
        <v>121.71867880379413</v>
      </c>
      <c r="U77" s="26">
        <f t="shared" si="0"/>
        <v>20</v>
      </c>
    </row>
    <row r="78" spans="19:21" ht="14.65" thickBot="1" x14ac:dyDescent="0.5">
      <c r="S78" s="37">
        <f t="shared" si="1"/>
        <v>122.93586559183208</v>
      </c>
      <c r="U78" s="26">
        <f t="shared" si="0"/>
        <v>20</v>
      </c>
    </row>
    <row r="79" spans="19:21" ht="14.65" thickBot="1" x14ac:dyDescent="0.5">
      <c r="S79" s="37">
        <f t="shared" si="1"/>
        <v>124.1652242477504</v>
      </c>
      <c r="U79" s="26">
        <f t="shared" si="0"/>
        <v>20</v>
      </c>
    </row>
    <row r="80" spans="19:21" ht="14.65" thickBot="1" x14ac:dyDescent="0.5">
      <c r="S80" s="37">
        <f t="shared" si="1"/>
        <v>125.4068764902279</v>
      </c>
      <c r="U80" s="26">
        <f t="shared" si="0"/>
        <v>20</v>
      </c>
    </row>
    <row r="81" spans="19:21" ht="14.65" thickBot="1" x14ac:dyDescent="0.5">
      <c r="S81" s="37">
        <f t="shared" si="1"/>
        <v>126.66094525513019</v>
      </c>
      <c r="U81" s="26">
        <f t="shared" si="0"/>
        <v>20</v>
      </c>
    </row>
    <row r="82" spans="19:21" ht="14.65" thickBot="1" x14ac:dyDescent="0.5">
      <c r="S82" s="37">
        <f t="shared" si="1"/>
        <v>127.92755470768149</v>
      </c>
      <c r="U82" s="26">
        <f t="shared" ref="U82:U145" si="2">IF(S82&lt;$D$8,S82-$D$7+$D$9,$D$8-$D$7+$D$9)</f>
        <v>20</v>
      </c>
    </row>
    <row r="83" spans="19:21" ht="14.65" thickBot="1" x14ac:dyDescent="0.5">
      <c r="S83" s="37">
        <f t="shared" ref="S83:S146" si="3">S82*(1.01)</f>
        <v>129.2068302547583</v>
      </c>
      <c r="U83" s="26">
        <f t="shared" si="2"/>
        <v>20</v>
      </c>
    </row>
    <row r="84" spans="19:21" ht="14.65" thickBot="1" x14ac:dyDescent="0.5">
      <c r="S84" s="37">
        <f t="shared" si="3"/>
        <v>130.49889855730589</v>
      </c>
      <c r="U84" s="26">
        <f t="shared" si="2"/>
        <v>20</v>
      </c>
    </row>
    <row r="85" spans="19:21" ht="14.65" thickBot="1" x14ac:dyDescent="0.5">
      <c r="S85" s="37">
        <f t="shared" si="3"/>
        <v>131.80388754287895</v>
      </c>
      <c r="U85" s="26">
        <f t="shared" si="2"/>
        <v>20</v>
      </c>
    </row>
    <row r="86" spans="19:21" ht="14.65" thickBot="1" x14ac:dyDescent="0.5">
      <c r="S86" s="37">
        <f t="shared" si="3"/>
        <v>133.12192641830774</v>
      </c>
      <c r="U86" s="26">
        <f t="shared" si="2"/>
        <v>20</v>
      </c>
    </row>
    <row r="87" spans="19:21" ht="14.65" thickBot="1" x14ac:dyDescent="0.5">
      <c r="S87" s="37">
        <f t="shared" si="3"/>
        <v>134.45314568249083</v>
      </c>
      <c r="U87" s="26">
        <f t="shared" si="2"/>
        <v>20</v>
      </c>
    </row>
    <row r="88" spans="19:21" ht="14.65" thickBot="1" x14ac:dyDescent="0.5">
      <c r="S88" s="37">
        <f t="shared" si="3"/>
        <v>135.79767713931574</v>
      </c>
      <c r="U88" s="26">
        <f t="shared" si="2"/>
        <v>20</v>
      </c>
    </row>
    <row r="89" spans="19:21" ht="14.65" thickBot="1" x14ac:dyDescent="0.5">
      <c r="S89" s="37">
        <f t="shared" si="3"/>
        <v>137.15565391070891</v>
      </c>
      <c r="U89" s="26">
        <f t="shared" si="2"/>
        <v>20</v>
      </c>
    </row>
    <row r="90" spans="19:21" ht="14.65" thickBot="1" x14ac:dyDescent="0.5">
      <c r="S90" s="37">
        <f t="shared" si="3"/>
        <v>138.52721044981601</v>
      </c>
      <c r="U90" s="26">
        <f t="shared" si="2"/>
        <v>20</v>
      </c>
    </row>
    <row r="91" spans="19:21" ht="14.65" thickBot="1" x14ac:dyDescent="0.5">
      <c r="S91" s="37">
        <f t="shared" si="3"/>
        <v>139.91248255431418</v>
      </c>
      <c r="U91" s="26">
        <f t="shared" si="2"/>
        <v>20</v>
      </c>
    </row>
    <row r="92" spans="19:21" ht="14.65" thickBot="1" x14ac:dyDescent="0.5">
      <c r="S92" s="37">
        <f t="shared" si="3"/>
        <v>141.31160737985732</v>
      </c>
      <c r="U92" s="26">
        <f t="shared" si="2"/>
        <v>20</v>
      </c>
    </row>
    <row r="93" spans="19:21" ht="14.65" thickBot="1" x14ac:dyDescent="0.5">
      <c r="S93" s="37">
        <f t="shared" si="3"/>
        <v>142.72472345365588</v>
      </c>
      <c r="U93" s="26">
        <f t="shared" si="2"/>
        <v>20</v>
      </c>
    </row>
    <row r="94" spans="19:21" ht="14.65" thickBot="1" x14ac:dyDescent="0.5">
      <c r="S94" s="37">
        <f t="shared" si="3"/>
        <v>144.15197068819245</v>
      </c>
      <c r="U94" s="26">
        <f t="shared" si="2"/>
        <v>20</v>
      </c>
    </row>
    <row r="95" spans="19:21" ht="14.65" thickBot="1" x14ac:dyDescent="0.5">
      <c r="S95" s="37">
        <f t="shared" si="3"/>
        <v>145.59349039507438</v>
      </c>
      <c r="U95" s="26">
        <f t="shared" si="2"/>
        <v>20</v>
      </c>
    </row>
    <row r="96" spans="19:21" ht="14.65" thickBot="1" x14ac:dyDescent="0.5">
      <c r="S96" s="37">
        <f t="shared" si="3"/>
        <v>147.04942529902513</v>
      </c>
      <c r="U96" s="26">
        <f t="shared" si="2"/>
        <v>20</v>
      </c>
    </row>
    <row r="97" spans="19:21" ht="14.65" thickBot="1" x14ac:dyDescent="0.5">
      <c r="S97" s="37">
        <f t="shared" si="3"/>
        <v>148.51991955201538</v>
      </c>
      <c r="U97" s="26">
        <f t="shared" si="2"/>
        <v>20</v>
      </c>
    </row>
    <row r="98" spans="19:21" ht="14.65" thickBot="1" x14ac:dyDescent="0.5">
      <c r="S98" s="37">
        <f t="shared" si="3"/>
        <v>150.00511874753553</v>
      </c>
      <c r="U98" s="26">
        <f t="shared" si="2"/>
        <v>20</v>
      </c>
    </row>
    <row r="99" spans="19:21" ht="14.65" thickBot="1" x14ac:dyDescent="0.5">
      <c r="S99" s="37">
        <f t="shared" si="3"/>
        <v>151.50516993501088</v>
      </c>
      <c r="U99" s="26">
        <f t="shared" si="2"/>
        <v>20</v>
      </c>
    </row>
    <row r="100" spans="19:21" ht="14.65" thickBot="1" x14ac:dyDescent="0.5">
      <c r="S100" s="37">
        <f t="shared" si="3"/>
        <v>153.02022163436101</v>
      </c>
      <c r="U100" s="26">
        <f t="shared" si="2"/>
        <v>20</v>
      </c>
    </row>
    <row r="101" spans="19:21" ht="14.65" thickBot="1" x14ac:dyDescent="0.5">
      <c r="S101" s="37">
        <f t="shared" si="3"/>
        <v>154.55042385070462</v>
      </c>
      <c r="U101" s="26">
        <f t="shared" si="2"/>
        <v>20</v>
      </c>
    </row>
    <row r="102" spans="19:21" ht="14.65" thickBot="1" x14ac:dyDescent="0.5">
      <c r="S102" s="37">
        <f t="shared" si="3"/>
        <v>156.09592808921167</v>
      </c>
      <c r="U102" s="26">
        <f t="shared" si="2"/>
        <v>20</v>
      </c>
    </row>
    <row r="103" spans="19:21" ht="14.65" thickBot="1" x14ac:dyDescent="0.5">
      <c r="S103" s="37">
        <f t="shared" si="3"/>
        <v>157.65688737010379</v>
      </c>
      <c r="U103" s="26">
        <f t="shared" si="2"/>
        <v>20</v>
      </c>
    </row>
    <row r="104" spans="19:21" ht="14.65" thickBot="1" x14ac:dyDescent="0.5">
      <c r="S104" s="37">
        <f t="shared" si="3"/>
        <v>159.23345624380482</v>
      </c>
      <c r="U104" s="26">
        <f t="shared" si="2"/>
        <v>20</v>
      </c>
    </row>
    <row r="105" spans="19:21" ht="14.65" thickBot="1" x14ac:dyDescent="0.5">
      <c r="S105" s="37">
        <f t="shared" si="3"/>
        <v>160.82579080624288</v>
      </c>
      <c r="U105" s="26">
        <f t="shared" si="2"/>
        <v>20</v>
      </c>
    </row>
    <row r="106" spans="19:21" ht="14.65" thickBot="1" x14ac:dyDescent="0.5">
      <c r="S106" s="37">
        <f t="shared" si="3"/>
        <v>162.43404871430531</v>
      </c>
      <c r="U106" s="26">
        <f t="shared" si="2"/>
        <v>20</v>
      </c>
    </row>
    <row r="107" spans="19:21" ht="14.65" thickBot="1" x14ac:dyDescent="0.5">
      <c r="S107" s="37">
        <f t="shared" si="3"/>
        <v>164.05838920144836</v>
      </c>
      <c r="U107" s="26">
        <f t="shared" si="2"/>
        <v>20</v>
      </c>
    </row>
    <row r="108" spans="19:21" ht="14.65" thickBot="1" x14ac:dyDescent="0.5">
      <c r="S108" s="37">
        <f t="shared" si="3"/>
        <v>165.69897309346285</v>
      </c>
      <c r="U108" s="26">
        <f t="shared" si="2"/>
        <v>20</v>
      </c>
    </row>
    <row r="109" spans="19:21" ht="14.65" thickBot="1" x14ac:dyDescent="0.5">
      <c r="S109" s="37">
        <f t="shared" si="3"/>
        <v>167.35596282439749</v>
      </c>
      <c r="U109" s="26">
        <f t="shared" si="2"/>
        <v>20</v>
      </c>
    </row>
    <row r="110" spans="19:21" ht="14.65" thickBot="1" x14ac:dyDescent="0.5">
      <c r="S110" s="37">
        <f t="shared" si="3"/>
        <v>169.02952245264146</v>
      </c>
      <c r="U110" s="26">
        <f t="shared" si="2"/>
        <v>20</v>
      </c>
    </row>
    <row r="111" spans="19:21" ht="14.65" thickBot="1" x14ac:dyDescent="0.5">
      <c r="S111" s="37">
        <f t="shared" si="3"/>
        <v>170.71981767716787</v>
      </c>
      <c r="U111" s="26">
        <f t="shared" si="2"/>
        <v>20</v>
      </c>
    </row>
    <row r="112" spans="19:21" ht="14.65" thickBot="1" x14ac:dyDescent="0.5">
      <c r="S112" s="37">
        <f t="shared" si="3"/>
        <v>172.42701585393954</v>
      </c>
      <c r="U112" s="26">
        <f t="shared" si="2"/>
        <v>20</v>
      </c>
    </row>
    <row r="113" spans="19:21" ht="14.65" thickBot="1" x14ac:dyDescent="0.5">
      <c r="S113" s="37">
        <f t="shared" si="3"/>
        <v>174.15128601247892</v>
      </c>
      <c r="U113" s="26">
        <f t="shared" si="2"/>
        <v>20</v>
      </c>
    </row>
    <row r="114" spans="19:21" ht="14.65" thickBot="1" x14ac:dyDescent="0.5">
      <c r="S114" s="37">
        <f t="shared" si="3"/>
        <v>175.89279887260372</v>
      </c>
      <c r="U114" s="26">
        <f t="shared" si="2"/>
        <v>20</v>
      </c>
    </row>
    <row r="115" spans="19:21" ht="14.65" thickBot="1" x14ac:dyDescent="0.5">
      <c r="S115" s="37">
        <f t="shared" si="3"/>
        <v>177.65172686132976</v>
      </c>
      <c r="U115" s="26">
        <f t="shared" si="2"/>
        <v>20</v>
      </c>
    </row>
    <row r="116" spans="19:21" ht="14.65" thickBot="1" x14ac:dyDescent="0.5">
      <c r="S116" s="37">
        <f t="shared" si="3"/>
        <v>179.42824412994307</v>
      </c>
      <c r="U116" s="26">
        <f t="shared" si="2"/>
        <v>20</v>
      </c>
    </row>
    <row r="117" spans="19:21" ht="14.65" thickBot="1" x14ac:dyDescent="0.5">
      <c r="S117" s="37">
        <f t="shared" si="3"/>
        <v>181.2225265712425</v>
      </c>
      <c r="U117" s="26">
        <f t="shared" si="2"/>
        <v>20</v>
      </c>
    </row>
    <row r="118" spans="19:21" ht="14.65" thickBot="1" x14ac:dyDescent="0.5">
      <c r="S118" s="37">
        <f t="shared" si="3"/>
        <v>183.03475183695491</v>
      </c>
      <c r="U118" s="26">
        <f t="shared" si="2"/>
        <v>20</v>
      </c>
    </row>
    <row r="119" spans="19:21" ht="14.65" thickBot="1" x14ac:dyDescent="0.5">
      <c r="S119" s="37">
        <f t="shared" si="3"/>
        <v>184.86509935532447</v>
      </c>
      <c r="U119" s="26">
        <f t="shared" si="2"/>
        <v>20</v>
      </c>
    </row>
    <row r="120" spans="19:21" ht="14.65" thickBot="1" x14ac:dyDescent="0.5">
      <c r="S120" s="37">
        <f t="shared" si="3"/>
        <v>186.71375034887771</v>
      </c>
      <c r="U120" s="26">
        <f t="shared" si="2"/>
        <v>20</v>
      </c>
    </row>
    <row r="121" spans="19:21" ht="14.65" thickBot="1" x14ac:dyDescent="0.5">
      <c r="S121" s="37">
        <f t="shared" si="3"/>
        <v>188.58088785236649</v>
      </c>
      <c r="U121" s="26">
        <f t="shared" si="2"/>
        <v>20</v>
      </c>
    </row>
    <row r="122" spans="19:21" ht="14.65" thickBot="1" x14ac:dyDescent="0.5">
      <c r="S122" s="37">
        <f t="shared" si="3"/>
        <v>190.46669673089016</v>
      </c>
      <c r="U122" s="26">
        <f t="shared" si="2"/>
        <v>20</v>
      </c>
    </row>
    <row r="123" spans="19:21" ht="14.65" thickBot="1" x14ac:dyDescent="0.5">
      <c r="S123" s="37">
        <f t="shared" si="3"/>
        <v>192.37136369819908</v>
      </c>
      <c r="U123" s="26">
        <f t="shared" si="2"/>
        <v>20</v>
      </c>
    </row>
    <row r="124" spans="19:21" ht="14.65" thickBot="1" x14ac:dyDescent="0.5">
      <c r="S124" s="37">
        <f t="shared" si="3"/>
        <v>194.29507733518108</v>
      </c>
      <c r="U124" s="26">
        <f t="shared" si="2"/>
        <v>20</v>
      </c>
    </row>
    <row r="125" spans="19:21" ht="14.65" thickBot="1" x14ac:dyDescent="0.5">
      <c r="S125" s="37">
        <f t="shared" si="3"/>
        <v>196.23802810853289</v>
      </c>
      <c r="U125" s="26">
        <f t="shared" si="2"/>
        <v>20</v>
      </c>
    </row>
    <row r="126" spans="19:21" ht="14.65" thickBot="1" x14ac:dyDescent="0.5">
      <c r="S126" s="37">
        <f t="shared" si="3"/>
        <v>198.20040838961822</v>
      </c>
      <c r="U126" s="26">
        <f t="shared" si="2"/>
        <v>20</v>
      </c>
    </row>
    <row r="127" spans="19:21" ht="14.65" thickBot="1" x14ac:dyDescent="0.5">
      <c r="S127" s="37">
        <f t="shared" si="3"/>
        <v>200.1824124735144</v>
      </c>
      <c r="U127" s="26">
        <f t="shared" si="2"/>
        <v>20</v>
      </c>
    </row>
    <row r="128" spans="19:21" ht="14.65" thickBot="1" x14ac:dyDescent="0.5">
      <c r="S128" s="37">
        <f t="shared" si="3"/>
        <v>202.18423659824956</v>
      </c>
      <c r="U128" s="26">
        <f t="shared" si="2"/>
        <v>20</v>
      </c>
    </row>
    <row r="129" spans="19:21" ht="14.65" thickBot="1" x14ac:dyDescent="0.5">
      <c r="S129" s="37">
        <f t="shared" si="3"/>
        <v>204.20607896423206</v>
      </c>
      <c r="U129" s="26">
        <f t="shared" si="2"/>
        <v>20</v>
      </c>
    </row>
    <row r="130" spans="19:21" ht="14.65" thickBot="1" x14ac:dyDescent="0.5">
      <c r="S130" s="37">
        <f t="shared" si="3"/>
        <v>206.2481397538744</v>
      </c>
      <c r="U130" s="26">
        <f t="shared" si="2"/>
        <v>20</v>
      </c>
    </row>
    <row r="131" spans="19:21" ht="14.65" thickBot="1" x14ac:dyDescent="0.5">
      <c r="S131" s="37">
        <f t="shared" si="3"/>
        <v>208.31062115141313</v>
      </c>
      <c r="U131" s="26">
        <f t="shared" si="2"/>
        <v>20</v>
      </c>
    </row>
    <row r="132" spans="19:21" ht="14.65" thickBot="1" x14ac:dyDescent="0.5">
      <c r="S132" s="37">
        <f t="shared" si="3"/>
        <v>210.39372736292725</v>
      </c>
      <c r="U132" s="26">
        <f t="shared" si="2"/>
        <v>20</v>
      </c>
    </row>
    <row r="133" spans="19:21" ht="14.65" thickBot="1" x14ac:dyDescent="0.5">
      <c r="S133" s="37">
        <f t="shared" si="3"/>
        <v>212.49766463655652</v>
      </c>
      <c r="U133" s="26">
        <f t="shared" si="2"/>
        <v>20</v>
      </c>
    </row>
    <row r="134" spans="19:21" ht="14.65" thickBot="1" x14ac:dyDescent="0.5">
      <c r="S134" s="37">
        <f t="shared" si="3"/>
        <v>214.62264128292207</v>
      </c>
      <c r="U134" s="26">
        <f t="shared" si="2"/>
        <v>20</v>
      </c>
    </row>
    <row r="135" spans="19:21" ht="14.65" thickBot="1" x14ac:dyDescent="0.5">
      <c r="S135" s="37">
        <f t="shared" si="3"/>
        <v>216.76886769575131</v>
      </c>
      <c r="U135" s="26">
        <f t="shared" si="2"/>
        <v>20</v>
      </c>
    </row>
    <row r="136" spans="19:21" ht="14.65" thickBot="1" x14ac:dyDescent="0.5">
      <c r="S136" s="37">
        <f t="shared" si="3"/>
        <v>218.93655637270882</v>
      </c>
      <c r="U136" s="26">
        <f t="shared" si="2"/>
        <v>20</v>
      </c>
    </row>
    <row r="137" spans="19:21" ht="14.65" thickBot="1" x14ac:dyDescent="0.5">
      <c r="S137" s="37">
        <f t="shared" si="3"/>
        <v>221.1259219364359</v>
      </c>
      <c r="U137" s="26">
        <f t="shared" si="2"/>
        <v>20</v>
      </c>
    </row>
    <row r="138" spans="19:21" ht="14.65" thickBot="1" x14ac:dyDescent="0.5">
      <c r="S138" s="37">
        <f t="shared" si="3"/>
        <v>223.33718115580027</v>
      </c>
      <c r="U138" s="26">
        <f t="shared" si="2"/>
        <v>20</v>
      </c>
    </row>
    <row r="139" spans="19:21" ht="14.65" thickBot="1" x14ac:dyDescent="0.5">
      <c r="S139" s="37">
        <f t="shared" si="3"/>
        <v>225.57055296735828</v>
      </c>
      <c r="U139" s="26">
        <f t="shared" si="2"/>
        <v>20</v>
      </c>
    </row>
    <row r="140" spans="19:21" ht="14.65" thickBot="1" x14ac:dyDescent="0.5">
      <c r="S140" s="37">
        <f t="shared" si="3"/>
        <v>227.82625849703186</v>
      </c>
      <c r="U140" s="26">
        <f t="shared" si="2"/>
        <v>20</v>
      </c>
    </row>
    <row r="141" spans="19:21" ht="14.65" thickBot="1" x14ac:dyDescent="0.5">
      <c r="S141" s="37">
        <f t="shared" si="3"/>
        <v>230.10452108200218</v>
      </c>
      <c r="U141" s="26">
        <f t="shared" si="2"/>
        <v>20</v>
      </c>
    </row>
    <row r="142" spans="19:21" ht="14.65" thickBot="1" x14ac:dyDescent="0.5">
      <c r="S142" s="37">
        <f t="shared" si="3"/>
        <v>232.40556629282221</v>
      </c>
      <c r="U142" s="26">
        <f t="shared" si="2"/>
        <v>20</v>
      </c>
    </row>
    <row r="143" spans="19:21" ht="14.65" thickBot="1" x14ac:dyDescent="0.5">
      <c r="S143" s="37">
        <f t="shared" si="3"/>
        <v>234.72962195575045</v>
      </c>
      <c r="U143" s="26">
        <f t="shared" si="2"/>
        <v>20</v>
      </c>
    </row>
    <row r="144" spans="19:21" ht="14.65" thickBot="1" x14ac:dyDescent="0.5">
      <c r="S144" s="37">
        <f t="shared" si="3"/>
        <v>237.07691817530795</v>
      </c>
      <c r="U144" s="26">
        <f t="shared" si="2"/>
        <v>20</v>
      </c>
    </row>
    <row r="145" spans="19:21" ht="14.65" thickBot="1" x14ac:dyDescent="0.5">
      <c r="S145" s="37">
        <f t="shared" si="3"/>
        <v>239.44768735706103</v>
      </c>
      <c r="U145" s="26">
        <f t="shared" si="2"/>
        <v>20</v>
      </c>
    </row>
    <row r="146" spans="19:21" ht="14.65" thickBot="1" x14ac:dyDescent="0.5">
      <c r="S146" s="37">
        <f t="shared" si="3"/>
        <v>241.84216423063165</v>
      </c>
      <c r="U146" s="26">
        <f t="shared" ref="U146:U209" si="4">IF(S146&lt;$D$8,S146-$D$7+$D$9,$D$8-$D$7+$D$9)</f>
        <v>20</v>
      </c>
    </row>
    <row r="147" spans="19:21" ht="14.65" thickBot="1" x14ac:dyDescent="0.5">
      <c r="S147" s="37">
        <f t="shared" ref="S147:S210" si="5">S146*(1.01)</f>
        <v>244.26058587293798</v>
      </c>
      <c r="U147" s="26">
        <f t="shared" si="4"/>
        <v>20</v>
      </c>
    </row>
    <row r="148" spans="19:21" ht="14.65" thickBot="1" x14ac:dyDescent="0.5">
      <c r="S148" s="37">
        <f t="shared" si="5"/>
        <v>246.70319173166737</v>
      </c>
      <c r="U148" s="26">
        <f t="shared" si="4"/>
        <v>20</v>
      </c>
    </row>
    <row r="149" spans="19:21" ht="14.65" thickBot="1" x14ac:dyDescent="0.5">
      <c r="S149" s="37">
        <f t="shared" si="5"/>
        <v>249.17022364898406</v>
      </c>
      <c r="U149" s="26">
        <f t="shared" si="4"/>
        <v>20</v>
      </c>
    </row>
    <row r="150" spans="19:21" ht="14.65" thickBot="1" x14ac:dyDescent="0.5">
      <c r="S150" s="37">
        <f t="shared" si="5"/>
        <v>251.66192588547389</v>
      </c>
      <c r="U150" s="26">
        <f t="shared" si="4"/>
        <v>20</v>
      </c>
    </row>
    <row r="151" spans="19:21" ht="14.65" thickBot="1" x14ac:dyDescent="0.5">
      <c r="S151" s="37">
        <f t="shared" si="5"/>
        <v>254.17854514432864</v>
      </c>
      <c r="U151" s="26">
        <f t="shared" si="4"/>
        <v>20</v>
      </c>
    </row>
    <row r="152" spans="19:21" ht="14.65" thickBot="1" x14ac:dyDescent="0.5">
      <c r="S152" s="37">
        <f t="shared" si="5"/>
        <v>256.72033059577194</v>
      </c>
      <c r="U152" s="26">
        <f t="shared" si="4"/>
        <v>20</v>
      </c>
    </row>
    <row r="153" spans="19:21" ht="14.65" thickBot="1" x14ac:dyDescent="0.5">
      <c r="S153" s="37">
        <f t="shared" si="5"/>
        <v>259.28753390172966</v>
      </c>
      <c r="U153" s="26">
        <f t="shared" si="4"/>
        <v>20</v>
      </c>
    </row>
    <row r="154" spans="19:21" ht="14.65" thickBot="1" x14ac:dyDescent="0.5">
      <c r="S154" s="37">
        <f t="shared" si="5"/>
        <v>261.88040924074699</v>
      </c>
      <c r="U154" s="26">
        <f t="shared" si="4"/>
        <v>20</v>
      </c>
    </row>
    <row r="155" spans="19:21" ht="14.65" thickBot="1" x14ac:dyDescent="0.5">
      <c r="S155" s="37">
        <f t="shared" si="5"/>
        <v>264.49921333315444</v>
      </c>
      <c r="U155" s="26">
        <f t="shared" si="4"/>
        <v>20</v>
      </c>
    </row>
    <row r="156" spans="19:21" ht="14.65" thickBot="1" x14ac:dyDescent="0.5">
      <c r="S156" s="37">
        <f t="shared" si="5"/>
        <v>267.14420546648597</v>
      </c>
      <c r="U156" s="26">
        <f t="shared" si="4"/>
        <v>20</v>
      </c>
    </row>
    <row r="157" spans="19:21" ht="14.65" thickBot="1" x14ac:dyDescent="0.5">
      <c r="S157" s="37">
        <f t="shared" si="5"/>
        <v>269.81564752115082</v>
      </c>
      <c r="U157" s="26">
        <f t="shared" si="4"/>
        <v>20</v>
      </c>
    </row>
    <row r="158" spans="19:21" ht="14.65" thickBot="1" x14ac:dyDescent="0.5">
      <c r="S158" s="37">
        <f t="shared" si="5"/>
        <v>272.51380399636236</v>
      </c>
      <c r="U158" s="26">
        <f t="shared" si="4"/>
        <v>20</v>
      </c>
    </row>
    <row r="159" spans="19:21" ht="14.65" thickBot="1" x14ac:dyDescent="0.5">
      <c r="S159" s="37">
        <f t="shared" si="5"/>
        <v>275.23894203632597</v>
      </c>
      <c r="U159" s="26">
        <f t="shared" si="4"/>
        <v>20</v>
      </c>
    </row>
    <row r="160" spans="19:21" ht="14.65" thickBot="1" x14ac:dyDescent="0.5">
      <c r="S160" s="37">
        <f t="shared" si="5"/>
        <v>277.99133145668924</v>
      </c>
      <c r="U160" s="26">
        <f t="shared" si="4"/>
        <v>20</v>
      </c>
    </row>
    <row r="161" spans="19:21" ht="14.65" thickBot="1" x14ac:dyDescent="0.5">
      <c r="S161" s="37">
        <f t="shared" si="5"/>
        <v>280.77124477125614</v>
      </c>
      <c r="U161" s="26">
        <f t="shared" si="4"/>
        <v>20</v>
      </c>
    </row>
    <row r="162" spans="19:21" ht="14.65" thickBot="1" x14ac:dyDescent="0.5">
      <c r="S162" s="37">
        <f t="shared" si="5"/>
        <v>283.5789572189687</v>
      </c>
      <c r="U162" s="26">
        <f t="shared" si="4"/>
        <v>20</v>
      </c>
    </row>
    <row r="163" spans="19:21" ht="14.65" thickBot="1" x14ac:dyDescent="0.5">
      <c r="S163" s="37">
        <f t="shared" si="5"/>
        <v>286.41474679115839</v>
      </c>
      <c r="U163" s="26">
        <f t="shared" si="4"/>
        <v>20</v>
      </c>
    </row>
    <row r="164" spans="19:21" ht="14.65" thickBot="1" x14ac:dyDescent="0.5">
      <c r="S164" s="37">
        <f t="shared" si="5"/>
        <v>289.27889425907</v>
      </c>
      <c r="U164" s="26">
        <f t="shared" si="4"/>
        <v>20</v>
      </c>
    </row>
    <row r="165" spans="19:21" ht="14.65" thickBot="1" x14ac:dyDescent="0.5">
      <c r="S165" s="37">
        <f t="shared" si="5"/>
        <v>292.1716832016607</v>
      </c>
      <c r="U165" s="26">
        <f t="shared" si="4"/>
        <v>20</v>
      </c>
    </row>
    <row r="166" spans="19:21" ht="14.65" thickBot="1" x14ac:dyDescent="0.5">
      <c r="S166" s="37">
        <f t="shared" si="5"/>
        <v>295.09340003367731</v>
      </c>
      <c r="U166" s="26">
        <f t="shared" si="4"/>
        <v>20</v>
      </c>
    </row>
    <row r="167" spans="19:21" ht="14.65" thickBot="1" x14ac:dyDescent="0.5">
      <c r="S167" s="37">
        <f t="shared" si="5"/>
        <v>298.04433403401407</v>
      </c>
      <c r="U167" s="26">
        <f t="shared" si="4"/>
        <v>20</v>
      </c>
    </row>
    <row r="168" spans="19:21" ht="14.65" thickBot="1" x14ac:dyDescent="0.5">
      <c r="S168" s="37">
        <f t="shared" si="5"/>
        <v>301.02477737435419</v>
      </c>
      <c r="U168" s="26">
        <f t="shared" si="4"/>
        <v>20</v>
      </c>
    </row>
    <row r="169" spans="19:21" ht="14.65" thickBot="1" x14ac:dyDescent="0.5">
      <c r="S169" s="37">
        <f t="shared" si="5"/>
        <v>304.03502514809776</v>
      </c>
      <c r="U169" s="26">
        <f t="shared" si="4"/>
        <v>20</v>
      </c>
    </row>
    <row r="170" spans="19:21" ht="14.65" thickBot="1" x14ac:dyDescent="0.5">
      <c r="S170" s="37">
        <f t="shared" si="5"/>
        <v>307.07537539957872</v>
      </c>
      <c r="U170" s="26">
        <f t="shared" si="4"/>
        <v>20</v>
      </c>
    </row>
    <row r="171" spans="19:21" ht="14.65" thickBot="1" x14ac:dyDescent="0.5">
      <c r="S171" s="37">
        <f t="shared" si="5"/>
        <v>310.14612915357452</v>
      </c>
      <c r="U171" s="26">
        <f t="shared" si="4"/>
        <v>20</v>
      </c>
    </row>
    <row r="172" spans="19:21" ht="14.65" thickBot="1" x14ac:dyDescent="0.5">
      <c r="S172" s="37">
        <f t="shared" si="5"/>
        <v>313.24759044511029</v>
      </c>
      <c r="U172" s="26">
        <f t="shared" si="4"/>
        <v>20</v>
      </c>
    </row>
    <row r="173" spans="19:21" ht="14.65" thickBot="1" x14ac:dyDescent="0.5">
      <c r="S173" s="37">
        <f t="shared" si="5"/>
        <v>316.38006634956139</v>
      </c>
      <c r="U173" s="26">
        <f t="shared" si="4"/>
        <v>20</v>
      </c>
    </row>
    <row r="174" spans="19:21" ht="14.65" thickBot="1" x14ac:dyDescent="0.5">
      <c r="S174" s="37">
        <f t="shared" si="5"/>
        <v>319.54386701305702</v>
      </c>
      <c r="U174" s="26">
        <f t="shared" si="4"/>
        <v>20</v>
      </c>
    </row>
    <row r="175" spans="19:21" ht="14.65" thickBot="1" x14ac:dyDescent="0.5">
      <c r="S175" s="37">
        <f t="shared" si="5"/>
        <v>322.73930568318758</v>
      </c>
      <c r="U175" s="26">
        <f t="shared" si="4"/>
        <v>20</v>
      </c>
    </row>
    <row r="176" spans="19:21" ht="14.65" thickBot="1" x14ac:dyDescent="0.5">
      <c r="S176" s="37">
        <f t="shared" si="5"/>
        <v>325.96669874001947</v>
      </c>
      <c r="U176" s="26">
        <f t="shared" si="4"/>
        <v>20</v>
      </c>
    </row>
    <row r="177" spans="19:21" ht="14.65" thickBot="1" x14ac:dyDescent="0.5">
      <c r="S177" s="37">
        <f t="shared" si="5"/>
        <v>329.22636572741965</v>
      </c>
      <c r="U177" s="26">
        <f t="shared" si="4"/>
        <v>20</v>
      </c>
    </row>
    <row r="178" spans="19:21" ht="14.65" thickBot="1" x14ac:dyDescent="0.5">
      <c r="S178" s="37">
        <f t="shared" si="5"/>
        <v>332.51862938469384</v>
      </c>
      <c r="U178" s="26">
        <f t="shared" si="4"/>
        <v>20</v>
      </c>
    </row>
    <row r="179" spans="19:21" ht="14.65" thickBot="1" x14ac:dyDescent="0.5">
      <c r="S179" s="37">
        <f t="shared" si="5"/>
        <v>335.84381567854081</v>
      </c>
      <c r="U179" s="26">
        <f t="shared" si="4"/>
        <v>20</v>
      </c>
    </row>
    <row r="180" spans="19:21" ht="14.65" thickBot="1" x14ac:dyDescent="0.5">
      <c r="S180" s="37">
        <f t="shared" si="5"/>
        <v>339.20225383532625</v>
      </c>
      <c r="U180" s="26">
        <f t="shared" si="4"/>
        <v>20</v>
      </c>
    </row>
    <row r="181" spans="19:21" ht="14.65" thickBot="1" x14ac:dyDescent="0.5">
      <c r="S181" s="37">
        <f t="shared" si="5"/>
        <v>342.59427637367952</v>
      </c>
      <c r="U181" s="26">
        <f t="shared" si="4"/>
        <v>20</v>
      </c>
    </row>
    <row r="182" spans="19:21" ht="14.65" thickBot="1" x14ac:dyDescent="0.5">
      <c r="S182" s="37">
        <f t="shared" si="5"/>
        <v>346.02021913741629</v>
      </c>
      <c r="U182" s="26">
        <f t="shared" si="4"/>
        <v>20</v>
      </c>
    </row>
    <row r="183" spans="19:21" ht="14.65" thickBot="1" x14ac:dyDescent="0.5">
      <c r="S183" s="37">
        <f t="shared" si="5"/>
        <v>349.48042132879044</v>
      </c>
      <c r="U183" s="26">
        <f t="shared" si="4"/>
        <v>20</v>
      </c>
    </row>
    <row r="184" spans="19:21" ht="14.65" thickBot="1" x14ac:dyDescent="0.5">
      <c r="S184" s="37">
        <f t="shared" si="5"/>
        <v>352.97522554207836</v>
      </c>
      <c r="U184" s="26">
        <f t="shared" si="4"/>
        <v>20</v>
      </c>
    </row>
    <row r="185" spans="19:21" ht="14.65" thickBot="1" x14ac:dyDescent="0.5">
      <c r="S185" s="37">
        <f t="shared" si="5"/>
        <v>356.50497779749912</v>
      </c>
      <c r="U185" s="26">
        <f t="shared" si="4"/>
        <v>20</v>
      </c>
    </row>
    <row r="186" spans="19:21" ht="14.65" thickBot="1" x14ac:dyDescent="0.5">
      <c r="S186" s="37">
        <f t="shared" si="5"/>
        <v>360.07002757547411</v>
      </c>
      <c r="U186" s="26">
        <f t="shared" si="4"/>
        <v>20</v>
      </c>
    </row>
    <row r="187" spans="19:21" ht="14.65" thickBot="1" x14ac:dyDescent="0.5">
      <c r="S187" s="37">
        <f t="shared" si="5"/>
        <v>363.67072785122883</v>
      </c>
      <c r="U187" s="26">
        <f t="shared" si="4"/>
        <v>20</v>
      </c>
    </row>
    <row r="188" spans="19:21" ht="14.65" thickBot="1" x14ac:dyDescent="0.5">
      <c r="S188" s="37">
        <f t="shared" si="5"/>
        <v>367.30743512974112</v>
      </c>
      <c r="U188" s="26">
        <f t="shared" si="4"/>
        <v>20</v>
      </c>
    </row>
    <row r="189" spans="19:21" ht="14.65" thickBot="1" x14ac:dyDescent="0.5">
      <c r="S189" s="37">
        <f t="shared" si="5"/>
        <v>370.98050948103855</v>
      </c>
      <c r="U189" s="26">
        <f t="shared" si="4"/>
        <v>20</v>
      </c>
    </row>
    <row r="190" spans="19:21" ht="14.65" thickBot="1" x14ac:dyDescent="0.5">
      <c r="S190" s="37">
        <f t="shared" si="5"/>
        <v>374.69031457584896</v>
      </c>
      <c r="U190" s="26">
        <f t="shared" si="4"/>
        <v>20</v>
      </c>
    </row>
    <row r="191" spans="19:21" ht="14.65" thickBot="1" x14ac:dyDescent="0.5">
      <c r="S191" s="37">
        <f t="shared" si="5"/>
        <v>378.43721772160745</v>
      </c>
      <c r="U191" s="26">
        <f t="shared" si="4"/>
        <v>20</v>
      </c>
    </row>
    <row r="192" spans="19:21" ht="14.65" thickBot="1" x14ac:dyDescent="0.5">
      <c r="S192" s="37">
        <f t="shared" si="5"/>
        <v>382.22158989882354</v>
      </c>
      <c r="U192" s="26">
        <f t="shared" si="4"/>
        <v>20</v>
      </c>
    </row>
    <row r="193" spans="19:21" ht="14.65" thickBot="1" x14ac:dyDescent="0.5">
      <c r="S193" s="37">
        <f t="shared" si="5"/>
        <v>386.04380579781179</v>
      </c>
      <c r="U193" s="26">
        <f t="shared" si="4"/>
        <v>20</v>
      </c>
    </row>
    <row r="194" spans="19:21" ht="14.65" thickBot="1" x14ac:dyDescent="0.5">
      <c r="S194" s="37">
        <f t="shared" si="5"/>
        <v>389.9042438557899</v>
      </c>
      <c r="U194" s="26">
        <f t="shared" si="4"/>
        <v>20</v>
      </c>
    </row>
    <row r="195" spans="19:21" ht="14.65" thickBot="1" x14ac:dyDescent="0.5">
      <c r="S195" s="37">
        <f t="shared" si="5"/>
        <v>393.8032862943478</v>
      </c>
      <c r="U195" s="26">
        <f t="shared" si="4"/>
        <v>20</v>
      </c>
    </row>
    <row r="196" spans="19:21" ht="14.65" thickBot="1" x14ac:dyDescent="0.5">
      <c r="S196" s="37">
        <f t="shared" si="5"/>
        <v>397.74131915729129</v>
      </c>
      <c r="U196" s="26">
        <f t="shared" si="4"/>
        <v>20</v>
      </c>
    </row>
    <row r="197" spans="19:21" ht="14.65" thickBot="1" x14ac:dyDescent="0.5">
      <c r="S197" s="37">
        <f t="shared" si="5"/>
        <v>401.71873234886419</v>
      </c>
      <c r="U197" s="26">
        <f t="shared" si="4"/>
        <v>20</v>
      </c>
    </row>
    <row r="198" spans="19:21" ht="14.65" thickBot="1" x14ac:dyDescent="0.5">
      <c r="S198" s="37">
        <f t="shared" si="5"/>
        <v>405.73591967235285</v>
      </c>
      <c r="U198" s="26">
        <f t="shared" si="4"/>
        <v>20</v>
      </c>
    </row>
    <row r="199" spans="19:21" ht="14.65" thickBot="1" x14ac:dyDescent="0.5">
      <c r="S199" s="37">
        <f t="shared" si="5"/>
        <v>409.7932788690764</v>
      </c>
      <c r="U199" s="26">
        <f t="shared" si="4"/>
        <v>20</v>
      </c>
    </row>
    <row r="200" spans="19:21" ht="14.65" thickBot="1" x14ac:dyDescent="0.5">
      <c r="S200" s="37">
        <f t="shared" si="5"/>
        <v>413.89121165776714</v>
      </c>
      <c r="U200" s="26">
        <f t="shared" si="4"/>
        <v>20</v>
      </c>
    </row>
    <row r="201" spans="19:21" ht="14.65" thickBot="1" x14ac:dyDescent="0.5">
      <c r="S201" s="37">
        <f t="shared" si="5"/>
        <v>418.03012377434482</v>
      </c>
      <c r="U201" s="26">
        <f t="shared" si="4"/>
        <v>20</v>
      </c>
    </row>
    <row r="202" spans="19:21" ht="14.65" thickBot="1" x14ac:dyDescent="0.5">
      <c r="S202" s="37">
        <f t="shared" si="5"/>
        <v>422.21042501208825</v>
      </c>
      <c r="U202" s="26">
        <f t="shared" si="4"/>
        <v>20</v>
      </c>
    </row>
    <row r="203" spans="19:21" ht="14.65" thickBot="1" x14ac:dyDescent="0.5">
      <c r="S203" s="37">
        <f t="shared" si="5"/>
        <v>426.43252926220913</v>
      </c>
      <c r="U203" s="26">
        <f t="shared" si="4"/>
        <v>20</v>
      </c>
    </row>
    <row r="204" spans="19:21" ht="14.65" thickBot="1" x14ac:dyDescent="0.5">
      <c r="S204" s="37">
        <f t="shared" si="5"/>
        <v>430.69685455483125</v>
      </c>
      <c r="U204" s="26">
        <f t="shared" si="4"/>
        <v>20</v>
      </c>
    </row>
    <row r="205" spans="19:21" ht="14.65" thickBot="1" x14ac:dyDescent="0.5">
      <c r="S205" s="37">
        <f t="shared" si="5"/>
        <v>435.00382310037958</v>
      </c>
      <c r="U205" s="26">
        <f t="shared" si="4"/>
        <v>20</v>
      </c>
    </row>
    <row r="206" spans="19:21" ht="14.65" thickBot="1" x14ac:dyDescent="0.5">
      <c r="S206" s="37">
        <f t="shared" si="5"/>
        <v>439.35386133138337</v>
      </c>
      <c r="U206" s="26">
        <f t="shared" si="4"/>
        <v>20</v>
      </c>
    </row>
    <row r="207" spans="19:21" ht="14.65" thickBot="1" x14ac:dyDescent="0.5">
      <c r="S207" s="37">
        <f t="shared" si="5"/>
        <v>443.74739994469724</v>
      </c>
      <c r="U207" s="26">
        <f t="shared" si="4"/>
        <v>20</v>
      </c>
    </row>
    <row r="208" spans="19:21" ht="14.65" thickBot="1" x14ac:dyDescent="0.5">
      <c r="S208" s="37">
        <f t="shared" si="5"/>
        <v>448.18487394414421</v>
      </c>
      <c r="U208" s="26">
        <f t="shared" si="4"/>
        <v>20</v>
      </c>
    </row>
    <row r="209" spans="19:21" ht="14.65" thickBot="1" x14ac:dyDescent="0.5">
      <c r="S209" s="37">
        <f t="shared" si="5"/>
        <v>452.66672268358565</v>
      </c>
      <c r="U209" s="26">
        <f t="shared" si="4"/>
        <v>20</v>
      </c>
    </row>
    <row r="210" spans="19:21" ht="14.65" thickBot="1" x14ac:dyDescent="0.5">
      <c r="S210" s="37">
        <f t="shared" si="5"/>
        <v>457.1933899104215</v>
      </c>
      <c r="U210" s="26">
        <f t="shared" ref="U210:U273" si="6">IF(S210&lt;$D$8,S210-$D$7+$D$9,$D$8-$D$7+$D$9)</f>
        <v>20</v>
      </c>
    </row>
    <row r="211" spans="19:21" ht="14.65" thickBot="1" x14ac:dyDescent="0.5">
      <c r="S211" s="37">
        <f t="shared" ref="S211:S274" si="7">S210*(1.01)</f>
        <v>461.76532380952574</v>
      </c>
      <c r="U211" s="26">
        <f t="shared" si="6"/>
        <v>20</v>
      </c>
    </row>
    <row r="212" spans="19:21" ht="14.65" thickBot="1" x14ac:dyDescent="0.5">
      <c r="S212" s="37">
        <f t="shared" si="7"/>
        <v>466.38297704762101</v>
      </c>
      <c r="U212" s="26">
        <f t="shared" si="6"/>
        <v>20</v>
      </c>
    </row>
    <row r="213" spans="19:21" ht="14.65" thickBot="1" x14ac:dyDescent="0.5">
      <c r="S213" s="37">
        <f t="shared" si="7"/>
        <v>471.04680681809725</v>
      </c>
      <c r="U213" s="26">
        <f t="shared" si="6"/>
        <v>20</v>
      </c>
    </row>
    <row r="214" spans="19:21" ht="14.65" thickBot="1" x14ac:dyDescent="0.5">
      <c r="S214" s="37">
        <f t="shared" si="7"/>
        <v>475.75727488627825</v>
      </c>
      <c r="U214" s="26">
        <f t="shared" si="6"/>
        <v>20</v>
      </c>
    </row>
    <row r="215" spans="19:21" ht="14.65" thickBot="1" x14ac:dyDescent="0.5">
      <c r="S215" s="37">
        <f t="shared" si="7"/>
        <v>480.51484763514105</v>
      </c>
      <c r="U215" s="26">
        <f t="shared" si="6"/>
        <v>20</v>
      </c>
    </row>
    <row r="216" spans="19:21" ht="14.65" thickBot="1" x14ac:dyDescent="0.5">
      <c r="S216" s="37">
        <f t="shared" si="7"/>
        <v>485.31999611149246</v>
      </c>
      <c r="U216" s="26">
        <f t="shared" si="6"/>
        <v>20</v>
      </c>
    </row>
    <row r="217" spans="19:21" ht="14.65" thickBot="1" x14ac:dyDescent="0.5">
      <c r="S217" s="37">
        <f t="shared" si="7"/>
        <v>490.17319607260737</v>
      </c>
      <c r="U217" s="26">
        <f t="shared" si="6"/>
        <v>20</v>
      </c>
    </row>
    <row r="218" spans="19:21" ht="14.65" thickBot="1" x14ac:dyDescent="0.5">
      <c r="S218" s="37">
        <f t="shared" si="7"/>
        <v>495.07492803333344</v>
      </c>
      <c r="U218" s="26">
        <f t="shared" si="6"/>
        <v>20</v>
      </c>
    </row>
    <row r="219" spans="19:21" ht="14.65" thickBot="1" x14ac:dyDescent="0.5">
      <c r="S219" s="37">
        <f t="shared" si="7"/>
        <v>500.02567731366679</v>
      </c>
      <c r="U219" s="26">
        <f t="shared" si="6"/>
        <v>20</v>
      </c>
    </row>
    <row r="220" spans="19:21" ht="14.65" thickBot="1" x14ac:dyDescent="0.5">
      <c r="S220" s="37">
        <f t="shared" si="7"/>
        <v>505.02593408680349</v>
      </c>
      <c r="U220" s="26">
        <f t="shared" si="6"/>
        <v>20</v>
      </c>
    </row>
    <row r="221" spans="19:21" ht="14.65" thickBot="1" x14ac:dyDescent="0.5">
      <c r="S221" s="37">
        <f t="shared" si="7"/>
        <v>510.07619342767151</v>
      </c>
      <c r="U221" s="26">
        <f t="shared" si="6"/>
        <v>20</v>
      </c>
    </row>
    <row r="222" spans="19:21" ht="14.65" thickBot="1" x14ac:dyDescent="0.5">
      <c r="S222" s="37">
        <f t="shared" si="7"/>
        <v>515.17695536194822</v>
      </c>
      <c r="U222" s="26">
        <f t="shared" si="6"/>
        <v>20</v>
      </c>
    </row>
    <row r="223" spans="19:21" ht="14.65" thickBot="1" x14ac:dyDescent="0.5">
      <c r="S223" s="37">
        <f t="shared" si="7"/>
        <v>520.3287249155677</v>
      </c>
      <c r="U223" s="26">
        <f t="shared" si="6"/>
        <v>20</v>
      </c>
    </row>
    <row r="224" spans="19:21" ht="14.65" thickBot="1" x14ac:dyDescent="0.5">
      <c r="S224" s="37">
        <f t="shared" si="7"/>
        <v>525.53201216472337</v>
      </c>
      <c r="U224" s="26">
        <f t="shared" si="6"/>
        <v>20</v>
      </c>
    </row>
    <row r="225" spans="19:21" ht="14.65" thickBot="1" x14ac:dyDescent="0.5">
      <c r="S225" s="37">
        <f t="shared" si="7"/>
        <v>530.78733228637066</v>
      </c>
      <c r="U225" s="26">
        <f t="shared" si="6"/>
        <v>20</v>
      </c>
    </row>
    <row r="226" spans="19:21" ht="14.65" thickBot="1" x14ac:dyDescent="0.5">
      <c r="S226" s="37">
        <f t="shared" si="7"/>
        <v>536.09520560923431</v>
      </c>
      <c r="U226" s="26">
        <f t="shared" si="6"/>
        <v>20</v>
      </c>
    </row>
    <row r="227" spans="19:21" ht="14.65" thickBot="1" x14ac:dyDescent="0.5">
      <c r="S227" s="37">
        <f t="shared" si="7"/>
        <v>541.45615766532671</v>
      </c>
      <c r="U227" s="26">
        <f t="shared" si="6"/>
        <v>20</v>
      </c>
    </row>
    <row r="228" spans="19:21" ht="14.65" thickBot="1" x14ac:dyDescent="0.5">
      <c r="S228" s="37">
        <f t="shared" si="7"/>
        <v>546.87071924197994</v>
      </c>
      <c r="U228" s="26">
        <f t="shared" si="6"/>
        <v>20</v>
      </c>
    </row>
    <row r="229" spans="19:21" ht="14.65" thickBot="1" x14ac:dyDescent="0.5">
      <c r="S229" s="37">
        <f t="shared" si="7"/>
        <v>552.3394264343998</v>
      </c>
      <c r="U229" s="26">
        <f t="shared" si="6"/>
        <v>20</v>
      </c>
    </row>
    <row r="230" spans="19:21" ht="14.65" thickBot="1" x14ac:dyDescent="0.5">
      <c r="S230" s="37">
        <f t="shared" si="7"/>
        <v>557.8628206987438</v>
      </c>
      <c r="U230" s="26">
        <f t="shared" si="6"/>
        <v>20</v>
      </c>
    </row>
    <row r="231" spans="19:21" ht="14.65" thickBot="1" x14ac:dyDescent="0.5">
      <c r="S231" s="37">
        <f t="shared" si="7"/>
        <v>563.44144890573125</v>
      </c>
      <c r="U231" s="26">
        <f t="shared" si="6"/>
        <v>20</v>
      </c>
    </row>
    <row r="232" spans="19:21" ht="14.65" thickBot="1" x14ac:dyDescent="0.5">
      <c r="S232" s="37">
        <f t="shared" si="7"/>
        <v>569.0758633947886</v>
      </c>
      <c r="U232" s="26">
        <f t="shared" si="6"/>
        <v>20</v>
      </c>
    </row>
    <row r="233" spans="19:21" ht="14.65" thickBot="1" x14ac:dyDescent="0.5">
      <c r="S233" s="37">
        <f t="shared" si="7"/>
        <v>574.76662202873649</v>
      </c>
      <c r="U233" s="26">
        <f t="shared" si="6"/>
        <v>20</v>
      </c>
    </row>
    <row r="234" spans="19:21" ht="14.65" thickBot="1" x14ac:dyDescent="0.5">
      <c r="S234" s="37">
        <f t="shared" si="7"/>
        <v>580.51428824902382</v>
      </c>
      <c r="U234" s="26">
        <f t="shared" si="6"/>
        <v>20</v>
      </c>
    </row>
    <row r="235" spans="19:21" ht="14.65" thickBot="1" x14ac:dyDescent="0.5">
      <c r="S235" s="37">
        <f t="shared" si="7"/>
        <v>586.31943113151408</v>
      </c>
      <c r="U235" s="26">
        <f t="shared" si="6"/>
        <v>20</v>
      </c>
    </row>
    <row r="236" spans="19:21" ht="14.65" thickBot="1" x14ac:dyDescent="0.5">
      <c r="S236" s="37">
        <f t="shared" si="7"/>
        <v>592.18262544282925</v>
      </c>
      <c r="U236" s="26">
        <f t="shared" si="6"/>
        <v>20</v>
      </c>
    </row>
    <row r="237" spans="19:21" ht="14.65" thickBot="1" x14ac:dyDescent="0.5">
      <c r="S237" s="37">
        <f t="shared" si="7"/>
        <v>598.10445169725756</v>
      </c>
      <c r="U237" s="26">
        <f t="shared" si="6"/>
        <v>20</v>
      </c>
    </row>
    <row r="238" spans="19:21" ht="14.65" thickBot="1" x14ac:dyDescent="0.5">
      <c r="S238" s="37">
        <f t="shared" si="7"/>
        <v>604.08549621423015</v>
      </c>
      <c r="U238" s="26">
        <f t="shared" si="6"/>
        <v>20</v>
      </c>
    </row>
    <row r="239" spans="19:21" ht="14.65" thickBot="1" x14ac:dyDescent="0.5">
      <c r="S239" s="37">
        <f t="shared" si="7"/>
        <v>610.12635117637251</v>
      </c>
      <c r="U239" s="26">
        <f t="shared" si="6"/>
        <v>20</v>
      </c>
    </row>
    <row r="240" spans="19:21" ht="14.65" thickBot="1" x14ac:dyDescent="0.5">
      <c r="S240" s="37">
        <f t="shared" si="7"/>
        <v>616.22761468813621</v>
      </c>
      <c r="U240" s="26">
        <f t="shared" si="6"/>
        <v>20</v>
      </c>
    </row>
    <row r="241" spans="19:21" ht="14.65" thickBot="1" x14ac:dyDescent="0.5">
      <c r="S241" s="37">
        <f t="shared" si="7"/>
        <v>622.38989083501758</v>
      </c>
      <c r="U241" s="26">
        <f t="shared" si="6"/>
        <v>20</v>
      </c>
    </row>
    <row r="242" spans="19:21" ht="14.65" thickBot="1" x14ac:dyDescent="0.5">
      <c r="S242" s="37">
        <f t="shared" si="7"/>
        <v>628.61378974336776</v>
      </c>
      <c r="U242" s="26">
        <f t="shared" si="6"/>
        <v>20</v>
      </c>
    </row>
    <row r="243" spans="19:21" ht="14.65" thickBot="1" x14ac:dyDescent="0.5">
      <c r="S243" s="37">
        <f t="shared" si="7"/>
        <v>634.89992764080148</v>
      </c>
      <c r="U243" s="26">
        <f t="shared" si="6"/>
        <v>20</v>
      </c>
    </row>
    <row r="244" spans="19:21" ht="14.65" thickBot="1" x14ac:dyDescent="0.5">
      <c r="S244" s="37">
        <f t="shared" si="7"/>
        <v>641.24892691720947</v>
      </c>
      <c r="U244" s="26">
        <f t="shared" si="6"/>
        <v>20</v>
      </c>
    </row>
    <row r="245" spans="19:21" ht="14.65" thickBot="1" x14ac:dyDescent="0.5">
      <c r="S245" s="37">
        <f t="shared" si="7"/>
        <v>647.66141618638153</v>
      </c>
      <c r="U245" s="26">
        <f t="shared" si="6"/>
        <v>20</v>
      </c>
    </row>
    <row r="246" spans="19:21" ht="14.65" thickBot="1" x14ac:dyDescent="0.5">
      <c r="S246" s="37">
        <f t="shared" si="7"/>
        <v>654.13803034824537</v>
      </c>
      <c r="U246" s="26">
        <f t="shared" si="6"/>
        <v>20</v>
      </c>
    </row>
    <row r="247" spans="19:21" ht="14.65" thickBot="1" x14ac:dyDescent="0.5">
      <c r="S247" s="37">
        <f t="shared" si="7"/>
        <v>660.67941065172784</v>
      </c>
      <c r="U247" s="26">
        <f t="shared" si="6"/>
        <v>20</v>
      </c>
    </row>
    <row r="248" spans="19:21" ht="14.65" thickBot="1" x14ac:dyDescent="0.5">
      <c r="S248" s="37">
        <f t="shared" si="7"/>
        <v>667.28620475824516</v>
      </c>
      <c r="U248" s="26">
        <f t="shared" si="6"/>
        <v>20</v>
      </c>
    </row>
    <row r="249" spans="19:21" ht="14.65" thickBot="1" x14ac:dyDescent="0.5">
      <c r="S249" s="37">
        <f t="shared" si="7"/>
        <v>673.95906680582766</v>
      </c>
      <c r="U249" s="26">
        <f t="shared" si="6"/>
        <v>20</v>
      </c>
    </row>
    <row r="250" spans="19:21" ht="14.65" thickBot="1" x14ac:dyDescent="0.5">
      <c r="S250" s="37">
        <f t="shared" si="7"/>
        <v>680.69865747388599</v>
      </c>
      <c r="U250" s="26">
        <f t="shared" si="6"/>
        <v>20</v>
      </c>
    </row>
    <row r="251" spans="19:21" ht="14.65" thickBot="1" x14ac:dyDescent="0.5">
      <c r="S251" s="37">
        <f t="shared" si="7"/>
        <v>687.50564404862484</v>
      </c>
      <c r="U251" s="26">
        <f t="shared" si="6"/>
        <v>20</v>
      </c>
    </row>
    <row r="252" spans="19:21" ht="14.65" thickBot="1" x14ac:dyDescent="0.5">
      <c r="S252" s="37">
        <f t="shared" si="7"/>
        <v>694.38070048911106</v>
      </c>
      <c r="U252" s="26">
        <f t="shared" si="6"/>
        <v>20</v>
      </c>
    </row>
    <row r="253" spans="19:21" ht="14.65" thickBot="1" x14ac:dyDescent="0.5">
      <c r="S253" s="37">
        <f t="shared" si="7"/>
        <v>701.32450749400221</v>
      </c>
      <c r="U253" s="26">
        <f t="shared" si="6"/>
        <v>20</v>
      </c>
    </row>
    <row r="254" spans="19:21" ht="14.65" thickBot="1" x14ac:dyDescent="0.5">
      <c r="S254" s="37">
        <f t="shared" si="7"/>
        <v>708.33775256894228</v>
      </c>
      <c r="U254" s="26">
        <f t="shared" si="6"/>
        <v>20</v>
      </c>
    </row>
    <row r="255" spans="19:21" ht="14.65" thickBot="1" x14ac:dyDescent="0.5">
      <c r="S255" s="37">
        <f t="shared" si="7"/>
        <v>715.42113009463174</v>
      </c>
      <c r="U255" s="26">
        <f t="shared" si="6"/>
        <v>20</v>
      </c>
    </row>
    <row r="256" spans="19:21" ht="14.65" thickBot="1" x14ac:dyDescent="0.5">
      <c r="S256" s="37">
        <f t="shared" si="7"/>
        <v>722.57534139557811</v>
      </c>
      <c r="U256" s="26">
        <f t="shared" si="6"/>
        <v>20</v>
      </c>
    </row>
    <row r="257" spans="19:21" ht="14.65" thickBot="1" x14ac:dyDescent="0.5">
      <c r="S257" s="37">
        <f t="shared" si="7"/>
        <v>729.80109480953388</v>
      </c>
      <c r="U257" s="26">
        <f t="shared" si="6"/>
        <v>20</v>
      </c>
    </row>
    <row r="258" spans="19:21" ht="14.65" thickBot="1" x14ac:dyDescent="0.5">
      <c r="S258" s="37">
        <f t="shared" si="7"/>
        <v>737.09910575762922</v>
      </c>
      <c r="U258" s="26">
        <f t="shared" si="6"/>
        <v>20</v>
      </c>
    </row>
    <row r="259" spans="19:21" ht="14.65" thickBot="1" x14ac:dyDescent="0.5">
      <c r="S259" s="37">
        <f t="shared" si="7"/>
        <v>744.47009681520547</v>
      </c>
      <c r="U259" s="26">
        <f t="shared" si="6"/>
        <v>20</v>
      </c>
    </row>
    <row r="260" spans="19:21" ht="14.65" thickBot="1" x14ac:dyDescent="0.5">
      <c r="S260" s="37">
        <f t="shared" si="7"/>
        <v>751.91479778335747</v>
      </c>
      <c r="U260" s="26">
        <f t="shared" si="6"/>
        <v>20</v>
      </c>
    </row>
    <row r="261" spans="19:21" ht="14.65" thickBot="1" x14ac:dyDescent="0.5">
      <c r="S261" s="37">
        <f t="shared" si="7"/>
        <v>759.43394576119101</v>
      </c>
      <c r="U261" s="26">
        <f t="shared" si="6"/>
        <v>20</v>
      </c>
    </row>
    <row r="262" spans="19:21" ht="14.65" thickBot="1" x14ac:dyDescent="0.5">
      <c r="S262" s="37">
        <f t="shared" si="7"/>
        <v>767.02828521880292</v>
      </c>
      <c r="U262" s="26">
        <f t="shared" si="6"/>
        <v>20</v>
      </c>
    </row>
    <row r="263" spans="19:21" ht="14.65" thickBot="1" x14ac:dyDescent="0.5">
      <c r="S263" s="37">
        <f t="shared" si="7"/>
        <v>774.69856807099097</v>
      </c>
      <c r="U263" s="26">
        <f t="shared" si="6"/>
        <v>20</v>
      </c>
    </row>
    <row r="264" spans="19:21" ht="14.65" thickBot="1" x14ac:dyDescent="0.5">
      <c r="S264" s="37">
        <f t="shared" si="7"/>
        <v>782.44555375170091</v>
      </c>
      <c r="U264" s="26">
        <f t="shared" si="6"/>
        <v>20</v>
      </c>
    </row>
    <row r="265" spans="19:21" ht="14.65" thickBot="1" x14ac:dyDescent="0.5">
      <c r="S265" s="37">
        <f t="shared" si="7"/>
        <v>790.27000928921791</v>
      </c>
      <c r="U265" s="26">
        <f t="shared" si="6"/>
        <v>20</v>
      </c>
    </row>
    <row r="266" spans="19:21" ht="14.65" thickBot="1" x14ac:dyDescent="0.5">
      <c r="S266" s="37">
        <f t="shared" si="7"/>
        <v>798.17270938211004</v>
      </c>
      <c r="U266" s="26">
        <f t="shared" si="6"/>
        <v>20</v>
      </c>
    </row>
    <row r="267" spans="19:21" ht="14.65" thickBot="1" x14ac:dyDescent="0.5">
      <c r="S267" s="37">
        <f t="shared" si="7"/>
        <v>806.15443647593111</v>
      </c>
      <c r="U267" s="26">
        <f t="shared" si="6"/>
        <v>20</v>
      </c>
    </row>
    <row r="268" spans="19:21" ht="14.65" thickBot="1" x14ac:dyDescent="0.5">
      <c r="S268" s="37">
        <f t="shared" si="7"/>
        <v>814.21598084069046</v>
      </c>
      <c r="U268" s="26">
        <f t="shared" si="6"/>
        <v>20</v>
      </c>
    </row>
    <row r="269" spans="19:21" ht="14.65" thickBot="1" x14ac:dyDescent="0.5">
      <c r="S269" s="37">
        <f t="shared" si="7"/>
        <v>822.35814064909732</v>
      </c>
      <c r="U269" s="26">
        <f t="shared" si="6"/>
        <v>20</v>
      </c>
    </row>
    <row r="270" spans="19:21" ht="14.65" thickBot="1" x14ac:dyDescent="0.5">
      <c r="S270" s="37">
        <f t="shared" si="7"/>
        <v>830.58172205558833</v>
      </c>
      <c r="U270" s="26">
        <f t="shared" si="6"/>
        <v>20</v>
      </c>
    </row>
    <row r="271" spans="19:21" ht="14.65" thickBot="1" x14ac:dyDescent="0.5">
      <c r="S271" s="37">
        <f t="shared" si="7"/>
        <v>838.88753927614425</v>
      </c>
      <c r="U271" s="26">
        <f t="shared" si="6"/>
        <v>20</v>
      </c>
    </row>
    <row r="272" spans="19:21" ht="14.65" thickBot="1" x14ac:dyDescent="0.5">
      <c r="S272" s="37">
        <f t="shared" si="7"/>
        <v>847.27641466890566</v>
      </c>
      <c r="U272" s="26">
        <f t="shared" si="6"/>
        <v>20</v>
      </c>
    </row>
    <row r="273" spans="19:21" ht="14.65" thickBot="1" x14ac:dyDescent="0.5">
      <c r="S273" s="37">
        <f t="shared" si="7"/>
        <v>855.74917881559475</v>
      </c>
      <c r="U273" s="26">
        <f t="shared" si="6"/>
        <v>20</v>
      </c>
    </row>
    <row r="274" spans="19:21" ht="14.65" thickBot="1" x14ac:dyDescent="0.5">
      <c r="S274" s="37">
        <f t="shared" si="7"/>
        <v>864.30667060375072</v>
      </c>
      <c r="U274" s="26">
        <f t="shared" ref="U274:U337" si="8">IF(S274&lt;$D$8,S274-$D$7+$D$9,$D$8-$D$7+$D$9)</f>
        <v>20</v>
      </c>
    </row>
    <row r="275" spans="19:21" ht="14.65" thickBot="1" x14ac:dyDescent="0.5">
      <c r="S275" s="37">
        <f t="shared" ref="S275:S338" si="9">S274*(1.01)</f>
        <v>872.94973730978825</v>
      </c>
      <c r="U275" s="26">
        <f t="shared" si="8"/>
        <v>20</v>
      </c>
    </row>
    <row r="276" spans="19:21" ht="14.65" thickBot="1" x14ac:dyDescent="0.5">
      <c r="S276" s="37">
        <f t="shared" si="9"/>
        <v>881.67923468288609</v>
      </c>
      <c r="U276" s="26">
        <f t="shared" si="8"/>
        <v>20</v>
      </c>
    </row>
    <row r="277" spans="19:21" ht="14.65" thickBot="1" x14ac:dyDescent="0.5">
      <c r="S277" s="37">
        <f t="shared" si="9"/>
        <v>890.49602702971492</v>
      </c>
      <c r="U277" s="26">
        <f t="shared" si="8"/>
        <v>20</v>
      </c>
    </row>
    <row r="278" spans="19:21" ht="14.65" thickBot="1" x14ac:dyDescent="0.5">
      <c r="S278" s="37">
        <f t="shared" si="9"/>
        <v>899.40098730001205</v>
      </c>
      <c r="U278" s="26">
        <f t="shared" si="8"/>
        <v>20</v>
      </c>
    </row>
    <row r="279" spans="19:21" ht="14.65" thickBot="1" x14ac:dyDescent="0.5">
      <c r="S279" s="37">
        <f t="shared" si="9"/>
        <v>908.39499717301214</v>
      </c>
      <c r="U279" s="26">
        <f t="shared" si="8"/>
        <v>20</v>
      </c>
    </row>
    <row r="280" spans="19:21" ht="14.65" thickBot="1" x14ac:dyDescent="0.5">
      <c r="S280" s="37">
        <f t="shared" si="9"/>
        <v>917.47894714474228</v>
      </c>
      <c r="U280" s="26">
        <f t="shared" si="8"/>
        <v>20</v>
      </c>
    </row>
    <row r="281" spans="19:21" ht="14.65" thickBot="1" x14ac:dyDescent="0.5">
      <c r="S281" s="37">
        <f t="shared" si="9"/>
        <v>926.65373661618969</v>
      </c>
      <c r="U281" s="26">
        <f t="shared" si="8"/>
        <v>20</v>
      </c>
    </row>
    <row r="282" spans="19:21" ht="14.65" thickBot="1" x14ac:dyDescent="0.5">
      <c r="S282" s="37">
        <f t="shared" si="9"/>
        <v>935.92027398235155</v>
      </c>
      <c r="U282" s="26">
        <f t="shared" si="8"/>
        <v>20</v>
      </c>
    </row>
    <row r="283" spans="19:21" ht="14.65" thickBot="1" x14ac:dyDescent="0.5">
      <c r="S283" s="37">
        <f t="shared" si="9"/>
        <v>945.2794767221751</v>
      </c>
      <c r="U283" s="26">
        <f t="shared" si="8"/>
        <v>20</v>
      </c>
    </row>
    <row r="284" spans="19:21" ht="14.65" thickBot="1" x14ac:dyDescent="0.5">
      <c r="S284" s="37">
        <f t="shared" si="9"/>
        <v>954.73227148939691</v>
      </c>
      <c r="U284" s="26">
        <f t="shared" si="8"/>
        <v>20</v>
      </c>
    </row>
    <row r="285" spans="19:21" ht="14.65" thickBot="1" x14ac:dyDescent="0.5">
      <c r="S285" s="37">
        <f t="shared" si="9"/>
        <v>964.2795942042909</v>
      </c>
      <c r="U285" s="26">
        <f t="shared" si="8"/>
        <v>20</v>
      </c>
    </row>
    <row r="286" spans="19:21" ht="14.65" thickBot="1" x14ac:dyDescent="0.5">
      <c r="S286" s="37">
        <f t="shared" si="9"/>
        <v>973.92239014633378</v>
      </c>
      <c r="U286" s="26">
        <f t="shared" si="8"/>
        <v>20</v>
      </c>
    </row>
    <row r="287" spans="19:21" ht="14.65" thickBot="1" x14ac:dyDescent="0.5">
      <c r="S287" s="37">
        <f t="shared" si="9"/>
        <v>983.66161404779712</v>
      </c>
      <c r="U287" s="26">
        <f t="shared" si="8"/>
        <v>20</v>
      </c>
    </row>
    <row r="288" spans="19:21" ht="14.65" thickBot="1" x14ac:dyDescent="0.5">
      <c r="S288" s="37">
        <f t="shared" si="9"/>
        <v>993.4982301882751</v>
      </c>
      <c r="U288" s="26">
        <f t="shared" si="8"/>
        <v>20</v>
      </c>
    </row>
    <row r="289" spans="19:21" ht="14.65" thickBot="1" x14ac:dyDescent="0.5">
      <c r="S289" s="37">
        <f t="shared" si="9"/>
        <v>1003.4332124901579</v>
      </c>
      <c r="U289" s="26">
        <f t="shared" si="8"/>
        <v>20</v>
      </c>
    </row>
    <row r="290" spans="19:21" ht="14.65" thickBot="1" x14ac:dyDescent="0.5">
      <c r="S290" s="37">
        <f t="shared" si="9"/>
        <v>1013.4675446150594</v>
      </c>
      <c r="U290" s="26">
        <f t="shared" si="8"/>
        <v>20</v>
      </c>
    </row>
    <row r="291" spans="19:21" ht="14.65" thickBot="1" x14ac:dyDescent="0.5">
      <c r="S291" s="37">
        <f t="shared" si="9"/>
        <v>1023.60222006121</v>
      </c>
      <c r="U291" s="26">
        <f t="shared" si="8"/>
        <v>20</v>
      </c>
    </row>
    <row r="292" spans="19:21" ht="14.65" thickBot="1" x14ac:dyDescent="0.5">
      <c r="S292" s="37">
        <f t="shared" si="9"/>
        <v>1033.8382422618222</v>
      </c>
      <c r="U292" s="26">
        <f t="shared" si="8"/>
        <v>20</v>
      </c>
    </row>
    <row r="293" spans="19:21" ht="14.65" thickBot="1" x14ac:dyDescent="0.5">
      <c r="S293" s="37">
        <f t="shared" si="9"/>
        <v>1044.1766246844404</v>
      </c>
      <c r="U293" s="26">
        <f t="shared" si="8"/>
        <v>20</v>
      </c>
    </row>
    <row r="294" spans="19:21" ht="14.65" thickBot="1" x14ac:dyDescent="0.5">
      <c r="S294" s="37">
        <f t="shared" si="9"/>
        <v>1054.6183909312849</v>
      </c>
      <c r="U294" s="26">
        <f t="shared" si="8"/>
        <v>20</v>
      </c>
    </row>
    <row r="295" spans="19:21" ht="14.65" thickBot="1" x14ac:dyDescent="0.5">
      <c r="S295" s="37">
        <f t="shared" si="9"/>
        <v>1065.1645748405979</v>
      </c>
      <c r="U295" s="26">
        <f t="shared" si="8"/>
        <v>20</v>
      </c>
    </row>
    <row r="296" spans="19:21" ht="14.65" thickBot="1" x14ac:dyDescent="0.5">
      <c r="S296" s="37">
        <f t="shared" si="9"/>
        <v>1075.8162205890039</v>
      </c>
      <c r="U296" s="26">
        <f t="shared" si="8"/>
        <v>20</v>
      </c>
    </row>
    <row r="297" spans="19:21" ht="14.65" thickBot="1" x14ac:dyDescent="0.5">
      <c r="S297" s="37">
        <f t="shared" si="9"/>
        <v>1086.5743827948941</v>
      </c>
      <c r="U297" s="26">
        <f t="shared" si="8"/>
        <v>20</v>
      </c>
    </row>
    <row r="298" spans="19:21" ht="14.65" thickBot="1" x14ac:dyDescent="0.5">
      <c r="S298" s="37">
        <f t="shared" si="9"/>
        <v>1097.4401266228431</v>
      </c>
      <c r="U298" s="26">
        <f t="shared" si="8"/>
        <v>20</v>
      </c>
    </row>
    <row r="299" spans="19:21" ht="14.65" thickBot="1" x14ac:dyDescent="0.5">
      <c r="S299" s="37">
        <f t="shared" si="9"/>
        <v>1108.4145278890715</v>
      </c>
      <c r="U299" s="26">
        <f t="shared" si="8"/>
        <v>20</v>
      </c>
    </row>
    <row r="300" spans="19:21" ht="14.65" thickBot="1" x14ac:dyDescent="0.5">
      <c r="S300" s="37">
        <f t="shared" si="9"/>
        <v>1119.4986731679621</v>
      </c>
      <c r="U300" s="26">
        <f t="shared" si="8"/>
        <v>20</v>
      </c>
    </row>
    <row r="301" spans="19:21" ht="14.65" thickBot="1" x14ac:dyDescent="0.5">
      <c r="S301" s="37">
        <f t="shared" si="9"/>
        <v>1130.6936598996417</v>
      </c>
      <c r="U301" s="26">
        <f t="shared" si="8"/>
        <v>20</v>
      </c>
    </row>
    <row r="302" spans="19:21" ht="14.65" thickBot="1" x14ac:dyDescent="0.5">
      <c r="S302" s="37">
        <f t="shared" si="9"/>
        <v>1142.0005964986381</v>
      </c>
      <c r="U302" s="26">
        <f t="shared" si="8"/>
        <v>20</v>
      </c>
    </row>
    <row r="303" spans="19:21" ht="14.65" thickBot="1" x14ac:dyDescent="0.5">
      <c r="S303" s="37">
        <f t="shared" si="9"/>
        <v>1153.4206024636244</v>
      </c>
      <c r="U303" s="26">
        <f t="shared" si="8"/>
        <v>20</v>
      </c>
    </row>
    <row r="304" spans="19:21" ht="14.65" thickBot="1" x14ac:dyDescent="0.5">
      <c r="S304" s="37">
        <f t="shared" si="9"/>
        <v>1164.9548084882606</v>
      </c>
      <c r="U304" s="26">
        <f t="shared" si="8"/>
        <v>20</v>
      </c>
    </row>
    <row r="305" spans="19:21" ht="14.65" thickBot="1" x14ac:dyDescent="0.5">
      <c r="S305" s="37">
        <f t="shared" si="9"/>
        <v>1176.6043565731431</v>
      </c>
      <c r="U305" s="26">
        <f t="shared" si="8"/>
        <v>20</v>
      </c>
    </row>
    <row r="306" spans="19:21" ht="14.65" thickBot="1" x14ac:dyDescent="0.5">
      <c r="S306" s="37">
        <f t="shared" si="9"/>
        <v>1188.3704001388746</v>
      </c>
      <c r="U306" s="26">
        <f t="shared" si="8"/>
        <v>20</v>
      </c>
    </row>
    <row r="307" spans="19:21" ht="14.65" thickBot="1" x14ac:dyDescent="0.5">
      <c r="S307" s="37">
        <f t="shared" si="9"/>
        <v>1200.2541041402633</v>
      </c>
      <c r="U307" s="26">
        <f t="shared" si="8"/>
        <v>20</v>
      </c>
    </row>
    <row r="308" spans="19:21" ht="14.65" thickBot="1" x14ac:dyDescent="0.5">
      <c r="S308" s="37">
        <f t="shared" si="9"/>
        <v>1212.2566451816658</v>
      </c>
      <c r="U308" s="26">
        <f t="shared" si="8"/>
        <v>20</v>
      </c>
    </row>
    <row r="309" spans="19:21" ht="14.65" thickBot="1" x14ac:dyDescent="0.5">
      <c r="S309" s="37">
        <f t="shared" si="9"/>
        <v>1224.3792116334826</v>
      </c>
      <c r="U309" s="26">
        <f t="shared" si="8"/>
        <v>20</v>
      </c>
    </row>
    <row r="310" spans="19:21" ht="14.65" thickBot="1" x14ac:dyDescent="0.5">
      <c r="S310" s="37">
        <f t="shared" si="9"/>
        <v>1236.6230037498174</v>
      </c>
      <c r="U310" s="26">
        <f t="shared" si="8"/>
        <v>20</v>
      </c>
    </row>
    <row r="311" spans="19:21" ht="14.65" thickBot="1" x14ac:dyDescent="0.5">
      <c r="S311" s="37">
        <f t="shared" si="9"/>
        <v>1248.9892337873155</v>
      </c>
      <c r="U311" s="26">
        <f t="shared" si="8"/>
        <v>20</v>
      </c>
    </row>
    <row r="312" spans="19:21" ht="14.65" thickBot="1" x14ac:dyDescent="0.5">
      <c r="S312" s="37">
        <f t="shared" si="9"/>
        <v>1261.4791261251887</v>
      </c>
      <c r="U312" s="26">
        <f t="shared" si="8"/>
        <v>20</v>
      </c>
    </row>
    <row r="313" spans="19:21" ht="14.65" thickBot="1" x14ac:dyDescent="0.5">
      <c r="S313" s="37">
        <f t="shared" si="9"/>
        <v>1274.0939173864406</v>
      </c>
      <c r="U313" s="26">
        <f t="shared" si="8"/>
        <v>20</v>
      </c>
    </row>
    <row r="314" spans="19:21" ht="14.65" thickBot="1" x14ac:dyDescent="0.5">
      <c r="S314" s="37">
        <f t="shared" si="9"/>
        <v>1286.8348565603051</v>
      </c>
      <c r="U314" s="26">
        <f t="shared" si="8"/>
        <v>20</v>
      </c>
    </row>
    <row r="315" spans="19:21" ht="14.65" thickBot="1" x14ac:dyDescent="0.5">
      <c r="S315" s="37">
        <f t="shared" si="9"/>
        <v>1299.7032051259082</v>
      </c>
      <c r="U315" s="26">
        <f t="shared" si="8"/>
        <v>20</v>
      </c>
    </row>
    <row r="316" spans="19:21" ht="14.65" thickBot="1" x14ac:dyDescent="0.5">
      <c r="S316" s="37">
        <f t="shared" si="9"/>
        <v>1312.7002371771673</v>
      </c>
      <c r="U316" s="26">
        <f t="shared" si="8"/>
        <v>20</v>
      </c>
    </row>
    <row r="317" spans="19:21" ht="14.65" thickBot="1" x14ac:dyDescent="0.5">
      <c r="S317" s="37">
        <f t="shared" si="9"/>
        <v>1325.8272395489389</v>
      </c>
      <c r="U317" s="26">
        <f t="shared" si="8"/>
        <v>20</v>
      </c>
    </row>
    <row r="318" spans="19:21" ht="14.65" thickBot="1" x14ac:dyDescent="0.5">
      <c r="S318" s="37">
        <f t="shared" si="9"/>
        <v>1339.0855119444284</v>
      </c>
      <c r="U318" s="26">
        <f t="shared" si="8"/>
        <v>20</v>
      </c>
    </row>
    <row r="319" spans="19:21" ht="14.65" thickBot="1" x14ac:dyDescent="0.5">
      <c r="S319" s="37">
        <f t="shared" si="9"/>
        <v>1352.4763670638727</v>
      </c>
      <c r="U319" s="26">
        <f t="shared" si="8"/>
        <v>20</v>
      </c>
    </row>
    <row r="320" spans="19:21" ht="14.65" thickBot="1" x14ac:dyDescent="0.5">
      <c r="S320" s="37">
        <f t="shared" si="9"/>
        <v>1366.0011307345114</v>
      </c>
      <c r="U320" s="26">
        <f t="shared" si="8"/>
        <v>20</v>
      </c>
    </row>
    <row r="321" spans="19:21" ht="14.65" thickBot="1" x14ac:dyDescent="0.5">
      <c r="S321" s="37">
        <f t="shared" si="9"/>
        <v>1379.6611420418565</v>
      </c>
      <c r="U321" s="26">
        <f t="shared" si="8"/>
        <v>20</v>
      </c>
    </row>
    <row r="322" spans="19:21" ht="14.65" thickBot="1" x14ac:dyDescent="0.5">
      <c r="S322" s="37">
        <f t="shared" si="9"/>
        <v>1393.4577534622752</v>
      </c>
      <c r="U322" s="26">
        <f t="shared" si="8"/>
        <v>20</v>
      </c>
    </row>
    <row r="323" spans="19:21" ht="14.65" thickBot="1" x14ac:dyDescent="0.5">
      <c r="S323" s="37">
        <f t="shared" si="9"/>
        <v>1407.392330996898</v>
      </c>
      <c r="U323" s="26">
        <f t="shared" si="8"/>
        <v>20</v>
      </c>
    </row>
    <row r="324" spans="19:21" ht="14.65" thickBot="1" x14ac:dyDescent="0.5">
      <c r="S324" s="37">
        <f t="shared" si="9"/>
        <v>1421.4662543068669</v>
      </c>
      <c r="U324" s="26">
        <f t="shared" si="8"/>
        <v>20</v>
      </c>
    </row>
    <row r="325" spans="19:21" ht="14.65" thickBot="1" x14ac:dyDescent="0.5">
      <c r="S325" s="37">
        <f t="shared" si="9"/>
        <v>1435.6809168499356</v>
      </c>
      <c r="U325" s="26">
        <f t="shared" si="8"/>
        <v>20</v>
      </c>
    </row>
    <row r="326" spans="19:21" ht="14.65" thickBot="1" x14ac:dyDescent="0.5">
      <c r="S326" s="37">
        <f t="shared" si="9"/>
        <v>1450.037726018435</v>
      </c>
      <c r="U326" s="26">
        <f t="shared" si="8"/>
        <v>20</v>
      </c>
    </row>
    <row r="327" spans="19:21" ht="14.65" thickBot="1" x14ac:dyDescent="0.5">
      <c r="S327" s="37">
        <f t="shared" si="9"/>
        <v>1464.5381032786195</v>
      </c>
      <c r="U327" s="26">
        <f t="shared" si="8"/>
        <v>20</v>
      </c>
    </row>
    <row r="328" spans="19:21" ht="14.65" thickBot="1" x14ac:dyDescent="0.5">
      <c r="S328" s="37">
        <f t="shared" si="9"/>
        <v>1479.1834843114057</v>
      </c>
      <c r="U328" s="26">
        <f t="shared" si="8"/>
        <v>20</v>
      </c>
    </row>
    <row r="329" spans="19:21" ht="14.65" thickBot="1" x14ac:dyDescent="0.5">
      <c r="S329" s="37">
        <f t="shared" si="9"/>
        <v>1493.9753191545196</v>
      </c>
      <c r="U329" s="26">
        <f t="shared" si="8"/>
        <v>20</v>
      </c>
    </row>
    <row r="330" spans="19:21" ht="14.65" thickBot="1" x14ac:dyDescent="0.5">
      <c r="S330" s="37">
        <f t="shared" si="9"/>
        <v>1508.9150723460648</v>
      </c>
      <c r="U330" s="26">
        <f t="shared" si="8"/>
        <v>20</v>
      </c>
    </row>
    <row r="331" spans="19:21" ht="14.65" thickBot="1" x14ac:dyDescent="0.5">
      <c r="S331" s="37">
        <f t="shared" si="9"/>
        <v>1524.0042230695256</v>
      </c>
      <c r="U331" s="26">
        <f t="shared" si="8"/>
        <v>20</v>
      </c>
    </row>
    <row r="332" spans="19:21" ht="14.65" thickBot="1" x14ac:dyDescent="0.5">
      <c r="S332" s="37">
        <f t="shared" si="9"/>
        <v>1539.2442653002208</v>
      </c>
      <c r="U332" s="26">
        <f t="shared" si="8"/>
        <v>20</v>
      </c>
    </row>
    <row r="333" spans="19:21" ht="14.65" thickBot="1" x14ac:dyDescent="0.5">
      <c r="S333" s="37">
        <f t="shared" si="9"/>
        <v>1554.6367079532231</v>
      </c>
      <c r="U333" s="26">
        <f t="shared" si="8"/>
        <v>20</v>
      </c>
    </row>
    <row r="334" spans="19:21" ht="14.65" thickBot="1" x14ac:dyDescent="0.5">
      <c r="S334" s="37">
        <f t="shared" si="9"/>
        <v>1570.1830750327554</v>
      </c>
      <c r="U334" s="26">
        <f t="shared" si="8"/>
        <v>20</v>
      </c>
    </row>
    <row r="335" spans="19:21" ht="14.65" thickBot="1" x14ac:dyDescent="0.5">
      <c r="S335" s="37">
        <f t="shared" si="9"/>
        <v>1585.884905783083</v>
      </c>
      <c r="U335" s="26">
        <f t="shared" si="8"/>
        <v>20</v>
      </c>
    </row>
    <row r="336" spans="19:21" ht="14.65" thickBot="1" x14ac:dyDescent="0.5">
      <c r="S336" s="37">
        <f t="shared" si="9"/>
        <v>1601.7437548409139</v>
      </c>
      <c r="U336" s="26">
        <f t="shared" si="8"/>
        <v>20</v>
      </c>
    </row>
    <row r="337" spans="19:21" ht="14.65" thickBot="1" x14ac:dyDescent="0.5">
      <c r="S337" s="37">
        <f t="shared" si="9"/>
        <v>1617.761192389323</v>
      </c>
      <c r="U337" s="26">
        <f t="shared" si="8"/>
        <v>20</v>
      </c>
    </row>
    <row r="338" spans="19:21" ht="14.65" thickBot="1" x14ac:dyDescent="0.5">
      <c r="S338" s="37">
        <f t="shared" si="9"/>
        <v>1633.9388043132162</v>
      </c>
      <c r="U338" s="26">
        <f t="shared" ref="U338:U401" si="10">IF(S338&lt;$D$8,S338-$D$7+$D$9,$D$8-$D$7+$D$9)</f>
        <v>20</v>
      </c>
    </row>
    <row r="339" spans="19:21" ht="14.65" thickBot="1" x14ac:dyDescent="0.5">
      <c r="S339" s="37">
        <f t="shared" ref="S339:S402" si="11">S338*(1.01)</f>
        <v>1650.2781923563484</v>
      </c>
      <c r="U339" s="26">
        <f t="shared" si="10"/>
        <v>20</v>
      </c>
    </row>
    <row r="340" spans="19:21" ht="14.65" thickBot="1" x14ac:dyDescent="0.5">
      <c r="S340" s="37">
        <f t="shared" si="11"/>
        <v>1666.780974279912</v>
      </c>
      <c r="U340" s="26">
        <f t="shared" si="10"/>
        <v>20</v>
      </c>
    </row>
    <row r="341" spans="19:21" ht="14.65" thickBot="1" x14ac:dyDescent="0.5">
      <c r="S341" s="37">
        <f t="shared" si="11"/>
        <v>1683.4487840227112</v>
      </c>
      <c r="U341" s="26">
        <f t="shared" si="10"/>
        <v>20</v>
      </c>
    </row>
    <row r="342" spans="19:21" ht="14.65" thickBot="1" x14ac:dyDescent="0.5">
      <c r="S342" s="37">
        <f t="shared" si="11"/>
        <v>1700.2832718629384</v>
      </c>
      <c r="U342" s="26">
        <f t="shared" si="10"/>
        <v>20</v>
      </c>
    </row>
    <row r="343" spans="19:21" ht="14.65" thickBot="1" x14ac:dyDescent="0.5">
      <c r="S343" s="37">
        <f t="shared" si="11"/>
        <v>1717.2861045815678</v>
      </c>
      <c r="U343" s="26">
        <f t="shared" si="10"/>
        <v>20</v>
      </c>
    </row>
    <row r="344" spans="19:21" ht="14.65" thickBot="1" x14ac:dyDescent="0.5">
      <c r="S344" s="37">
        <f t="shared" si="11"/>
        <v>1734.4589656273833</v>
      </c>
      <c r="U344" s="26">
        <f t="shared" si="10"/>
        <v>20</v>
      </c>
    </row>
    <row r="345" spans="19:21" ht="14.65" thickBot="1" x14ac:dyDescent="0.5">
      <c r="S345" s="37">
        <f t="shared" si="11"/>
        <v>1751.8035552836573</v>
      </c>
      <c r="U345" s="26">
        <f t="shared" si="10"/>
        <v>20</v>
      </c>
    </row>
    <row r="346" spans="19:21" ht="14.65" thickBot="1" x14ac:dyDescent="0.5">
      <c r="S346" s="37">
        <f t="shared" si="11"/>
        <v>1769.3215908364939</v>
      </c>
      <c r="U346" s="26">
        <f t="shared" si="10"/>
        <v>20</v>
      </c>
    </row>
    <row r="347" spans="19:21" ht="14.65" thickBot="1" x14ac:dyDescent="0.5">
      <c r="S347" s="37">
        <f t="shared" si="11"/>
        <v>1787.0148067448588</v>
      </c>
      <c r="U347" s="26">
        <f t="shared" si="10"/>
        <v>20</v>
      </c>
    </row>
    <row r="348" spans="19:21" ht="14.65" thickBot="1" x14ac:dyDescent="0.5">
      <c r="S348" s="37">
        <f t="shared" si="11"/>
        <v>1804.8849548123073</v>
      </c>
      <c r="U348" s="26">
        <f t="shared" si="10"/>
        <v>20</v>
      </c>
    </row>
    <row r="349" spans="19:21" ht="14.65" thickBot="1" x14ac:dyDescent="0.5">
      <c r="S349" s="37">
        <f t="shared" si="11"/>
        <v>1822.9338043604305</v>
      </c>
      <c r="U349" s="26">
        <f t="shared" si="10"/>
        <v>20</v>
      </c>
    </row>
    <row r="350" spans="19:21" ht="14.65" thickBot="1" x14ac:dyDescent="0.5">
      <c r="S350" s="37">
        <f t="shared" si="11"/>
        <v>1841.1631424040347</v>
      </c>
      <c r="U350" s="26">
        <f t="shared" si="10"/>
        <v>20</v>
      </c>
    </row>
    <row r="351" spans="19:21" ht="14.65" thickBot="1" x14ac:dyDescent="0.5">
      <c r="S351" s="37">
        <f t="shared" si="11"/>
        <v>1859.574773828075</v>
      </c>
      <c r="U351" s="26">
        <f t="shared" si="10"/>
        <v>20</v>
      </c>
    </row>
    <row r="352" spans="19:21" ht="14.65" thickBot="1" x14ac:dyDescent="0.5">
      <c r="S352" s="37">
        <f t="shared" si="11"/>
        <v>1878.1705215663558</v>
      </c>
      <c r="U352" s="26">
        <f t="shared" si="10"/>
        <v>20</v>
      </c>
    </row>
    <row r="353" spans="19:21" ht="14.65" thickBot="1" x14ac:dyDescent="0.5">
      <c r="S353" s="37">
        <f t="shared" si="11"/>
        <v>1896.9522267820194</v>
      </c>
      <c r="U353" s="26">
        <f t="shared" si="10"/>
        <v>20</v>
      </c>
    </row>
    <row r="354" spans="19:21" ht="14.65" thickBot="1" x14ac:dyDescent="0.5">
      <c r="S354" s="37">
        <f t="shared" si="11"/>
        <v>1915.9217490498395</v>
      </c>
      <c r="U354" s="26">
        <f t="shared" si="10"/>
        <v>20</v>
      </c>
    </row>
    <row r="355" spans="19:21" ht="14.65" thickBot="1" x14ac:dyDescent="0.5">
      <c r="S355" s="37">
        <f t="shared" si="11"/>
        <v>1935.0809665403378</v>
      </c>
      <c r="U355" s="26">
        <f t="shared" si="10"/>
        <v>20</v>
      </c>
    </row>
    <row r="356" spans="19:21" ht="14.65" thickBot="1" x14ac:dyDescent="0.5">
      <c r="S356" s="37">
        <f t="shared" si="11"/>
        <v>1954.4317762057412</v>
      </c>
      <c r="U356" s="26">
        <f t="shared" si="10"/>
        <v>20</v>
      </c>
    </row>
    <row r="357" spans="19:21" ht="14.65" thickBot="1" x14ac:dyDescent="0.5">
      <c r="S357" s="37">
        <f t="shared" si="11"/>
        <v>1973.9760939677988</v>
      </c>
      <c r="U357" s="26">
        <f t="shared" si="10"/>
        <v>20</v>
      </c>
    </row>
    <row r="358" spans="19:21" ht="14.65" thickBot="1" x14ac:dyDescent="0.5">
      <c r="S358" s="37">
        <f t="shared" si="11"/>
        <v>1993.7158549074768</v>
      </c>
      <c r="U358" s="26">
        <f t="shared" si="10"/>
        <v>20</v>
      </c>
    </row>
    <row r="359" spans="19:21" ht="14.65" thickBot="1" x14ac:dyDescent="0.5">
      <c r="S359" s="37">
        <f t="shared" si="11"/>
        <v>2013.6530134565517</v>
      </c>
      <c r="U359" s="26">
        <f t="shared" si="10"/>
        <v>20</v>
      </c>
    </row>
    <row r="360" spans="19:21" ht="14.65" thickBot="1" x14ac:dyDescent="0.5">
      <c r="S360" s="37">
        <f t="shared" si="11"/>
        <v>2033.7895435911173</v>
      </c>
      <c r="U360" s="26">
        <f t="shared" si="10"/>
        <v>20</v>
      </c>
    </row>
    <row r="361" spans="19:21" ht="14.65" thickBot="1" x14ac:dyDescent="0.5">
      <c r="S361" s="37">
        <f t="shared" si="11"/>
        <v>2054.1274390270287</v>
      </c>
      <c r="U361" s="26">
        <f t="shared" si="10"/>
        <v>20</v>
      </c>
    </row>
    <row r="362" spans="19:21" ht="14.65" thickBot="1" x14ac:dyDescent="0.5">
      <c r="S362" s="37">
        <f t="shared" si="11"/>
        <v>2074.6687134172989</v>
      </c>
      <c r="U362" s="26">
        <f t="shared" si="10"/>
        <v>20</v>
      </c>
    </row>
    <row r="363" spans="19:21" ht="14.65" thickBot="1" x14ac:dyDescent="0.5">
      <c r="S363" s="37">
        <f t="shared" si="11"/>
        <v>2095.415400551472</v>
      </c>
      <c r="U363" s="26">
        <f t="shared" si="10"/>
        <v>20</v>
      </c>
    </row>
    <row r="364" spans="19:21" ht="14.65" thickBot="1" x14ac:dyDescent="0.5">
      <c r="S364" s="37">
        <f t="shared" si="11"/>
        <v>2116.3695545569867</v>
      </c>
      <c r="U364" s="26">
        <f t="shared" si="10"/>
        <v>20</v>
      </c>
    </row>
    <row r="365" spans="19:21" ht="14.65" thickBot="1" x14ac:dyDescent="0.5">
      <c r="S365" s="37">
        <f t="shared" si="11"/>
        <v>2137.5332501025564</v>
      </c>
      <c r="U365" s="26">
        <f t="shared" si="10"/>
        <v>20</v>
      </c>
    </row>
    <row r="366" spans="19:21" ht="14.65" thickBot="1" x14ac:dyDescent="0.5">
      <c r="S366" s="37">
        <f t="shared" si="11"/>
        <v>2158.9085826035821</v>
      </c>
      <c r="U366" s="26">
        <f t="shared" si="10"/>
        <v>20</v>
      </c>
    </row>
    <row r="367" spans="19:21" ht="14.65" thickBot="1" x14ac:dyDescent="0.5">
      <c r="S367" s="37">
        <f t="shared" si="11"/>
        <v>2180.497668429618</v>
      </c>
      <c r="U367" s="26">
        <f t="shared" si="10"/>
        <v>20</v>
      </c>
    </row>
    <row r="368" spans="19:21" ht="14.65" thickBot="1" x14ac:dyDescent="0.5">
      <c r="S368" s="37">
        <f t="shared" si="11"/>
        <v>2202.302645113914</v>
      </c>
      <c r="U368" s="26">
        <f t="shared" si="10"/>
        <v>20</v>
      </c>
    </row>
    <row r="369" spans="19:21" ht="14.65" thickBot="1" x14ac:dyDescent="0.5">
      <c r="S369" s="37">
        <f t="shared" si="11"/>
        <v>2224.3256715650532</v>
      </c>
      <c r="U369" s="26">
        <f t="shared" si="10"/>
        <v>20</v>
      </c>
    </row>
    <row r="370" spans="19:21" ht="14.65" thickBot="1" x14ac:dyDescent="0.5">
      <c r="S370" s="37">
        <f t="shared" si="11"/>
        <v>2246.5689282807039</v>
      </c>
      <c r="U370" s="26">
        <f t="shared" si="10"/>
        <v>20</v>
      </c>
    </row>
    <row r="371" spans="19:21" ht="14.65" thickBot="1" x14ac:dyDescent="0.5">
      <c r="S371" s="37">
        <f t="shared" si="11"/>
        <v>2269.0346175635109</v>
      </c>
      <c r="U371" s="26">
        <f t="shared" si="10"/>
        <v>20</v>
      </c>
    </row>
    <row r="372" spans="19:21" ht="14.65" thickBot="1" x14ac:dyDescent="0.5">
      <c r="S372" s="37">
        <f t="shared" si="11"/>
        <v>2291.724963739146</v>
      </c>
      <c r="U372" s="26">
        <f t="shared" si="10"/>
        <v>20</v>
      </c>
    </row>
    <row r="373" spans="19:21" ht="14.65" thickBot="1" x14ac:dyDescent="0.5">
      <c r="S373" s="37">
        <f t="shared" si="11"/>
        <v>2314.6422133765377</v>
      </c>
      <c r="U373" s="26">
        <f t="shared" si="10"/>
        <v>20</v>
      </c>
    </row>
    <row r="374" spans="19:21" ht="14.65" thickBot="1" x14ac:dyDescent="0.5">
      <c r="S374" s="37">
        <f t="shared" si="11"/>
        <v>2337.7886355103033</v>
      </c>
      <c r="U374" s="26">
        <f t="shared" si="10"/>
        <v>20</v>
      </c>
    </row>
    <row r="375" spans="19:21" ht="14.65" thickBot="1" x14ac:dyDescent="0.5">
      <c r="S375" s="37">
        <f t="shared" si="11"/>
        <v>2361.1665218654061</v>
      </c>
      <c r="U375" s="26">
        <f t="shared" si="10"/>
        <v>20</v>
      </c>
    </row>
    <row r="376" spans="19:21" ht="14.65" thickBot="1" x14ac:dyDescent="0.5">
      <c r="S376" s="37">
        <f t="shared" si="11"/>
        <v>2384.7781870840604</v>
      </c>
      <c r="U376" s="26">
        <f t="shared" si="10"/>
        <v>20</v>
      </c>
    </row>
    <row r="377" spans="19:21" ht="14.65" thickBot="1" x14ac:dyDescent="0.5">
      <c r="S377" s="37">
        <f t="shared" si="11"/>
        <v>2408.6259689549011</v>
      </c>
      <c r="U377" s="26">
        <f t="shared" si="10"/>
        <v>20</v>
      </c>
    </row>
    <row r="378" spans="19:21" ht="14.65" thickBot="1" x14ac:dyDescent="0.5">
      <c r="S378" s="37">
        <f t="shared" si="11"/>
        <v>2432.7122286444501</v>
      </c>
      <c r="U378" s="26">
        <f t="shared" si="10"/>
        <v>20</v>
      </c>
    </row>
    <row r="379" spans="19:21" ht="14.65" thickBot="1" x14ac:dyDescent="0.5">
      <c r="S379" s="37">
        <f t="shared" si="11"/>
        <v>2457.0393509308947</v>
      </c>
      <c r="U379" s="26">
        <f t="shared" si="10"/>
        <v>20</v>
      </c>
    </row>
    <row r="380" spans="19:21" ht="14.65" thickBot="1" x14ac:dyDescent="0.5">
      <c r="S380" s="37">
        <f t="shared" si="11"/>
        <v>2481.6097444402035</v>
      </c>
      <c r="U380" s="26">
        <f t="shared" si="10"/>
        <v>20</v>
      </c>
    </row>
    <row r="381" spans="19:21" ht="14.65" thickBot="1" x14ac:dyDescent="0.5">
      <c r="S381" s="37">
        <f t="shared" si="11"/>
        <v>2506.4258418846057</v>
      </c>
      <c r="U381" s="26">
        <f t="shared" si="10"/>
        <v>20</v>
      </c>
    </row>
    <row r="382" spans="19:21" ht="14.65" thickBot="1" x14ac:dyDescent="0.5">
      <c r="S382" s="37">
        <f t="shared" si="11"/>
        <v>2531.490100303452</v>
      </c>
      <c r="U382" s="26">
        <f t="shared" si="10"/>
        <v>20</v>
      </c>
    </row>
    <row r="383" spans="19:21" ht="14.65" thickBot="1" x14ac:dyDescent="0.5">
      <c r="S383" s="37">
        <f t="shared" si="11"/>
        <v>2556.8050013064867</v>
      </c>
      <c r="U383" s="26">
        <f t="shared" si="10"/>
        <v>20</v>
      </c>
    </row>
    <row r="384" spans="19:21" ht="14.65" thickBot="1" x14ac:dyDescent="0.5">
      <c r="S384" s="37">
        <f t="shared" si="11"/>
        <v>2582.3730513195515</v>
      </c>
      <c r="U384" s="26">
        <f t="shared" si="10"/>
        <v>20</v>
      </c>
    </row>
    <row r="385" spans="19:21" ht="14.65" thickBot="1" x14ac:dyDescent="0.5">
      <c r="S385" s="37">
        <f t="shared" si="11"/>
        <v>2608.1967818327471</v>
      </c>
      <c r="U385" s="26">
        <f t="shared" si="10"/>
        <v>20</v>
      </c>
    </row>
    <row r="386" spans="19:21" ht="14.65" thickBot="1" x14ac:dyDescent="0.5">
      <c r="S386" s="37">
        <f t="shared" si="11"/>
        <v>2634.2787496510746</v>
      </c>
      <c r="U386" s="26">
        <f t="shared" si="10"/>
        <v>20</v>
      </c>
    </row>
    <row r="387" spans="19:21" ht="14.65" thickBot="1" x14ac:dyDescent="0.5">
      <c r="S387" s="37">
        <f t="shared" si="11"/>
        <v>2660.6215371475855</v>
      </c>
      <c r="U387" s="26">
        <f t="shared" si="10"/>
        <v>20</v>
      </c>
    </row>
    <row r="388" spans="19:21" ht="14.65" thickBot="1" x14ac:dyDescent="0.5">
      <c r="S388" s="37">
        <f t="shared" si="11"/>
        <v>2687.2277525190616</v>
      </c>
      <c r="U388" s="26">
        <f t="shared" si="10"/>
        <v>20</v>
      </c>
    </row>
    <row r="389" spans="19:21" ht="14.65" thickBot="1" x14ac:dyDescent="0.5">
      <c r="S389" s="37">
        <f t="shared" si="11"/>
        <v>2714.1000300442524</v>
      </c>
      <c r="U389" s="26">
        <f t="shared" si="10"/>
        <v>20</v>
      </c>
    </row>
    <row r="390" spans="19:21" ht="14.65" thickBot="1" x14ac:dyDescent="0.5">
      <c r="S390" s="37">
        <f t="shared" si="11"/>
        <v>2741.241030344695</v>
      </c>
      <c r="U390" s="26">
        <f t="shared" si="10"/>
        <v>20</v>
      </c>
    </row>
    <row r="391" spans="19:21" ht="14.65" thickBot="1" x14ac:dyDescent="0.5">
      <c r="S391" s="37">
        <f t="shared" si="11"/>
        <v>2768.6534406481419</v>
      </c>
      <c r="U391" s="26">
        <f t="shared" si="10"/>
        <v>20</v>
      </c>
    </row>
    <row r="392" spans="19:21" ht="14.65" thickBot="1" x14ac:dyDescent="0.5">
      <c r="S392" s="37">
        <f t="shared" si="11"/>
        <v>2796.3399750546232</v>
      </c>
      <c r="U392" s="26">
        <f t="shared" si="10"/>
        <v>20</v>
      </c>
    </row>
    <row r="393" spans="19:21" ht="14.65" thickBot="1" x14ac:dyDescent="0.5">
      <c r="S393" s="37">
        <f t="shared" si="11"/>
        <v>2824.3033748051694</v>
      </c>
      <c r="U393" s="26">
        <f t="shared" si="10"/>
        <v>20</v>
      </c>
    </row>
    <row r="394" spans="19:21" ht="14.65" thickBot="1" x14ac:dyDescent="0.5">
      <c r="S394" s="37">
        <f t="shared" si="11"/>
        <v>2852.5464085532212</v>
      </c>
      <c r="U394" s="26">
        <f t="shared" si="10"/>
        <v>20</v>
      </c>
    </row>
    <row r="395" spans="19:21" ht="14.65" thickBot="1" x14ac:dyDescent="0.5">
      <c r="S395" s="37">
        <f t="shared" si="11"/>
        <v>2881.0718726387536</v>
      </c>
      <c r="U395" s="26">
        <f t="shared" si="10"/>
        <v>20</v>
      </c>
    </row>
    <row r="396" spans="19:21" ht="14.65" thickBot="1" x14ac:dyDescent="0.5">
      <c r="S396" s="37">
        <f t="shared" si="11"/>
        <v>2909.8825913651413</v>
      </c>
      <c r="U396" s="26">
        <f t="shared" si="10"/>
        <v>20</v>
      </c>
    </row>
    <row r="397" spans="19:21" ht="14.65" thickBot="1" x14ac:dyDescent="0.5">
      <c r="S397" s="37">
        <f t="shared" si="11"/>
        <v>2938.9814172787928</v>
      </c>
      <c r="U397" s="26">
        <f t="shared" si="10"/>
        <v>20</v>
      </c>
    </row>
    <row r="398" spans="19:21" ht="14.65" thickBot="1" x14ac:dyDescent="0.5">
      <c r="S398" s="37">
        <f t="shared" si="11"/>
        <v>2968.3712314515806</v>
      </c>
      <c r="U398" s="26">
        <f t="shared" si="10"/>
        <v>20</v>
      </c>
    </row>
    <row r="399" spans="19:21" ht="14.65" thickBot="1" x14ac:dyDescent="0.5">
      <c r="S399" s="37">
        <f t="shared" si="11"/>
        <v>2998.0549437660966</v>
      </c>
      <c r="U399" s="26">
        <f t="shared" si="10"/>
        <v>20</v>
      </c>
    </row>
    <row r="400" spans="19:21" ht="14.65" thickBot="1" x14ac:dyDescent="0.5">
      <c r="S400" s="37">
        <f t="shared" si="11"/>
        <v>3028.0354932037576</v>
      </c>
      <c r="U400" s="26">
        <f t="shared" si="10"/>
        <v>20</v>
      </c>
    </row>
    <row r="401" spans="19:21" ht="14.65" thickBot="1" x14ac:dyDescent="0.5">
      <c r="S401" s="37">
        <f t="shared" si="11"/>
        <v>3058.315848135795</v>
      </c>
      <c r="U401" s="26">
        <f t="shared" si="10"/>
        <v>20</v>
      </c>
    </row>
    <row r="402" spans="19:21" ht="14.65" thickBot="1" x14ac:dyDescent="0.5">
      <c r="S402" s="37">
        <f t="shared" si="11"/>
        <v>3088.8990066171532</v>
      </c>
      <c r="U402" s="26">
        <f t="shared" ref="U402:U465" si="12">IF(S402&lt;$D$8,S402-$D$7+$D$9,$D$8-$D$7+$D$9)</f>
        <v>20</v>
      </c>
    </row>
    <row r="403" spans="19:21" ht="14.65" thickBot="1" x14ac:dyDescent="0.5">
      <c r="S403" s="37">
        <f t="shared" ref="S403:S466" si="13">S402*(1.01)</f>
        <v>3119.7879966833248</v>
      </c>
      <c r="U403" s="26">
        <f t="shared" si="12"/>
        <v>20</v>
      </c>
    </row>
    <row r="404" spans="19:21" ht="14.65" thickBot="1" x14ac:dyDescent="0.5">
      <c r="S404" s="37">
        <f t="shared" si="13"/>
        <v>3150.9858766501579</v>
      </c>
      <c r="U404" s="26">
        <f t="shared" si="12"/>
        <v>20</v>
      </c>
    </row>
    <row r="405" spans="19:21" ht="14.65" thickBot="1" x14ac:dyDescent="0.5">
      <c r="S405" s="37">
        <f t="shared" si="13"/>
        <v>3182.4957354166595</v>
      </c>
      <c r="U405" s="26">
        <f t="shared" si="12"/>
        <v>20</v>
      </c>
    </row>
    <row r="406" spans="19:21" ht="14.65" thickBot="1" x14ac:dyDescent="0.5">
      <c r="S406" s="37">
        <f t="shared" si="13"/>
        <v>3214.3206927708261</v>
      </c>
      <c r="U406" s="26">
        <f t="shared" si="12"/>
        <v>20</v>
      </c>
    </row>
    <row r="407" spans="19:21" ht="14.65" thickBot="1" x14ac:dyDescent="0.5">
      <c r="S407" s="37">
        <f t="shared" si="13"/>
        <v>3246.4638996985345</v>
      </c>
      <c r="U407" s="26">
        <f t="shared" si="12"/>
        <v>20</v>
      </c>
    </row>
    <row r="408" spans="19:21" ht="14.65" thickBot="1" x14ac:dyDescent="0.5">
      <c r="S408" s="37">
        <f t="shared" si="13"/>
        <v>3278.9285386955198</v>
      </c>
      <c r="U408" s="26">
        <f t="shared" si="12"/>
        <v>20</v>
      </c>
    </row>
    <row r="409" spans="19:21" ht="14.65" thickBot="1" x14ac:dyDescent="0.5">
      <c r="S409" s="37">
        <f t="shared" si="13"/>
        <v>3311.7178240824751</v>
      </c>
      <c r="U409" s="26">
        <f t="shared" si="12"/>
        <v>20</v>
      </c>
    </row>
    <row r="410" spans="19:21" ht="14.65" thickBot="1" x14ac:dyDescent="0.5">
      <c r="S410" s="37">
        <f t="shared" si="13"/>
        <v>3344.8350023232997</v>
      </c>
      <c r="U410" s="26">
        <f t="shared" si="12"/>
        <v>20</v>
      </c>
    </row>
    <row r="411" spans="19:21" ht="14.65" thickBot="1" x14ac:dyDescent="0.5">
      <c r="S411" s="37">
        <f t="shared" si="13"/>
        <v>3378.2833523465329</v>
      </c>
      <c r="U411" s="26">
        <f t="shared" si="12"/>
        <v>20</v>
      </c>
    </row>
    <row r="412" spans="19:21" ht="14.65" thickBot="1" x14ac:dyDescent="0.5">
      <c r="S412" s="37">
        <f t="shared" si="13"/>
        <v>3412.0661858699982</v>
      </c>
      <c r="U412" s="26">
        <f t="shared" si="12"/>
        <v>20</v>
      </c>
    </row>
    <row r="413" spans="19:21" ht="14.65" thickBot="1" x14ac:dyDescent="0.5">
      <c r="S413" s="37">
        <f t="shared" si="13"/>
        <v>3446.186847728698</v>
      </c>
      <c r="U413" s="26">
        <f t="shared" si="12"/>
        <v>20</v>
      </c>
    </row>
    <row r="414" spans="19:21" ht="14.65" thickBot="1" x14ac:dyDescent="0.5">
      <c r="S414" s="37">
        <f t="shared" si="13"/>
        <v>3480.6487162059852</v>
      </c>
      <c r="U414" s="26">
        <f t="shared" si="12"/>
        <v>20</v>
      </c>
    </row>
    <row r="415" spans="19:21" ht="14.65" thickBot="1" x14ac:dyDescent="0.5">
      <c r="S415" s="37">
        <f t="shared" si="13"/>
        <v>3515.4552033680452</v>
      </c>
      <c r="U415" s="26">
        <f t="shared" si="12"/>
        <v>20</v>
      </c>
    </row>
    <row r="416" spans="19:21" ht="14.65" thickBot="1" x14ac:dyDescent="0.5">
      <c r="S416" s="37">
        <f t="shared" si="13"/>
        <v>3550.6097554017256</v>
      </c>
      <c r="U416" s="26">
        <f t="shared" si="12"/>
        <v>20</v>
      </c>
    </row>
    <row r="417" spans="19:21" ht="14.65" thickBot="1" x14ac:dyDescent="0.5">
      <c r="S417" s="37">
        <f t="shared" si="13"/>
        <v>3586.1158529557429</v>
      </c>
      <c r="U417" s="26">
        <f t="shared" si="12"/>
        <v>20</v>
      </c>
    </row>
    <row r="418" spans="19:21" ht="14.65" thickBot="1" x14ac:dyDescent="0.5">
      <c r="S418" s="37">
        <f t="shared" si="13"/>
        <v>3621.9770114853004</v>
      </c>
      <c r="U418" s="26">
        <f t="shared" si="12"/>
        <v>20</v>
      </c>
    </row>
    <row r="419" spans="19:21" ht="14.65" thickBot="1" x14ac:dyDescent="0.5">
      <c r="S419" s="37">
        <f t="shared" si="13"/>
        <v>3658.1967816001534</v>
      </c>
      <c r="U419" s="26">
        <f t="shared" si="12"/>
        <v>20</v>
      </c>
    </row>
    <row r="420" spans="19:21" ht="14.65" thickBot="1" x14ac:dyDescent="0.5">
      <c r="S420" s="37">
        <f t="shared" si="13"/>
        <v>3694.7787494161548</v>
      </c>
      <c r="U420" s="26">
        <f t="shared" si="12"/>
        <v>20</v>
      </c>
    </row>
    <row r="421" spans="19:21" ht="14.65" thickBot="1" x14ac:dyDescent="0.5">
      <c r="S421" s="37">
        <f t="shared" si="13"/>
        <v>3731.7265369103166</v>
      </c>
      <c r="U421" s="26">
        <f t="shared" si="12"/>
        <v>20</v>
      </c>
    </row>
    <row r="422" spans="19:21" ht="14.65" thickBot="1" x14ac:dyDescent="0.5">
      <c r="S422" s="37">
        <f t="shared" si="13"/>
        <v>3769.0438022794197</v>
      </c>
      <c r="U422" s="26">
        <f t="shared" si="12"/>
        <v>20</v>
      </c>
    </row>
    <row r="423" spans="19:21" ht="14.65" thickBot="1" x14ac:dyDescent="0.5">
      <c r="S423" s="37">
        <f t="shared" si="13"/>
        <v>3806.7342403022139</v>
      </c>
      <c r="U423" s="26">
        <f t="shared" si="12"/>
        <v>20</v>
      </c>
    </row>
    <row r="424" spans="19:21" ht="14.65" thickBot="1" x14ac:dyDescent="0.5">
      <c r="S424" s="37">
        <f t="shared" si="13"/>
        <v>3844.8015827052363</v>
      </c>
      <c r="U424" s="26">
        <f t="shared" si="12"/>
        <v>20</v>
      </c>
    </row>
    <row r="425" spans="19:21" ht="14.65" thickBot="1" x14ac:dyDescent="0.5">
      <c r="S425" s="37">
        <f t="shared" si="13"/>
        <v>3883.2495985322889</v>
      </c>
      <c r="U425" s="26">
        <f t="shared" si="12"/>
        <v>20</v>
      </c>
    </row>
    <row r="426" spans="19:21" ht="14.65" thickBot="1" x14ac:dyDescent="0.5">
      <c r="S426" s="37">
        <f t="shared" si="13"/>
        <v>3922.0820945176119</v>
      </c>
      <c r="U426" s="26">
        <f t="shared" si="12"/>
        <v>20</v>
      </c>
    </row>
    <row r="427" spans="19:21" ht="14.65" thickBot="1" x14ac:dyDescent="0.5">
      <c r="S427" s="37">
        <f t="shared" si="13"/>
        <v>3961.302915462788</v>
      </c>
      <c r="U427" s="26">
        <f t="shared" si="12"/>
        <v>20</v>
      </c>
    </row>
    <row r="428" spans="19:21" ht="14.65" thickBot="1" x14ac:dyDescent="0.5">
      <c r="S428" s="37">
        <f t="shared" si="13"/>
        <v>4000.9159446174158</v>
      </c>
      <c r="U428" s="26">
        <f t="shared" si="12"/>
        <v>20</v>
      </c>
    </row>
    <row r="429" spans="19:21" ht="14.65" thickBot="1" x14ac:dyDescent="0.5">
      <c r="S429" s="37">
        <f t="shared" si="13"/>
        <v>4040.92510406359</v>
      </c>
      <c r="U429" s="26">
        <f t="shared" si="12"/>
        <v>20</v>
      </c>
    </row>
    <row r="430" spans="19:21" ht="14.65" thickBot="1" x14ac:dyDescent="0.5">
      <c r="S430" s="37">
        <f t="shared" si="13"/>
        <v>4081.3343551042258</v>
      </c>
      <c r="U430" s="26">
        <f t="shared" si="12"/>
        <v>20</v>
      </c>
    </row>
    <row r="431" spans="19:21" ht="14.65" thickBot="1" x14ac:dyDescent="0.5">
      <c r="S431" s="37">
        <f t="shared" si="13"/>
        <v>4122.147698655268</v>
      </c>
      <c r="U431" s="26">
        <f t="shared" si="12"/>
        <v>20</v>
      </c>
    </row>
    <row r="432" spans="19:21" ht="14.65" thickBot="1" x14ac:dyDescent="0.5">
      <c r="S432" s="37">
        <f t="shared" si="13"/>
        <v>4163.3691756418211</v>
      </c>
      <c r="U432" s="26">
        <f t="shared" si="12"/>
        <v>20</v>
      </c>
    </row>
    <row r="433" spans="19:21" ht="14.65" thickBot="1" x14ac:dyDescent="0.5">
      <c r="S433" s="37">
        <f t="shared" si="13"/>
        <v>4205.0028673982397</v>
      </c>
      <c r="U433" s="26">
        <f t="shared" si="12"/>
        <v>20</v>
      </c>
    </row>
    <row r="434" spans="19:21" ht="14.65" thickBot="1" x14ac:dyDescent="0.5">
      <c r="S434" s="37">
        <f t="shared" si="13"/>
        <v>4247.0528960722222</v>
      </c>
      <c r="U434" s="26">
        <f t="shared" si="12"/>
        <v>20</v>
      </c>
    </row>
    <row r="435" spans="19:21" ht="14.65" thickBot="1" x14ac:dyDescent="0.5">
      <c r="S435" s="37">
        <f t="shared" si="13"/>
        <v>4289.523425032944</v>
      </c>
      <c r="U435" s="26">
        <f t="shared" si="12"/>
        <v>20</v>
      </c>
    </row>
    <row r="436" spans="19:21" ht="14.65" thickBot="1" x14ac:dyDescent="0.5">
      <c r="S436" s="37">
        <f t="shared" si="13"/>
        <v>4332.4186592832739</v>
      </c>
      <c r="U436" s="26">
        <f t="shared" si="12"/>
        <v>20</v>
      </c>
    </row>
    <row r="437" spans="19:21" ht="14.65" thickBot="1" x14ac:dyDescent="0.5">
      <c r="S437" s="37">
        <f t="shared" si="13"/>
        <v>4375.7428458761069</v>
      </c>
      <c r="U437" s="26">
        <f t="shared" si="12"/>
        <v>20</v>
      </c>
    </row>
    <row r="438" spans="19:21" ht="14.65" thickBot="1" x14ac:dyDescent="0.5">
      <c r="S438" s="37">
        <f t="shared" si="13"/>
        <v>4419.5002743348678</v>
      </c>
      <c r="U438" s="26">
        <f t="shared" si="12"/>
        <v>20</v>
      </c>
    </row>
    <row r="439" spans="19:21" ht="14.65" thickBot="1" x14ac:dyDescent="0.5">
      <c r="S439" s="37">
        <f t="shared" si="13"/>
        <v>4463.6952770782163</v>
      </c>
      <c r="U439" s="26">
        <f t="shared" si="12"/>
        <v>20</v>
      </c>
    </row>
    <row r="440" spans="19:21" ht="14.65" thickBot="1" x14ac:dyDescent="0.5">
      <c r="S440" s="37">
        <f t="shared" si="13"/>
        <v>4508.3322298489984</v>
      </c>
      <c r="U440" s="26">
        <f t="shared" si="12"/>
        <v>20</v>
      </c>
    </row>
    <row r="441" spans="19:21" ht="14.65" thickBot="1" x14ac:dyDescent="0.5">
      <c r="S441" s="37">
        <f t="shared" si="13"/>
        <v>4553.4155521474886</v>
      </c>
      <c r="U441" s="26">
        <f t="shared" si="12"/>
        <v>20</v>
      </c>
    </row>
    <row r="442" spans="19:21" ht="14.65" thickBot="1" x14ac:dyDescent="0.5">
      <c r="S442" s="37">
        <f t="shared" si="13"/>
        <v>4598.9497076689631</v>
      </c>
      <c r="U442" s="26">
        <f t="shared" si="12"/>
        <v>20</v>
      </c>
    </row>
    <row r="443" spans="19:21" ht="14.65" thickBot="1" x14ac:dyDescent="0.5">
      <c r="S443" s="37">
        <f t="shared" si="13"/>
        <v>4644.9392047456531</v>
      </c>
      <c r="U443" s="26">
        <f t="shared" si="12"/>
        <v>20</v>
      </c>
    </row>
    <row r="444" spans="19:21" ht="14.65" thickBot="1" x14ac:dyDescent="0.5">
      <c r="S444" s="37">
        <f t="shared" si="13"/>
        <v>4691.3885967931101</v>
      </c>
      <c r="U444" s="26">
        <f t="shared" si="12"/>
        <v>20</v>
      </c>
    </row>
    <row r="445" spans="19:21" ht="14.65" thickBot="1" x14ac:dyDescent="0.5">
      <c r="S445" s="37">
        <f t="shared" si="13"/>
        <v>4738.3024827610416</v>
      </c>
      <c r="U445" s="26">
        <f t="shared" si="12"/>
        <v>20</v>
      </c>
    </row>
    <row r="446" spans="19:21" ht="14.65" thickBot="1" x14ac:dyDescent="0.5">
      <c r="S446" s="37">
        <f t="shared" si="13"/>
        <v>4785.6855075886524</v>
      </c>
      <c r="U446" s="26">
        <f t="shared" si="12"/>
        <v>20</v>
      </c>
    </row>
    <row r="447" spans="19:21" ht="14.65" thickBot="1" x14ac:dyDescent="0.5">
      <c r="S447" s="37">
        <f t="shared" si="13"/>
        <v>4833.5423626645388</v>
      </c>
      <c r="U447" s="26">
        <f t="shared" si="12"/>
        <v>20</v>
      </c>
    </row>
    <row r="448" spans="19:21" ht="14.65" thickBot="1" x14ac:dyDescent="0.5">
      <c r="S448" s="37">
        <f t="shared" si="13"/>
        <v>4881.8777862911838</v>
      </c>
      <c r="U448" s="26">
        <f t="shared" si="12"/>
        <v>20</v>
      </c>
    </row>
    <row r="449" spans="19:21" ht="14.65" thickBot="1" x14ac:dyDescent="0.5">
      <c r="S449" s="37">
        <f t="shared" si="13"/>
        <v>4930.6965641540955</v>
      </c>
      <c r="U449" s="26">
        <f t="shared" si="12"/>
        <v>20</v>
      </c>
    </row>
    <row r="450" spans="19:21" ht="14.65" thickBot="1" x14ac:dyDescent="0.5">
      <c r="S450" s="37">
        <f t="shared" si="13"/>
        <v>4980.0035297956365</v>
      </c>
      <c r="U450" s="26">
        <f t="shared" si="12"/>
        <v>20</v>
      </c>
    </row>
    <row r="451" spans="19:21" ht="14.65" thickBot="1" x14ac:dyDescent="0.5">
      <c r="S451" s="37">
        <f t="shared" si="13"/>
        <v>5029.8035650935926</v>
      </c>
      <c r="U451" s="26">
        <f t="shared" si="12"/>
        <v>20</v>
      </c>
    </row>
    <row r="452" spans="19:21" ht="14.65" thickBot="1" x14ac:dyDescent="0.5">
      <c r="S452" s="37">
        <f t="shared" si="13"/>
        <v>5080.1016007445287</v>
      </c>
      <c r="U452" s="26">
        <f t="shared" si="12"/>
        <v>20</v>
      </c>
    </row>
    <row r="453" spans="19:21" ht="14.65" thickBot="1" x14ac:dyDescent="0.5">
      <c r="S453" s="37">
        <f t="shared" si="13"/>
        <v>5130.9026167519742</v>
      </c>
      <c r="U453" s="26">
        <f t="shared" si="12"/>
        <v>20</v>
      </c>
    </row>
    <row r="454" spans="19:21" ht="14.65" thickBot="1" x14ac:dyDescent="0.5">
      <c r="S454" s="37">
        <f t="shared" si="13"/>
        <v>5182.2116429194939</v>
      </c>
      <c r="U454" s="26">
        <f t="shared" si="12"/>
        <v>20</v>
      </c>
    </row>
    <row r="455" spans="19:21" ht="14.65" thickBot="1" x14ac:dyDescent="0.5">
      <c r="S455" s="37">
        <f t="shared" si="13"/>
        <v>5234.0337593486893</v>
      </c>
      <c r="U455" s="26">
        <f t="shared" si="12"/>
        <v>20</v>
      </c>
    </row>
    <row r="456" spans="19:21" ht="14.65" thickBot="1" x14ac:dyDescent="0.5">
      <c r="S456" s="37">
        <f t="shared" si="13"/>
        <v>5286.374096942176</v>
      </c>
      <c r="U456" s="26">
        <f t="shared" si="12"/>
        <v>20</v>
      </c>
    </row>
    <row r="457" spans="19:21" ht="14.65" thickBot="1" x14ac:dyDescent="0.5">
      <c r="S457" s="37">
        <f t="shared" si="13"/>
        <v>5339.237837911598</v>
      </c>
      <c r="U457" s="26">
        <f t="shared" si="12"/>
        <v>20</v>
      </c>
    </row>
    <row r="458" spans="19:21" ht="14.65" thickBot="1" x14ac:dyDescent="0.5">
      <c r="S458" s="37">
        <f t="shared" si="13"/>
        <v>5392.6302162907141</v>
      </c>
      <c r="U458" s="26">
        <f t="shared" si="12"/>
        <v>20</v>
      </c>
    </row>
    <row r="459" spans="19:21" ht="14.65" thickBot="1" x14ac:dyDescent="0.5">
      <c r="S459" s="37">
        <f t="shared" si="13"/>
        <v>5446.5565184536217</v>
      </c>
      <c r="U459" s="26">
        <f t="shared" si="12"/>
        <v>20</v>
      </c>
    </row>
    <row r="460" spans="19:21" ht="14.65" thickBot="1" x14ac:dyDescent="0.5">
      <c r="S460" s="37">
        <f t="shared" si="13"/>
        <v>5501.0220836381577</v>
      </c>
      <c r="U460" s="26">
        <f t="shared" si="12"/>
        <v>20</v>
      </c>
    </row>
    <row r="461" spans="19:21" ht="14.65" thickBot="1" x14ac:dyDescent="0.5">
      <c r="S461" s="37">
        <f t="shared" si="13"/>
        <v>5556.0323044745392</v>
      </c>
      <c r="U461" s="26">
        <f t="shared" si="12"/>
        <v>20</v>
      </c>
    </row>
    <row r="462" spans="19:21" ht="14.65" thickBot="1" x14ac:dyDescent="0.5">
      <c r="S462" s="37">
        <f t="shared" si="13"/>
        <v>5611.5926275192842</v>
      </c>
      <c r="U462" s="26">
        <f t="shared" si="12"/>
        <v>20</v>
      </c>
    </row>
    <row r="463" spans="19:21" ht="14.65" thickBot="1" x14ac:dyDescent="0.5">
      <c r="S463" s="37">
        <f t="shared" si="13"/>
        <v>5667.7085537944768</v>
      </c>
      <c r="U463" s="26">
        <f t="shared" si="12"/>
        <v>20</v>
      </c>
    </row>
    <row r="464" spans="19:21" ht="14.65" thickBot="1" x14ac:dyDescent="0.5">
      <c r="S464" s="37">
        <f t="shared" si="13"/>
        <v>5724.3856393324213</v>
      </c>
      <c r="U464" s="26">
        <f t="shared" si="12"/>
        <v>20</v>
      </c>
    </row>
    <row r="465" spans="19:21" ht="14.65" thickBot="1" x14ac:dyDescent="0.5">
      <c r="S465" s="37">
        <f t="shared" si="13"/>
        <v>5781.629495725746</v>
      </c>
      <c r="U465" s="26">
        <f t="shared" si="12"/>
        <v>20</v>
      </c>
    </row>
    <row r="466" spans="19:21" ht="14.65" thickBot="1" x14ac:dyDescent="0.5">
      <c r="S466" s="37">
        <f t="shared" si="13"/>
        <v>5839.4457906830039</v>
      </c>
      <c r="U466" s="26">
        <f t="shared" ref="U466:U529" si="14">IF(S466&lt;$D$8,S466-$D$7+$D$9,$D$8-$D$7+$D$9)</f>
        <v>20</v>
      </c>
    </row>
    <row r="467" spans="19:21" ht="14.65" thickBot="1" x14ac:dyDescent="0.5">
      <c r="S467" s="37">
        <f t="shared" ref="S467:S530" si="15">S466*(1.01)</f>
        <v>5897.8402485898341</v>
      </c>
      <c r="U467" s="26">
        <f t="shared" si="14"/>
        <v>20</v>
      </c>
    </row>
    <row r="468" spans="19:21" ht="14.65" thickBot="1" x14ac:dyDescent="0.5">
      <c r="S468" s="37">
        <f t="shared" si="15"/>
        <v>5956.8186510757323</v>
      </c>
      <c r="U468" s="26">
        <f t="shared" si="14"/>
        <v>20</v>
      </c>
    </row>
    <row r="469" spans="19:21" ht="14.65" thickBot="1" x14ac:dyDescent="0.5">
      <c r="S469" s="37">
        <f t="shared" si="15"/>
        <v>6016.3868375864895</v>
      </c>
      <c r="U469" s="26">
        <f t="shared" si="14"/>
        <v>20</v>
      </c>
    </row>
    <row r="470" spans="19:21" ht="14.65" thickBot="1" x14ac:dyDescent="0.5">
      <c r="S470" s="37">
        <f t="shared" si="15"/>
        <v>6076.5507059623542</v>
      </c>
      <c r="U470" s="26">
        <f t="shared" si="14"/>
        <v>20</v>
      </c>
    </row>
    <row r="471" spans="19:21" ht="14.65" thickBot="1" x14ac:dyDescent="0.5">
      <c r="S471" s="37">
        <f t="shared" si="15"/>
        <v>6137.316213021978</v>
      </c>
      <c r="U471" s="26">
        <f t="shared" si="14"/>
        <v>20</v>
      </c>
    </row>
    <row r="472" spans="19:21" ht="14.65" thickBot="1" x14ac:dyDescent="0.5">
      <c r="S472" s="37">
        <f t="shared" si="15"/>
        <v>6198.6893751521975</v>
      </c>
      <c r="U472" s="26">
        <f t="shared" si="14"/>
        <v>20</v>
      </c>
    </row>
    <row r="473" spans="19:21" ht="14.65" thickBot="1" x14ac:dyDescent="0.5">
      <c r="S473" s="37">
        <f t="shared" si="15"/>
        <v>6260.6762689037196</v>
      </c>
      <c r="U473" s="26">
        <f t="shared" si="14"/>
        <v>20</v>
      </c>
    </row>
    <row r="474" spans="19:21" ht="14.65" thickBot="1" x14ac:dyDescent="0.5">
      <c r="S474" s="37">
        <f t="shared" si="15"/>
        <v>6323.2830315927567</v>
      </c>
      <c r="U474" s="26">
        <f t="shared" si="14"/>
        <v>20</v>
      </c>
    </row>
    <row r="475" spans="19:21" ht="14.65" thickBot="1" x14ac:dyDescent="0.5">
      <c r="S475" s="37">
        <f t="shared" si="15"/>
        <v>6386.5158619086842</v>
      </c>
      <c r="U475" s="26">
        <f t="shared" si="14"/>
        <v>20</v>
      </c>
    </row>
    <row r="476" spans="19:21" ht="14.65" thickBot="1" x14ac:dyDescent="0.5">
      <c r="S476" s="37">
        <f t="shared" si="15"/>
        <v>6450.3810205277714</v>
      </c>
      <c r="U476" s="26">
        <f t="shared" si="14"/>
        <v>20</v>
      </c>
    </row>
    <row r="477" spans="19:21" ht="14.65" thickBot="1" x14ac:dyDescent="0.5">
      <c r="S477" s="37">
        <f t="shared" si="15"/>
        <v>6514.8848307330491</v>
      </c>
      <c r="U477" s="26">
        <f t="shared" si="14"/>
        <v>20</v>
      </c>
    </row>
    <row r="478" spans="19:21" ht="14.65" thickBot="1" x14ac:dyDescent="0.5">
      <c r="S478" s="37">
        <f t="shared" si="15"/>
        <v>6580.0336790403799</v>
      </c>
      <c r="U478" s="26">
        <f t="shared" si="14"/>
        <v>20</v>
      </c>
    </row>
    <row r="479" spans="19:21" ht="14.65" thickBot="1" x14ac:dyDescent="0.5">
      <c r="S479" s="37">
        <f t="shared" si="15"/>
        <v>6645.8340158307838</v>
      </c>
      <c r="U479" s="26">
        <f t="shared" si="14"/>
        <v>20</v>
      </c>
    </row>
    <row r="480" spans="19:21" ht="14.65" thickBot="1" x14ac:dyDescent="0.5">
      <c r="S480" s="37">
        <f t="shared" si="15"/>
        <v>6712.2923559890914</v>
      </c>
      <c r="U480" s="26">
        <f t="shared" si="14"/>
        <v>20</v>
      </c>
    </row>
    <row r="481" spans="19:21" ht="14.65" thickBot="1" x14ac:dyDescent="0.5">
      <c r="S481" s="37">
        <f t="shared" si="15"/>
        <v>6779.4152795489827</v>
      </c>
      <c r="U481" s="26">
        <f t="shared" si="14"/>
        <v>20</v>
      </c>
    </row>
    <row r="482" spans="19:21" ht="14.65" thickBot="1" x14ac:dyDescent="0.5">
      <c r="S482" s="37">
        <f t="shared" si="15"/>
        <v>6847.2094323444726</v>
      </c>
      <c r="U482" s="26">
        <f t="shared" si="14"/>
        <v>20</v>
      </c>
    </row>
    <row r="483" spans="19:21" ht="14.65" thickBot="1" x14ac:dyDescent="0.5">
      <c r="S483" s="37">
        <f t="shared" si="15"/>
        <v>6915.6815266679178</v>
      </c>
      <c r="U483" s="26">
        <f t="shared" si="14"/>
        <v>20</v>
      </c>
    </row>
    <row r="484" spans="19:21" ht="14.65" thickBot="1" x14ac:dyDescent="0.5">
      <c r="S484" s="37">
        <f t="shared" si="15"/>
        <v>6984.8383419345973</v>
      </c>
      <c r="U484" s="26">
        <f t="shared" si="14"/>
        <v>20</v>
      </c>
    </row>
    <row r="485" spans="19:21" ht="14.65" thickBot="1" x14ac:dyDescent="0.5">
      <c r="S485" s="37">
        <f t="shared" si="15"/>
        <v>7054.6867253539431</v>
      </c>
      <c r="U485" s="26">
        <f t="shared" si="14"/>
        <v>20</v>
      </c>
    </row>
    <row r="486" spans="19:21" ht="14.65" thickBot="1" x14ac:dyDescent="0.5">
      <c r="S486" s="37">
        <f t="shared" si="15"/>
        <v>7125.2335926074829</v>
      </c>
      <c r="U486" s="26">
        <f t="shared" si="14"/>
        <v>20</v>
      </c>
    </row>
    <row r="487" spans="19:21" ht="14.65" thickBot="1" x14ac:dyDescent="0.5">
      <c r="S487" s="37">
        <f t="shared" si="15"/>
        <v>7196.4859285335579</v>
      </c>
      <c r="U487" s="26">
        <f t="shared" si="14"/>
        <v>20</v>
      </c>
    </row>
    <row r="488" spans="19:21" ht="14.65" thickBot="1" x14ac:dyDescent="0.5">
      <c r="S488" s="37">
        <f t="shared" si="15"/>
        <v>7268.4507878188933</v>
      </c>
      <c r="U488" s="26">
        <f t="shared" si="14"/>
        <v>20</v>
      </c>
    </row>
    <row r="489" spans="19:21" ht="14.65" thickBot="1" x14ac:dyDescent="0.5">
      <c r="S489" s="37">
        <f t="shared" si="15"/>
        <v>7341.1352956970823</v>
      </c>
      <c r="U489" s="26">
        <f t="shared" si="14"/>
        <v>20</v>
      </c>
    </row>
    <row r="490" spans="19:21" ht="14.65" thickBot="1" x14ac:dyDescent="0.5">
      <c r="S490" s="37">
        <f t="shared" si="15"/>
        <v>7414.5466486540536</v>
      </c>
      <c r="U490" s="26">
        <f t="shared" si="14"/>
        <v>20</v>
      </c>
    </row>
    <row r="491" spans="19:21" ht="14.65" thickBot="1" x14ac:dyDescent="0.5">
      <c r="S491" s="37">
        <f t="shared" si="15"/>
        <v>7488.6921151405941</v>
      </c>
      <c r="U491" s="26">
        <f t="shared" si="14"/>
        <v>20</v>
      </c>
    </row>
    <row r="492" spans="19:21" ht="14.65" thickBot="1" x14ac:dyDescent="0.5">
      <c r="S492" s="37">
        <f t="shared" si="15"/>
        <v>7563.5790362919997</v>
      </c>
      <c r="U492" s="26">
        <f t="shared" si="14"/>
        <v>20</v>
      </c>
    </row>
    <row r="493" spans="19:21" ht="14.65" thickBot="1" x14ac:dyDescent="0.5">
      <c r="S493" s="37">
        <f t="shared" si="15"/>
        <v>7639.2148266549202</v>
      </c>
      <c r="U493" s="26">
        <f t="shared" si="14"/>
        <v>20</v>
      </c>
    </row>
    <row r="494" spans="19:21" ht="14.65" thickBot="1" x14ac:dyDescent="0.5">
      <c r="S494" s="37">
        <f t="shared" si="15"/>
        <v>7715.6069749214694</v>
      </c>
      <c r="U494" s="26">
        <f t="shared" si="14"/>
        <v>20</v>
      </c>
    </row>
    <row r="495" spans="19:21" ht="14.65" thickBot="1" x14ac:dyDescent="0.5">
      <c r="S495" s="37">
        <f t="shared" si="15"/>
        <v>7792.7630446706844</v>
      </c>
      <c r="U495" s="26">
        <f t="shared" si="14"/>
        <v>20</v>
      </c>
    </row>
    <row r="496" spans="19:21" ht="14.65" thickBot="1" x14ac:dyDescent="0.5">
      <c r="S496" s="37">
        <f t="shared" si="15"/>
        <v>7870.690675117391</v>
      </c>
      <c r="U496" s="26">
        <f t="shared" si="14"/>
        <v>20</v>
      </c>
    </row>
    <row r="497" spans="19:21" ht="14.65" thickBot="1" x14ac:dyDescent="0.5">
      <c r="S497" s="37">
        <f t="shared" si="15"/>
        <v>7949.3975818685649</v>
      </c>
      <c r="U497" s="26">
        <f t="shared" si="14"/>
        <v>20</v>
      </c>
    </row>
    <row r="498" spans="19:21" ht="14.65" thickBot="1" x14ac:dyDescent="0.5">
      <c r="S498" s="37">
        <f t="shared" si="15"/>
        <v>8028.8915576872505</v>
      </c>
      <c r="U498" s="26">
        <f t="shared" si="14"/>
        <v>20</v>
      </c>
    </row>
    <row r="499" spans="19:21" ht="14.65" thickBot="1" x14ac:dyDescent="0.5">
      <c r="S499" s="37">
        <f t="shared" si="15"/>
        <v>8109.1804732641231</v>
      </c>
      <c r="U499" s="26">
        <f t="shared" si="14"/>
        <v>20</v>
      </c>
    </row>
    <row r="500" spans="19:21" ht="14.65" thickBot="1" x14ac:dyDescent="0.5">
      <c r="S500" s="37">
        <f t="shared" si="15"/>
        <v>8190.2722779967644</v>
      </c>
      <c r="U500" s="26">
        <f t="shared" si="14"/>
        <v>20</v>
      </c>
    </row>
    <row r="501" spans="19:21" ht="14.65" thickBot="1" x14ac:dyDescent="0.5">
      <c r="S501" s="37">
        <f t="shared" si="15"/>
        <v>8272.1750007767314</v>
      </c>
      <c r="U501" s="26">
        <f t="shared" si="14"/>
        <v>20</v>
      </c>
    </row>
    <row r="502" spans="19:21" ht="14.65" thickBot="1" x14ac:dyDescent="0.5">
      <c r="S502" s="37">
        <f t="shared" si="15"/>
        <v>8354.8967507844991</v>
      </c>
      <c r="U502" s="26">
        <f t="shared" si="14"/>
        <v>20</v>
      </c>
    </row>
    <row r="503" spans="19:21" ht="14.65" thickBot="1" x14ac:dyDescent="0.5">
      <c r="S503" s="37">
        <f t="shared" si="15"/>
        <v>8438.4457182923434</v>
      </c>
      <c r="U503" s="26">
        <f t="shared" si="14"/>
        <v>20</v>
      </c>
    </row>
    <row r="504" spans="19:21" ht="14.65" thickBot="1" x14ac:dyDescent="0.5">
      <c r="S504" s="37">
        <f t="shared" si="15"/>
        <v>8522.8301754752665</v>
      </c>
      <c r="U504" s="26">
        <f t="shared" si="14"/>
        <v>20</v>
      </c>
    </row>
    <row r="505" spans="19:21" ht="14.65" thickBot="1" x14ac:dyDescent="0.5">
      <c r="S505" s="37">
        <f t="shared" si="15"/>
        <v>8608.058477230019</v>
      </c>
      <c r="U505" s="26">
        <f t="shared" si="14"/>
        <v>20</v>
      </c>
    </row>
    <row r="506" spans="19:21" ht="14.65" thickBot="1" x14ac:dyDescent="0.5">
      <c r="S506" s="37">
        <f t="shared" si="15"/>
        <v>8694.1390620023194</v>
      </c>
      <c r="U506" s="26">
        <f t="shared" si="14"/>
        <v>20</v>
      </c>
    </row>
    <row r="507" spans="19:21" ht="14.65" thickBot="1" x14ac:dyDescent="0.5">
      <c r="S507" s="37">
        <f t="shared" si="15"/>
        <v>8781.0804526223419</v>
      </c>
      <c r="U507" s="26">
        <f t="shared" si="14"/>
        <v>20</v>
      </c>
    </row>
    <row r="508" spans="19:21" ht="14.65" thickBot="1" x14ac:dyDescent="0.5">
      <c r="S508" s="37">
        <f t="shared" si="15"/>
        <v>8868.8912571485653</v>
      </c>
      <c r="U508" s="26">
        <f t="shared" si="14"/>
        <v>20</v>
      </c>
    </row>
    <row r="509" spans="19:21" ht="14.65" thickBot="1" x14ac:dyDescent="0.5">
      <c r="S509" s="37">
        <f t="shared" si="15"/>
        <v>8957.5801697200513</v>
      </c>
      <c r="U509" s="26">
        <f t="shared" si="14"/>
        <v>20</v>
      </c>
    </row>
    <row r="510" spans="19:21" ht="14.65" thickBot="1" x14ac:dyDescent="0.5">
      <c r="S510" s="37">
        <f t="shared" si="15"/>
        <v>9047.1559714172527</v>
      </c>
      <c r="U510" s="26">
        <f t="shared" si="14"/>
        <v>20</v>
      </c>
    </row>
    <row r="511" spans="19:21" ht="14.65" thickBot="1" x14ac:dyDescent="0.5">
      <c r="S511" s="37">
        <f t="shared" si="15"/>
        <v>9137.6275311314257</v>
      </c>
      <c r="U511" s="26">
        <f t="shared" si="14"/>
        <v>20</v>
      </c>
    </row>
    <row r="512" spans="19:21" ht="14.65" thickBot="1" x14ac:dyDescent="0.5">
      <c r="S512" s="37">
        <f t="shared" si="15"/>
        <v>9229.0038064427408</v>
      </c>
      <c r="U512" s="26">
        <f t="shared" si="14"/>
        <v>20</v>
      </c>
    </row>
    <row r="513" spans="19:21" ht="14.65" thickBot="1" x14ac:dyDescent="0.5">
      <c r="S513" s="37">
        <f t="shared" si="15"/>
        <v>9321.2938445071686</v>
      </c>
      <c r="U513" s="26">
        <f t="shared" si="14"/>
        <v>20</v>
      </c>
    </row>
    <row r="514" spans="19:21" ht="14.65" thickBot="1" x14ac:dyDescent="0.5">
      <c r="S514" s="37">
        <f t="shared" si="15"/>
        <v>9414.5067829522395</v>
      </c>
      <c r="U514" s="26">
        <f t="shared" si="14"/>
        <v>20</v>
      </c>
    </row>
    <row r="515" spans="19:21" ht="14.65" thickBot="1" x14ac:dyDescent="0.5">
      <c r="S515" s="37">
        <f t="shared" si="15"/>
        <v>9508.6518507817618</v>
      </c>
      <c r="U515" s="26">
        <f t="shared" si="14"/>
        <v>20</v>
      </c>
    </row>
    <row r="516" spans="19:21" ht="14.65" thickBot="1" x14ac:dyDescent="0.5">
      <c r="S516" s="37">
        <f t="shared" si="15"/>
        <v>9603.7383692895801</v>
      </c>
      <c r="U516" s="26">
        <f t="shared" si="14"/>
        <v>20</v>
      </c>
    </row>
    <row r="517" spans="19:21" ht="14.65" thickBot="1" x14ac:dyDescent="0.5">
      <c r="S517" s="37">
        <f t="shared" si="15"/>
        <v>9699.7757529824758</v>
      </c>
      <c r="U517" s="26">
        <f t="shared" si="14"/>
        <v>20</v>
      </c>
    </row>
    <row r="518" spans="19:21" ht="14.65" thickBot="1" x14ac:dyDescent="0.5">
      <c r="S518" s="37">
        <f t="shared" si="15"/>
        <v>9796.7735105123011</v>
      </c>
      <c r="U518" s="26">
        <f t="shared" si="14"/>
        <v>20</v>
      </c>
    </row>
    <row r="519" spans="19:21" ht="14.65" thickBot="1" x14ac:dyDescent="0.5">
      <c r="S519" s="37">
        <f t="shared" si="15"/>
        <v>9894.7412456174243</v>
      </c>
      <c r="U519" s="26">
        <f t="shared" si="14"/>
        <v>20</v>
      </c>
    </row>
    <row r="520" spans="19:21" ht="14.65" thickBot="1" x14ac:dyDescent="0.5">
      <c r="S520" s="37">
        <f t="shared" si="15"/>
        <v>9993.6886580735991</v>
      </c>
      <c r="U520" s="26">
        <f t="shared" si="14"/>
        <v>20</v>
      </c>
    </row>
    <row r="521" spans="19:21" ht="14.65" thickBot="1" x14ac:dyDescent="0.5">
      <c r="S521" s="37">
        <f t="shared" si="15"/>
        <v>10093.625544654335</v>
      </c>
      <c r="U521" s="26">
        <f t="shared" si="14"/>
        <v>20</v>
      </c>
    </row>
    <row r="522" spans="19:21" ht="14.65" thickBot="1" x14ac:dyDescent="0.5">
      <c r="S522" s="37">
        <f t="shared" si="15"/>
        <v>10194.561800100879</v>
      </c>
      <c r="U522" s="26">
        <f t="shared" si="14"/>
        <v>20</v>
      </c>
    </row>
    <row r="523" spans="19:21" ht="14.65" thickBot="1" x14ac:dyDescent="0.5">
      <c r="S523" s="37">
        <f t="shared" si="15"/>
        <v>10296.507418101888</v>
      </c>
      <c r="U523" s="26">
        <f t="shared" si="14"/>
        <v>20</v>
      </c>
    </row>
    <row r="524" spans="19:21" ht="14.65" thickBot="1" x14ac:dyDescent="0.5">
      <c r="S524" s="37">
        <f t="shared" si="15"/>
        <v>10399.472492282906</v>
      </c>
      <c r="U524" s="26">
        <f t="shared" si="14"/>
        <v>20</v>
      </c>
    </row>
    <row r="525" spans="19:21" ht="14.65" thickBot="1" x14ac:dyDescent="0.5">
      <c r="S525" s="37">
        <f t="shared" si="15"/>
        <v>10503.467217205736</v>
      </c>
      <c r="U525" s="26">
        <f t="shared" si="14"/>
        <v>20</v>
      </c>
    </row>
    <row r="526" spans="19:21" ht="14.65" thickBot="1" x14ac:dyDescent="0.5">
      <c r="S526" s="37">
        <f t="shared" si="15"/>
        <v>10608.501889377794</v>
      </c>
      <c r="U526" s="26">
        <f t="shared" si="14"/>
        <v>20</v>
      </c>
    </row>
    <row r="527" spans="19:21" ht="14.65" thickBot="1" x14ac:dyDescent="0.5">
      <c r="S527" s="37">
        <f t="shared" si="15"/>
        <v>10714.586908271573</v>
      </c>
      <c r="U527" s="26">
        <f t="shared" si="14"/>
        <v>20</v>
      </c>
    </row>
    <row r="528" spans="19:21" ht="14.65" thickBot="1" x14ac:dyDescent="0.5">
      <c r="S528" s="37">
        <f t="shared" si="15"/>
        <v>10821.732777354289</v>
      </c>
      <c r="U528" s="26">
        <f t="shared" si="14"/>
        <v>20</v>
      </c>
    </row>
    <row r="529" spans="19:21" ht="14.65" thickBot="1" x14ac:dyDescent="0.5">
      <c r="S529" s="37">
        <f t="shared" si="15"/>
        <v>10929.950105127833</v>
      </c>
      <c r="U529" s="26">
        <f t="shared" si="14"/>
        <v>20</v>
      </c>
    </row>
    <row r="530" spans="19:21" ht="14.65" thickBot="1" x14ac:dyDescent="0.5">
      <c r="S530" s="37">
        <f t="shared" si="15"/>
        <v>11039.249606179112</v>
      </c>
      <c r="U530" s="26">
        <f t="shared" ref="U530:U593" si="16">IF(S530&lt;$D$8,S530-$D$7+$D$9,$D$8-$D$7+$D$9)</f>
        <v>20</v>
      </c>
    </row>
    <row r="531" spans="19:21" ht="14.65" thickBot="1" x14ac:dyDescent="0.5">
      <c r="S531" s="37">
        <f t="shared" ref="S531:S594" si="17">S530*(1.01)</f>
        <v>11149.642102240903</v>
      </c>
      <c r="U531" s="26">
        <f t="shared" si="16"/>
        <v>20</v>
      </c>
    </row>
    <row r="532" spans="19:21" ht="14.65" thickBot="1" x14ac:dyDescent="0.5">
      <c r="S532" s="37">
        <f t="shared" si="17"/>
        <v>11261.138523263313</v>
      </c>
      <c r="U532" s="26">
        <f t="shared" si="16"/>
        <v>20</v>
      </c>
    </row>
    <row r="533" spans="19:21" ht="14.65" thickBot="1" x14ac:dyDescent="0.5">
      <c r="S533" s="37">
        <f t="shared" si="17"/>
        <v>11373.749908495945</v>
      </c>
      <c r="U533" s="26">
        <f t="shared" si="16"/>
        <v>20</v>
      </c>
    </row>
    <row r="534" spans="19:21" ht="14.65" thickBot="1" x14ac:dyDescent="0.5">
      <c r="S534" s="37">
        <f t="shared" si="17"/>
        <v>11487.487407580906</v>
      </c>
      <c r="U534" s="26">
        <f t="shared" si="16"/>
        <v>20</v>
      </c>
    </row>
    <row r="535" spans="19:21" ht="14.65" thickBot="1" x14ac:dyDescent="0.5">
      <c r="S535" s="37">
        <f t="shared" si="17"/>
        <v>11602.362281656715</v>
      </c>
      <c r="U535" s="26">
        <f t="shared" si="16"/>
        <v>20</v>
      </c>
    </row>
    <row r="536" spans="19:21" ht="14.65" thickBot="1" x14ac:dyDescent="0.5">
      <c r="S536" s="37">
        <f t="shared" si="17"/>
        <v>11718.385904473282</v>
      </c>
      <c r="U536" s="26">
        <f t="shared" si="16"/>
        <v>20</v>
      </c>
    </row>
    <row r="537" spans="19:21" ht="14.65" thickBot="1" x14ac:dyDescent="0.5">
      <c r="S537" s="37">
        <f t="shared" si="17"/>
        <v>11835.569763518015</v>
      </c>
      <c r="U537" s="26">
        <f t="shared" si="16"/>
        <v>20</v>
      </c>
    </row>
    <row r="538" spans="19:21" ht="14.65" thickBot="1" x14ac:dyDescent="0.5">
      <c r="S538" s="37">
        <f t="shared" si="17"/>
        <v>11953.925461153196</v>
      </c>
      <c r="U538" s="26">
        <f t="shared" si="16"/>
        <v>20</v>
      </c>
    </row>
    <row r="539" spans="19:21" ht="14.65" thickBot="1" x14ac:dyDescent="0.5">
      <c r="S539" s="37">
        <f t="shared" si="17"/>
        <v>12073.464715764729</v>
      </c>
      <c r="U539" s="26">
        <f t="shared" si="16"/>
        <v>20</v>
      </c>
    </row>
    <row r="540" spans="19:21" ht="14.65" thickBot="1" x14ac:dyDescent="0.5">
      <c r="S540" s="37">
        <f t="shared" si="17"/>
        <v>12194.199362922376</v>
      </c>
      <c r="U540" s="26">
        <f t="shared" si="16"/>
        <v>20</v>
      </c>
    </row>
    <row r="541" spans="19:21" ht="14.65" thickBot="1" x14ac:dyDescent="0.5">
      <c r="S541" s="37">
        <f t="shared" si="17"/>
        <v>12316.1413565516</v>
      </c>
      <c r="U541" s="26">
        <f t="shared" si="16"/>
        <v>20</v>
      </c>
    </row>
    <row r="542" spans="19:21" ht="14.65" thickBot="1" x14ac:dyDescent="0.5">
      <c r="S542" s="37">
        <f t="shared" si="17"/>
        <v>12439.302770117116</v>
      </c>
      <c r="U542" s="26">
        <f t="shared" si="16"/>
        <v>20</v>
      </c>
    </row>
    <row r="543" spans="19:21" ht="14.65" thickBot="1" x14ac:dyDescent="0.5">
      <c r="S543" s="37">
        <f t="shared" si="17"/>
        <v>12563.695797818287</v>
      </c>
      <c r="U543" s="26">
        <f t="shared" si="16"/>
        <v>20</v>
      </c>
    </row>
    <row r="544" spans="19:21" ht="14.65" thickBot="1" x14ac:dyDescent="0.5">
      <c r="S544" s="37">
        <f t="shared" si="17"/>
        <v>12689.332755796469</v>
      </c>
      <c r="U544" s="26">
        <f t="shared" si="16"/>
        <v>20</v>
      </c>
    </row>
    <row r="545" spans="19:21" ht="14.65" thickBot="1" x14ac:dyDescent="0.5">
      <c r="S545" s="37">
        <f t="shared" si="17"/>
        <v>12816.226083354435</v>
      </c>
      <c r="U545" s="26">
        <f t="shared" si="16"/>
        <v>20</v>
      </c>
    </row>
    <row r="546" spans="19:21" ht="14.65" thickBot="1" x14ac:dyDescent="0.5">
      <c r="S546" s="37">
        <f t="shared" si="17"/>
        <v>12944.388344187979</v>
      </c>
      <c r="U546" s="26">
        <f t="shared" si="16"/>
        <v>20</v>
      </c>
    </row>
    <row r="547" spans="19:21" ht="14.65" thickBot="1" x14ac:dyDescent="0.5">
      <c r="S547" s="37">
        <f t="shared" si="17"/>
        <v>13073.832227629859</v>
      </c>
      <c r="U547" s="26">
        <f t="shared" si="16"/>
        <v>20</v>
      </c>
    </row>
    <row r="548" spans="19:21" ht="14.65" thickBot="1" x14ac:dyDescent="0.5">
      <c r="S548" s="37">
        <f t="shared" si="17"/>
        <v>13204.570549906157</v>
      </c>
      <c r="U548" s="26">
        <f t="shared" si="16"/>
        <v>20</v>
      </c>
    </row>
    <row r="549" spans="19:21" ht="14.65" thickBot="1" x14ac:dyDescent="0.5">
      <c r="S549" s="37">
        <f t="shared" si="17"/>
        <v>13336.616255405219</v>
      </c>
      <c r="U549" s="26">
        <f t="shared" si="16"/>
        <v>20</v>
      </c>
    </row>
    <row r="550" spans="19:21" ht="14.65" thickBot="1" x14ac:dyDescent="0.5">
      <c r="S550" s="37">
        <f t="shared" si="17"/>
        <v>13469.982417959271</v>
      </c>
      <c r="U550" s="26">
        <f t="shared" si="16"/>
        <v>20</v>
      </c>
    </row>
    <row r="551" spans="19:21" ht="14.65" thickBot="1" x14ac:dyDescent="0.5">
      <c r="S551" s="37">
        <f t="shared" si="17"/>
        <v>13604.682242138864</v>
      </c>
      <c r="U551" s="26">
        <f t="shared" si="16"/>
        <v>20</v>
      </c>
    </row>
    <row r="552" spans="19:21" ht="14.65" thickBot="1" x14ac:dyDescent="0.5">
      <c r="S552" s="37">
        <f t="shared" si="17"/>
        <v>13740.729064560253</v>
      </c>
      <c r="U552" s="26">
        <f t="shared" si="16"/>
        <v>20</v>
      </c>
    </row>
    <row r="553" spans="19:21" ht="14.65" thickBot="1" x14ac:dyDescent="0.5">
      <c r="S553" s="37">
        <f t="shared" si="17"/>
        <v>13878.136355205856</v>
      </c>
      <c r="U553" s="26">
        <f t="shared" si="16"/>
        <v>20</v>
      </c>
    </row>
    <row r="554" spans="19:21" ht="14.65" thickBot="1" x14ac:dyDescent="0.5">
      <c r="S554" s="37">
        <f t="shared" si="17"/>
        <v>14016.917718757913</v>
      </c>
      <c r="U554" s="26">
        <f t="shared" si="16"/>
        <v>20</v>
      </c>
    </row>
    <row r="555" spans="19:21" ht="14.65" thickBot="1" x14ac:dyDescent="0.5">
      <c r="S555" s="37">
        <f t="shared" si="17"/>
        <v>14157.086895945493</v>
      </c>
      <c r="U555" s="26">
        <f t="shared" si="16"/>
        <v>20</v>
      </c>
    </row>
    <row r="556" spans="19:21" ht="14.65" thickBot="1" x14ac:dyDescent="0.5">
      <c r="S556" s="37">
        <f t="shared" si="17"/>
        <v>14298.657764904949</v>
      </c>
      <c r="U556" s="26">
        <f t="shared" si="16"/>
        <v>20</v>
      </c>
    </row>
    <row r="557" spans="19:21" ht="14.65" thickBot="1" x14ac:dyDescent="0.5">
      <c r="S557" s="37">
        <f t="shared" si="17"/>
        <v>14441.644342553998</v>
      </c>
      <c r="U557" s="26">
        <f t="shared" si="16"/>
        <v>20</v>
      </c>
    </row>
    <row r="558" spans="19:21" ht="14.65" thickBot="1" x14ac:dyDescent="0.5">
      <c r="S558" s="37">
        <f t="shared" si="17"/>
        <v>14586.060785979538</v>
      </c>
      <c r="U558" s="26">
        <f t="shared" si="16"/>
        <v>20</v>
      </c>
    </row>
    <row r="559" spans="19:21" ht="14.65" thickBot="1" x14ac:dyDescent="0.5">
      <c r="S559" s="37">
        <f t="shared" si="17"/>
        <v>14731.921393839333</v>
      </c>
      <c r="U559" s="26">
        <f t="shared" si="16"/>
        <v>20</v>
      </c>
    </row>
    <row r="560" spans="19:21" ht="14.65" thickBot="1" x14ac:dyDescent="0.5">
      <c r="S560" s="37">
        <f t="shared" si="17"/>
        <v>14879.240607777727</v>
      </c>
      <c r="U560" s="26">
        <f t="shared" si="16"/>
        <v>20</v>
      </c>
    </row>
    <row r="561" spans="19:21" ht="14.65" thickBot="1" x14ac:dyDescent="0.5">
      <c r="S561" s="37">
        <f t="shared" si="17"/>
        <v>15028.033013855504</v>
      </c>
      <c r="U561" s="26">
        <f t="shared" si="16"/>
        <v>20</v>
      </c>
    </row>
    <row r="562" spans="19:21" ht="14.65" thickBot="1" x14ac:dyDescent="0.5">
      <c r="S562" s="37">
        <f t="shared" si="17"/>
        <v>15178.313343994059</v>
      </c>
      <c r="U562" s="26">
        <f t="shared" si="16"/>
        <v>20</v>
      </c>
    </row>
    <row r="563" spans="19:21" ht="14.65" thickBot="1" x14ac:dyDescent="0.5">
      <c r="S563" s="37">
        <f t="shared" si="17"/>
        <v>15330.096477434001</v>
      </c>
      <c r="U563" s="26">
        <f t="shared" si="16"/>
        <v>20</v>
      </c>
    </row>
    <row r="564" spans="19:21" ht="14.65" thickBot="1" x14ac:dyDescent="0.5">
      <c r="S564" s="37">
        <f t="shared" si="17"/>
        <v>15483.397442208341</v>
      </c>
      <c r="U564" s="26">
        <f t="shared" si="16"/>
        <v>20</v>
      </c>
    </row>
    <row r="565" spans="19:21" ht="14.65" thickBot="1" x14ac:dyDescent="0.5">
      <c r="S565" s="37">
        <f t="shared" si="17"/>
        <v>15638.231416630424</v>
      </c>
      <c r="U565" s="26">
        <f t="shared" si="16"/>
        <v>20</v>
      </c>
    </row>
    <row r="566" spans="19:21" ht="14.65" thickBot="1" x14ac:dyDescent="0.5">
      <c r="S566" s="37">
        <f t="shared" si="17"/>
        <v>15794.613730796729</v>
      </c>
      <c r="U566" s="26">
        <f t="shared" si="16"/>
        <v>20</v>
      </c>
    </row>
    <row r="567" spans="19:21" ht="14.65" thickBot="1" x14ac:dyDescent="0.5">
      <c r="S567" s="37">
        <f t="shared" si="17"/>
        <v>15952.559868104696</v>
      </c>
      <c r="U567" s="26">
        <f t="shared" si="16"/>
        <v>20</v>
      </c>
    </row>
    <row r="568" spans="19:21" ht="14.65" thickBot="1" x14ac:dyDescent="0.5">
      <c r="S568" s="37">
        <f t="shared" si="17"/>
        <v>16112.085466785744</v>
      </c>
      <c r="U568" s="26">
        <f t="shared" si="16"/>
        <v>20</v>
      </c>
    </row>
    <row r="569" spans="19:21" ht="14.65" thickBot="1" x14ac:dyDescent="0.5">
      <c r="S569" s="37">
        <f t="shared" si="17"/>
        <v>16273.206321453601</v>
      </c>
      <c r="U569" s="26">
        <f t="shared" si="16"/>
        <v>20</v>
      </c>
    </row>
    <row r="570" spans="19:21" ht="14.65" thickBot="1" x14ac:dyDescent="0.5">
      <c r="S570" s="37">
        <f t="shared" si="17"/>
        <v>16435.938384668138</v>
      </c>
      <c r="U570" s="26">
        <f t="shared" si="16"/>
        <v>20</v>
      </c>
    </row>
    <row r="571" spans="19:21" ht="14.65" thickBot="1" x14ac:dyDescent="0.5">
      <c r="S571" s="37">
        <f t="shared" si="17"/>
        <v>16600.297768514818</v>
      </c>
      <c r="U571" s="26">
        <f t="shared" si="16"/>
        <v>20</v>
      </c>
    </row>
    <row r="572" spans="19:21" ht="14.65" thickBot="1" x14ac:dyDescent="0.5">
      <c r="S572" s="37">
        <f t="shared" si="17"/>
        <v>16766.300746199966</v>
      </c>
      <c r="U572" s="26">
        <f t="shared" si="16"/>
        <v>20</v>
      </c>
    </row>
    <row r="573" spans="19:21" ht="14.65" thickBot="1" x14ac:dyDescent="0.5">
      <c r="S573" s="37">
        <f t="shared" si="17"/>
        <v>16933.963753661967</v>
      </c>
      <c r="U573" s="26">
        <f t="shared" si="16"/>
        <v>20</v>
      </c>
    </row>
    <row r="574" spans="19:21" ht="14.65" thickBot="1" x14ac:dyDescent="0.5">
      <c r="S574" s="37">
        <f t="shared" si="17"/>
        <v>17103.303391198588</v>
      </c>
      <c r="U574" s="26">
        <f t="shared" si="16"/>
        <v>20</v>
      </c>
    </row>
    <row r="575" spans="19:21" ht="14.65" thickBot="1" x14ac:dyDescent="0.5">
      <c r="S575" s="37">
        <f t="shared" si="17"/>
        <v>17274.336425110574</v>
      </c>
      <c r="U575" s="26">
        <f t="shared" si="16"/>
        <v>20</v>
      </c>
    </row>
    <row r="576" spans="19:21" ht="14.65" thickBot="1" x14ac:dyDescent="0.5">
      <c r="S576" s="37">
        <f t="shared" si="17"/>
        <v>17447.07978936168</v>
      </c>
      <c r="U576" s="26">
        <f t="shared" si="16"/>
        <v>20</v>
      </c>
    </row>
    <row r="577" spans="19:21" ht="14.65" thickBot="1" x14ac:dyDescent="0.5">
      <c r="S577" s="37">
        <f t="shared" si="17"/>
        <v>17621.550587255297</v>
      </c>
      <c r="U577" s="26">
        <f t="shared" si="16"/>
        <v>20</v>
      </c>
    </row>
    <row r="578" spans="19:21" ht="14.65" thickBot="1" x14ac:dyDescent="0.5">
      <c r="S578" s="37">
        <f t="shared" si="17"/>
        <v>17797.766093127851</v>
      </c>
      <c r="U578" s="26">
        <f t="shared" si="16"/>
        <v>20</v>
      </c>
    </row>
    <row r="579" spans="19:21" ht="14.65" thickBot="1" x14ac:dyDescent="0.5">
      <c r="S579" s="37">
        <f t="shared" si="17"/>
        <v>17975.743754059131</v>
      </c>
      <c r="U579" s="26">
        <f t="shared" si="16"/>
        <v>20</v>
      </c>
    </row>
    <row r="580" spans="19:21" ht="14.65" thickBot="1" x14ac:dyDescent="0.5">
      <c r="S580" s="37">
        <f t="shared" si="17"/>
        <v>18155.501191599724</v>
      </c>
      <c r="U580" s="26">
        <f t="shared" si="16"/>
        <v>20</v>
      </c>
    </row>
    <row r="581" spans="19:21" ht="14.65" thickBot="1" x14ac:dyDescent="0.5">
      <c r="S581" s="37">
        <f t="shared" si="17"/>
        <v>18337.05620351572</v>
      </c>
      <c r="U581" s="26">
        <f t="shared" si="16"/>
        <v>20</v>
      </c>
    </row>
    <row r="582" spans="19:21" ht="14.65" thickBot="1" x14ac:dyDescent="0.5">
      <c r="S582" s="37">
        <f t="shared" si="17"/>
        <v>18520.426765550877</v>
      </c>
      <c r="U582" s="26">
        <f t="shared" si="16"/>
        <v>20</v>
      </c>
    </row>
    <row r="583" spans="19:21" ht="14.65" thickBot="1" x14ac:dyDescent="0.5">
      <c r="S583" s="37">
        <f t="shared" si="17"/>
        <v>18705.631033206388</v>
      </c>
      <c r="U583" s="26">
        <f t="shared" si="16"/>
        <v>20</v>
      </c>
    </row>
    <row r="584" spans="19:21" ht="14.65" thickBot="1" x14ac:dyDescent="0.5">
      <c r="S584" s="37">
        <f t="shared" si="17"/>
        <v>18892.687343538451</v>
      </c>
      <c r="U584" s="26">
        <f t="shared" si="16"/>
        <v>20</v>
      </c>
    </row>
    <row r="585" spans="19:21" ht="14.65" thickBot="1" x14ac:dyDescent="0.5">
      <c r="S585" s="37">
        <f t="shared" si="17"/>
        <v>19081.614216973838</v>
      </c>
      <c r="U585" s="26">
        <f t="shared" si="16"/>
        <v>20</v>
      </c>
    </row>
    <row r="586" spans="19:21" ht="14.65" thickBot="1" x14ac:dyDescent="0.5">
      <c r="S586" s="37">
        <f t="shared" si="17"/>
        <v>19272.430359143575</v>
      </c>
      <c r="U586" s="26">
        <f t="shared" si="16"/>
        <v>20</v>
      </c>
    </row>
    <row r="587" spans="19:21" ht="14.65" thickBot="1" x14ac:dyDescent="0.5">
      <c r="S587" s="37">
        <f t="shared" si="17"/>
        <v>19465.154662735011</v>
      </c>
      <c r="U587" s="26">
        <f t="shared" si="16"/>
        <v>20</v>
      </c>
    </row>
    <row r="588" spans="19:21" ht="14.65" thickBot="1" x14ac:dyDescent="0.5">
      <c r="S588" s="37">
        <f t="shared" si="17"/>
        <v>19659.806209362359</v>
      </c>
      <c r="U588" s="26">
        <f t="shared" si="16"/>
        <v>20</v>
      </c>
    </row>
    <row r="589" spans="19:21" ht="14.65" thickBot="1" x14ac:dyDescent="0.5">
      <c r="S589" s="37">
        <f t="shared" si="17"/>
        <v>19856.404271455984</v>
      </c>
      <c r="U589" s="26">
        <f t="shared" si="16"/>
        <v>20</v>
      </c>
    </row>
    <row r="590" spans="19:21" ht="14.65" thickBot="1" x14ac:dyDescent="0.5">
      <c r="S590" s="37">
        <f t="shared" si="17"/>
        <v>20054.968314170543</v>
      </c>
      <c r="U590" s="26">
        <f t="shared" si="16"/>
        <v>20</v>
      </c>
    </row>
    <row r="591" spans="19:21" ht="14.65" thickBot="1" x14ac:dyDescent="0.5">
      <c r="S591" s="37">
        <f t="shared" si="17"/>
        <v>20255.517997312247</v>
      </c>
      <c r="U591" s="26">
        <f t="shared" si="16"/>
        <v>20</v>
      </c>
    </row>
    <row r="592" spans="19:21" ht="14.65" thickBot="1" x14ac:dyDescent="0.5">
      <c r="S592" s="37">
        <f t="shared" si="17"/>
        <v>20458.073177285369</v>
      </c>
      <c r="U592" s="26">
        <f t="shared" si="16"/>
        <v>20</v>
      </c>
    </row>
    <row r="593" spans="19:21" ht="14.65" thickBot="1" x14ac:dyDescent="0.5">
      <c r="S593" s="37">
        <f t="shared" si="17"/>
        <v>20662.653909058223</v>
      </c>
      <c r="U593" s="26">
        <f t="shared" si="16"/>
        <v>20</v>
      </c>
    </row>
    <row r="594" spans="19:21" ht="14.65" thickBot="1" x14ac:dyDescent="0.5">
      <c r="S594" s="37">
        <f t="shared" si="17"/>
        <v>20869.280448148806</v>
      </c>
      <c r="U594" s="26">
        <f t="shared" ref="U594:U657" si="18">IF(S594&lt;$D$8,S594-$D$7+$D$9,$D$8-$D$7+$D$9)</f>
        <v>20</v>
      </c>
    </row>
    <row r="595" spans="19:21" ht="14.65" thickBot="1" x14ac:dyDescent="0.5">
      <c r="S595" s="37">
        <f t="shared" ref="S595:S658" si="19">S594*(1.01)</f>
        <v>21077.973252630294</v>
      </c>
      <c r="U595" s="26">
        <f t="shared" si="18"/>
        <v>20</v>
      </c>
    </row>
    <row r="596" spans="19:21" ht="14.65" thickBot="1" x14ac:dyDescent="0.5">
      <c r="S596" s="37">
        <f t="shared" si="19"/>
        <v>21288.752985156596</v>
      </c>
      <c r="U596" s="26">
        <f t="shared" si="18"/>
        <v>20</v>
      </c>
    </row>
    <row r="597" spans="19:21" ht="14.65" thickBot="1" x14ac:dyDescent="0.5">
      <c r="S597" s="37">
        <f t="shared" si="19"/>
        <v>21501.640515008163</v>
      </c>
      <c r="U597" s="26">
        <f t="shared" si="18"/>
        <v>20</v>
      </c>
    </row>
    <row r="598" spans="19:21" ht="14.65" thickBot="1" x14ac:dyDescent="0.5">
      <c r="S598" s="37">
        <f t="shared" si="19"/>
        <v>21716.656920158246</v>
      </c>
      <c r="U598" s="26">
        <f t="shared" si="18"/>
        <v>20</v>
      </c>
    </row>
    <row r="599" spans="19:21" ht="14.65" thickBot="1" x14ac:dyDescent="0.5">
      <c r="S599" s="37">
        <f t="shared" si="19"/>
        <v>21933.823489359827</v>
      </c>
      <c r="U599" s="26">
        <f t="shared" si="18"/>
        <v>20</v>
      </c>
    </row>
    <row r="600" spans="19:21" ht="14.65" thickBot="1" x14ac:dyDescent="0.5">
      <c r="S600" s="37">
        <f t="shared" si="19"/>
        <v>22153.161724253427</v>
      </c>
      <c r="U600" s="26">
        <f t="shared" si="18"/>
        <v>20</v>
      </c>
    </row>
    <row r="601" spans="19:21" ht="14.65" thickBot="1" x14ac:dyDescent="0.5">
      <c r="S601" s="37">
        <f t="shared" si="19"/>
        <v>22374.69334149596</v>
      </c>
      <c r="U601" s="26">
        <f t="shared" si="18"/>
        <v>20</v>
      </c>
    </row>
    <row r="602" spans="19:21" ht="14.65" thickBot="1" x14ac:dyDescent="0.5">
      <c r="S602" s="37">
        <f t="shared" si="19"/>
        <v>22598.440274910921</v>
      </c>
      <c r="U602" s="26">
        <f t="shared" si="18"/>
        <v>20</v>
      </c>
    </row>
    <row r="603" spans="19:21" ht="14.65" thickBot="1" x14ac:dyDescent="0.5">
      <c r="S603" s="37">
        <f t="shared" si="19"/>
        <v>22824.42467766003</v>
      </c>
      <c r="U603" s="26">
        <f t="shared" si="18"/>
        <v>20</v>
      </c>
    </row>
    <row r="604" spans="19:21" ht="14.65" thickBot="1" x14ac:dyDescent="0.5">
      <c r="S604" s="37">
        <f t="shared" si="19"/>
        <v>23052.668924436632</v>
      </c>
      <c r="U604" s="26">
        <f t="shared" si="18"/>
        <v>20</v>
      </c>
    </row>
    <row r="605" spans="19:21" ht="14.65" thickBot="1" x14ac:dyDescent="0.5">
      <c r="S605" s="37">
        <f t="shared" si="19"/>
        <v>23283.195613680997</v>
      </c>
      <c r="U605" s="26">
        <f t="shared" si="18"/>
        <v>20</v>
      </c>
    </row>
    <row r="606" spans="19:21" ht="14.65" thickBot="1" x14ac:dyDescent="0.5">
      <c r="S606" s="37">
        <f t="shared" si="19"/>
        <v>23516.027569817808</v>
      </c>
      <c r="U606" s="26">
        <f t="shared" si="18"/>
        <v>20</v>
      </c>
    </row>
    <row r="607" spans="19:21" ht="14.65" thickBot="1" x14ac:dyDescent="0.5">
      <c r="S607" s="37">
        <f t="shared" si="19"/>
        <v>23751.187845515986</v>
      </c>
      <c r="U607" s="26">
        <f t="shared" si="18"/>
        <v>20</v>
      </c>
    </row>
    <row r="608" spans="19:21" ht="14.65" thickBot="1" x14ac:dyDescent="0.5">
      <c r="S608" s="37">
        <f t="shared" si="19"/>
        <v>23988.699723971145</v>
      </c>
      <c r="U608" s="26">
        <f t="shared" si="18"/>
        <v>20</v>
      </c>
    </row>
    <row r="609" spans="19:21" ht="14.65" thickBot="1" x14ac:dyDescent="0.5">
      <c r="S609" s="37">
        <f t="shared" si="19"/>
        <v>24228.586721210857</v>
      </c>
      <c r="U609" s="26">
        <f t="shared" si="18"/>
        <v>20</v>
      </c>
    </row>
    <row r="610" spans="19:21" ht="14.65" thickBot="1" x14ac:dyDescent="0.5">
      <c r="S610" s="37">
        <f t="shared" si="19"/>
        <v>24470.872588422964</v>
      </c>
      <c r="U610" s="26">
        <f t="shared" si="18"/>
        <v>20</v>
      </c>
    </row>
    <row r="611" spans="19:21" ht="14.65" thickBot="1" x14ac:dyDescent="0.5">
      <c r="S611" s="37">
        <f t="shared" si="19"/>
        <v>24715.581314307194</v>
      </c>
      <c r="U611" s="26">
        <f t="shared" si="18"/>
        <v>20</v>
      </c>
    </row>
    <row r="612" spans="19:21" ht="14.65" thickBot="1" x14ac:dyDescent="0.5">
      <c r="S612" s="37">
        <f t="shared" si="19"/>
        <v>24962.737127450266</v>
      </c>
      <c r="U612" s="26">
        <f t="shared" si="18"/>
        <v>20</v>
      </c>
    </row>
    <row r="613" spans="19:21" ht="14.65" thickBot="1" x14ac:dyDescent="0.5">
      <c r="S613" s="37">
        <f t="shared" si="19"/>
        <v>25212.364498724768</v>
      </c>
      <c r="U613" s="26">
        <f t="shared" si="18"/>
        <v>20</v>
      </c>
    </row>
    <row r="614" spans="19:21" ht="14.65" thickBot="1" x14ac:dyDescent="0.5">
      <c r="S614" s="37">
        <f t="shared" si="19"/>
        <v>25464.488143712017</v>
      </c>
      <c r="U614" s="26">
        <f t="shared" si="18"/>
        <v>20</v>
      </c>
    </row>
    <row r="615" spans="19:21" ht="14.65" thickBot="1" x14ac:dyDescent="0.5">
      <c r="S615" s="37">
        <f t="shared" si="19"/>
        <v>25719.133025149138</v>
      </c>
      <c r="U615" s="26">
        <f t="shared" si="18"/>
        <v>20</v>
      </c>
    </row>
    <row r="616" spans="19:21" ht="14.65" thickBot="1" x14ac:dyDescent="0.5">
      <c r="S616" s="37">
        <f t="shared" si="19"/>
        <v>25976.324355400629</v>
      </c>
      <c r="U616" s="26">
        <f t="shared" si="18"/>
        <v>20</v>
      </c>
    </row>
    <row r="617" spans="19:21" ht="14.65" thickBot="1" x14ac:dyDescent="0.5">
      <c r="S617" s="37">
        <f t="shared" si="19"/>
        <v>26236.087598954637</v>
      </c>
      <c r="U617" s="26">
        <f t="shared" si="18"/>
        <v>20</v>
      </c>
    </row>
    <row r="618" spans="19:21" ht="14.65" thickBot="1" x14ac:dyDescent="0.5">
      <c r="S618" s="37">
        <f t="shared" si="19"/>
        <v>26498.448474944184</v>
      </c>
      <c r="U618" s="26">
        <f t="shared" si="18"/>
        <v>20</v>
      </c>
    </row>
    <row r="619" spans="19:21" ht="14.65" thickBot="1" x14ac:dyDescent="0.5">
      <c r="S619" s="37">
        <f t="shared" si="19"/>
        <v>26763.432959693626</v>
      </c>
      <c r="U619" s="26">
        <f t="shared" si="18"/>
        <v>20</v>
      </c>
    </row>
    <row r="620" spans="19:21" ht="14.65" thickBot="1" x14ac:dyDescent="0.5">
      <c r="S620" s="37">
        <f t="shared" si="19"/>
        <v>27031.067289290564</v>
      </c>
      <c r="U620" s="26">
        <f t="shared" si="18"/>
        <v>20</v>
      </c>
    </row>
    <row r="621" spans="19:21" ht="14.65" thickBot="1" x14ac:dyDescent="0.5">
      <c r="S621" s="37">
        <f t="shared" si="19"/>
        <v>27301.377962183469</v>
      </c>
      <c r="U621" s="26">
        <f t="shared" si="18"/>
        <v>20</v>
      </c>
    </row>
    <row r="622" spans="19:21" ht="14.65" thickBot="1" x14ac:dyDescent="0.5">
      <c r="S622" s="37">
        <f t="shared" si="19"/>
        <v>27574.391741805302</v>
      </c>
      <c r="U622" s="26">
        <f t="shared" si="18"/>
        <v>20</v>
      </c>
    </row>
    <row r="623" spans="19:21" ht="14.65" thickBot="1" x14ac:dyDescent="0.5">
      <c r="S623" s="37">
        <f t="shared" si="19"/>
        <v>27850.135659223357</v>
      </c>
      <c r="U623" s="26">
        <f t="shared" si="18"/>
        <v>20</v>
      </c>
    </row>
    <row r="624" spans="19:21" ht="14.65" thickBot="1" x14ac:dyDescent="0.5">
      <c r="S624" s="37">
        <f t="shared" si="19"/>
        <v>28128.637015815591</v>
      </c>
      <c r="U624" s="26">
        <f t="shared" si="18"/>
        <v>20</v>
      </c>
    </row>
    <row r="625" spans="19:21" ht="14.65" thickBot="1" x14ac:dyDescent="0.5">
      <c r="S625" s="37">
        <f t="shared" si="19"/>
        <v>28409.923385973747</v>
      </c>
      <c r="U625" s="26">
        <f t="shared" si="18"/>
        <v>20</v>
      </c>
    </row>
    <row r="626" spans="19:21" ht="14.65" thickBot="1" x14ac:dyDescent="0.5">
      <c r="S626" s="37">
        <f t="shared" si="19"/>
        <v>28694.022619833486</v>
      </c>
      <c r="U626" s="26">
        <f t="shared" si="18"/>
        <v>20</v>
      </c>
    </row>
    <row r="627" spans="19:21" ht="14.65" thickBot="1" x14ac:dyDescent="0.5">
      <c r="S627" s="37">
        <f t="shared" si="19"/>
        <v>28980.96284603182</v>
      </c>
      <c r="U627" s="26">
        <f t="shared" si="18"/>
        <v>20</v>
      </c>
    </row>
    <row r="628" spans="19:21" ht="14.65" thickBot="1" x14ac:dyDescent="0.5">
      <c r="S628" s="37">
        <f t="shared" si="19"/>
        <v>29270.77247449214</v>
      </c>
      <c r="U628" s="26">
        <f t="shared" si="18"/>
        <v>20</v>
      </c>
    </row>
    <row r="629" spans="19:21" ht="14.65" thickBot="1" x14ac:dyDescent="0.5">
      <c r="S629" s="37">
        <f t="shared" si="19"/>
        <v>29563.480199237063</v>
      </c>
      <c r="U629" s="26">
        <f t="shared" si="18"/>
        <v>20</v>
      </c>
    </row>
    <row r="630" spans="19:21" ht="14.65" thickBot="1" x14ac:dyDescent="0.5">
      <c r="S630" s="37">
        <f t="shared" si="19"/>
        <v>29859.115001229435</v>
      </c>
      <c r="U630" s="26">
        <f t="shared" si="18"/>
        <v>20</v>
      </c>
    </row>
    <row r="631" spans="19:21" ht="14.65" thickBot="1" x14ac:dyDescent="0.5">
      <c r="S631" s="37">
        <f t="shared" si="19"/>
        <v>30157.706151241728</v>
      </c>
      <c r="U631" s="26">
        <f t="shared" si="18"/>
        <v>20</v>
      </c>
    </row>
    <row r="632" spans="19:21" ht="14.65" thickBot="1" x14ac:dyDescent="0.5">
      <c r="S632" s="37">
        <f t="shared" si="19"/>
        <v>30459.283212754144</v>
      </c>
      <c r="U632" s="26">
        <f t="shared" si="18"/>
        <v>20</v>
      </c>
    </row>
    <row r="633" spans="19:21" ht="14.65" thickBot="1" x14ac:dyDescent="0.5">
      <c r="S633" s="37">
        <f t="shared" si="19"/>
        <v>30763.876044881687</v>
      </c>
      <c r="U633" s="26">
        <f t="shared" si="18"/>
        <v>20</v>
      </c>
    </row>
    <row r="634" spans="19:21" ht="14.65" thickBot="1" x14ac:dyDescent="0.5">
      <c r="S634" s="37">
        <f t="shared" si="19"/>
        <v>31071.514805330502</v>
      </c>
      <c r="U634" s="26">
        <f t="shared" si="18"/>
        <v>20</v>
      </c>
    </row>
    <row r="635" spans="19:21" ht="14.65" thickBot="1" x14ac:dyDescent="0.5">
      <c r="S635" s="37">
        <f t="shared" si="19"/>
        <v>31382.229953383809</v>
      </c>
      <c r="U635" s="26">
        <f t="shared" si="18"/>
        <v>20</v>
      </c>
    </row>
    <row r="636" spans="19:21" ht="14.65" thickBot="1" x14ac:dyDescent="0.5">
      <c r="S636" s="37">
        <f t="shared" si="19"/>
        <v>31696.052252917649</v>
      </c>
      <c r="U636" s="26">
        <f t="shared" si="18"/>
        <v>20</v>
      </c>
    </row>
    <row r="637" spans="19:21" ht="14.65" thickBot="1" x14ac:dyDescent="0.5">
      <c r="S637" s="37">
        <f t="shared" si="19"/>
        <v>32013.012775446827</v>
      </c>
      <c r="U637" s="26">
        <f t="shared" si="18"/>
        <v>20</v>
      </c>
    </row>
    <row r="638" spans="19:21" ht="14.65" thickBot="1" x14ac:dyDescent="0.5">
      <c r="S638" s="37">
        <f t="shared" si="19"/>
        <v>32333.142903201297</v>
      </c>
      <c r="U638" s="26">
        <f t="shared" si="18"/>
        <v>20</v>
      </c>
    </row>
    <row r="639" spans="19:21" ht="14.65" thickBot="1" x14ac:dyDescent="0.5">
      <c r="S639" s="37">
        <f t="shared" si="19"/>
        <v>32656.474332233309</v>
      </c>
      <c r="U639" s="26">
        <f t="shared" si="18"/>
        <v>20</v>
      </c>
    </row>
    <row r="640" spans="19:21" ht="14.65" thickBot="1" x14ac:dyDescent="0.5">
      <c r="S640" s="37">
        <f t="shared" si="19"/>
        <v>32983.039075555644</v>
      </c>
      <c r="U640" s="26">
        <f t="shared" si="18"/>
        <v>20</v>
      </c>
    </row>
    <row r="641" spans="19:21" ht="14.65" thickBot="1" x14ac:dyDescent="0.5">
      <c r="S641" s="37">
        <f t="shared" si="19"/>
        <v>33312.869466311204</v>
      </c>
      <c r="U641" s="26">
        <f t="shared" si="18"/>
        <v>20</v>
      </c>
    </row>
    <row r="642" spans="19:21" ht="14.65" thickBot="1" x14ac:dyDescent="0.5">
      <c r="S642" s="37">
        <f t="shared" si="19"/>
        <v>33645.998160974319</v>
      </c>
      <c r="U642" s="26">
        <f t="shared" si="18"/>
        <v>20</v>
      </c>
    </row>
    <row r="643" spans="19:21" ht="14.65" thickBot="1" x14ac:dyDescent="0.5">
      <c r="S643" s="37">
        <f t="shared" si="19"/>
        <v>33982.458142584066</v>
      </c>
      <c r="U643" s="26">
        <f t="shared" si="18"/>
        <v>20</v>
      </c>
    </row>
    <row r="644" spans="19:21" ht="14.65" thickBot="1" x14ac:dyDescent="0.5">
      <c r="S644" s="37">
        <f t="shared" si="19"/>
        <v>34322.282724009907</v>
      </c>
      <c r="U644" s="26">
        <f t="shared" si="18"/>
        <v>20</v>
      </c>
    </row>
    <row r="645" spans="19:21" ht="14.65" thickBot="1" x14ac:dyDescent="0.5">
      <c r="S645" s="37">
        <f t="shared" si="19"/>
        <v>34665.505551250004</v>
      </c>
      <c r="U645" s="26">
        <f t="shared" si="18"/>
        <v>20</v>
      </c>
    </row>
    <row r="646" spans="19:21" ht="14.65" thickBot="1" x14ac:dyDescent="0.5">
      <c r="S646" s="37">
        <f t="shared" si="19"/>
        <v>35012.160606762503</v>
      </c>
      <c r="U646" s="26">
        <f t="shared" si="18"/>
        <v>20</v>
      </c>
    </row>
    <row r="647" spans="19:21" ht="14.65" thickBot="1" x14ac:dyDescent="0.5">
      <c r="S647" s="37">
        <f t="shared" si="19"/>
        <v>35362.282212830127</v>
      </c>
      <c r="U647" s="26">
        <f t="shared" si="18"/>
        <v>20</v>
      </c>
    </row>
    <row r="648" spans="19:21" ht="14.65" thickBot="1" x14ac:dyDescent="0.5">
      <c r="S648" s="37">
        <f t="shared" si="19"/>
        <v>35715.905034958429</v>
      </c>
      <c r="U648" s="26">
        <f t="shared" si="18"/>
        <v>20</v>
      </c>
    </row>
    <row r="649" spans="19:21" ht="14.65" thickBot="1" x14ac:dyDescent="0.5">
      <c r="S649" s="37">
        <f t="shared" si="19"/>
        <v>36073.064085308011</v>
      </c>
      <c r="U649" s="26">
        <f t="shared" si="18"/>
        <v>20</v>
      </c>
    </row>
    <row r="650" spans="19:21" ht="14.65" thickBot="1" x14ac:dyDescent="0.5">
      <c r="S650" s="37">
        <f t="shared" si="19"/>
        <v>36433.79472616109</v>
      </c>
      <c r="U650" s="26">
        <f t="shared" si="18"/>
        <v>20</v>
      </c>
    </row>
    <row r="651" spans="19:21" ht="14.65" thickBot="1" x14ac:dyDescent="0.5">
      <c r="S651" s="37">
        <f t="shared" si="19"/>
        <v>36798.132673422704</v>
      </c>
      <c r="U651" s="26">
        <f t="shared" si="18"/>
        <v>20</v>
      </c>
    </row>
    <row r="652" spans="19:21" ht="14.65" thickBot="1" x14ac:dyDescent="0.5">
      <c r="S652" s="37">
        <f t="shared" si="19"/>
        <v>37166.114000156929</v>
      </c>
      <c r="U652" s="26">
        <f t="shared" si="18"/>
        <v>20</v>
      </c>
    </row>
    <row r="653" spans="19:21" ht="14.65" thickBot="1" x14ac:dyDescent="0.5">
      <c r="S653" s="37">
        <f t="shared" si="19"/>
        <v>37537.775140158497</v>
      </c>
      <c r="U653" s="26">
        <f t="shared" si="18"/>
        <v>20</v>
      </c>
    </row>
    <row r="654" spans="19:21" ht="14.65" thickBot="1" x14ac:dyDescent="0.5">
      <c r="S654" s="37">
        <f t="shared" si="19"/>
        <v>37913.152891560079</v>
      </c>
      <c r="U654" s="26">
        <f t="shared" si="18"/>
        <v>20</v>
      </c>
    </row>
    <row r="655" spans="19:21" ht="14.65" thickBot="1" x14ac:dyDescent="0.5">
      <c r="S655" s="37">
        <f t="shared" si="19"/>
        <v>38292.284420475684</v>
      </c>
      <c r="U655" s="26">
        <f t="shared" si="18"/>
        <v>20</v>
      </c>
    </row>
    <row r="656" spans="19:21" ht="14.65" thickBot="1" x14ac:dyDescent="0.5">
      <c r="S656" s="37">
        <f t="shared" si="19"/>
        <v>38675.207264680444</v>
      </c>
      <c r="U656" s="26">
        <f t="shared" si="18"/>
        <v>20</v>
      </c>
    </row>
    <row r="657" spans="19:21" ht="14.65" thickBot="1" x14ac:dyDescent="0.5">
      <c r="S657" s="37">
        <f t="shared" si="19"/>
        <v>39061.959337327251</v>
      </c>
      <c r="U657" s="26">
        <f t="shared" si="18"/>
        <v>20</v>
      </c>
    </row>
    <row r="658" spans="19:21" ht="14.65" thickBot="1" x14ac:dyDescent="0.5">
      <c r="S658" s="37">
        <f t="shared" si="19"/>
        <v>39452.578930700525</v>
      </c>
      <c r="U658" s="26">
        <f t="shared" ref="U658:U721" si="20">IF(S658&lt;$D$8,S658-$D$7+$D$9,$D$8-$D$7+$D$9)</f>
        <v>20</v>
      </c>
    </row>
    <row r="659" spans="19:21" ht="14.65" thickBot="1" x14ac:dyDescent="0.5">
      <c r="S659" s="37">
        <f t="shared" ref="S659:S722" si="21">S658*(1.01)</f>
        <v>39847.104720007534</v>
      </c>
      <c r="U659" s="26">
        <f t="shared" si="20"/>
        <v>20</v>
      </c>
    </row>
    <row r="660" spans="19:21" ht="14.65" thickBot="1" x14ac:dyDescent="0.5">
      <c r="S660" s="37">
        <f t="shared" si="21"/>
        <v>40245.575767207607</v>
      </c>
      <c r="U660" s="26">
        <f t="shared" si="20"/>
        <v>20</v>
      </c>
    </row>
    <row r="661" spans="19:21" ht="14.65" thickBot="1" x14ac:dyDescent="0.5">
      <c r="S661" s="37">
        <f t="shared" si="21"/>
        <v>40648.031524879683</v>
      </c>
      <c r="U661" s="26">
        <f t="shared" si="20"/>
        <v>20</v>
      </c>
    </row>
    <row r="662" spans="19:21" ht="14.65" thickBot="1" x14ac:dyDescent="0.5">
      <c r="S662" s="37">
        <f t="shared" si="21"/>
        <v>41054.511840128478</v>
      </c>
      <c r="U662" s="26">
        <f t="shared" si="20"/>
        <v>20</v>
      </c>
    </row>
    <row r="663" spans="19:21" ht="14.65" thickBot="1" x14ac:dyDescent="0.5">
      <c r="S663" s="37">
        <f t="shared" si="21"/>
        <v>41465.056958529764</v>
      </c>
      <c r="U663" s="26">
        <f t="shared" si="20"/>
        <v>20</v>
      </c>
    </row>
    <row r="664" spans="19:21" ht="14.65" thickBot="1" x14ac:dyDescent="0.5">
      <c r="S664" s="37">
        <f t="shared" si="21"/>
        <v>41879.707528115061</v>
      </c>
      <c r="U664" s="26">
        <f t="shared" si="20"/>
        <v>20</v>
      </c>
    </row>
    <row r="665" spans="19:21" ht="14.65" thickBot="1" x14ac:dyDescent="0.5">
      <c r="S665" s="37">
        <f t="shared" si="21"/>
        <v>42298.504603396213</v>
      </c>
      <c r="U665" s="26">
        <f t="shared" si="20"/>
        <v>20</v>
      </c>
    </row>
    <row r="666" spans="19:21" ht="14.65" thickBot="1" x14ac:dyDescent="0.5">
      <c r="S666" s="37">
        <f t="shared" si="21"/>
        <v>42721.489649430179</v>
      </c>
      <c r="U666" s="26">
        <f t="shared" si="20"/>
        <v>20</v>
      </c>
    </row>
    <row r="667" spans="19:21" ht="14.65" thickBot="1" x14ac:dyDescent="0.5">
      <c r="S667" s="37">
        <f t="shared" si="21"/>
        <v>43148.704545924484</v>
      </c>
      <c r="U667" s="26">
        <f t="shared" si="20"/>
        <v>20</v>
      </c>
    </row>
    <row r="668" spans="19:21" ht="14.65" thickBot="1" x14ac:dyDescent="0.5">
      <c r="S668" s="37">
        <f t="shared" si="21"/>
        <v>43580.191591383729</v>
      </c>
      <c r="U668" s="26">
        <f t="shared" si="20"/>
        <v>20</v>
      </c>
    </row>
    <row r="669" spans="19:21" ht="14.65" thickBot="1" x14ac:dyDescent="0.5">
      <c r="S669" s="37">
        <f t="shared" si="21"/>
        <v>44015.993507297564</v>
      </c>
      <c r="U669" s="26">
        <f t="shared" si="20"/>
        <v>20</v>
      </c>
    </row>
    <row r="670" spans="19:21" ht="14.65" thickBot="1" x14ac:dyDescent="0.5">
      <c r="S670" s="37">
        <f t="shared" si="21"/>
        <v>44456.153442370538</v>
      </c>
      <c r="U670" s="26">
        <f t="shared" si="20"/>
        <v>20</v>
      </c>
    </row>
    <row r="671" spans="19:21" ht="14.65" thickBot="1" x14ac:dyDescent="0.5">
      <c r="S671" s="37">
        <f t="shared" si="21"/>
        <v>44900.714976794246</v>
      </c>
      <c r="U671" s="26">
        <f t="shared" si="20"/>
        <v>20</v>
      </c>
    </row>
    <row r="672" spans="19:21" ht="14.65" thickBot="1" x14ac:dyDescent="0.5">
      <c r="S672" s="37">
        <f t="shared" si="21"/>
        <v>45349.722126562192</v>
      </c>
      <c r="U672" s="26">
        <f t="shared" si="20"/>
        <v>20</v>
      </c>
    </row>
    <row r="673" spans="19:21" ht="14.65" thickBot="1" x14ac:dyDescent="0.5">
      <c r="S673" s="37">
        <f t="shared" si="21"/>
        <v>45803.219347827813</v>
      </c>
      <c r="U673" s="26">
        <f t="shared" si="20"/>
        <v>20</v>
      </c>
    </row>
    <row r="674" spans="19:21" ht="14.65" thickBot="1" x14ac:dyDescent="0.5">
      <c r="S674" s="37">
        <f t="shared" si="21"/>
        <v>46261.25154130609</v>
      </c>
      <c r="U674" s="26">
        <f t="shared" si="20"/>
        <v>20</v>
      </c>
    </row>
    <row r="675" spans="19:21" ht="14.65" thickBot="1" x14ac:dyDescent="0.5">
      <c r="S675" s="37">
        <f t="shared" si="21"/>
        <v>46723.864056719154</v>
      </c>
      <c r="U675" s="26">
        <f t="shared" si="20"/>
        <v>20</v>
      </c>
    </row>
    <row r="676" spans="19:21" ht="14.65" thickBot="1" x14ac:dyDescent="0.5">
      <c r="S676" s="37">
        <f t="shared" si="21"/>
        <v>47191.102697286347</v>
      </c>
      <c r="U676" s="26">
        <f t="shared" si="20"/>
        <v>20</v>
      </c>
    </row>
    <row r="677" spans="19:21" ht="14.65" thickBot="1" x14ac:dyDescent="0.5">
      <c r="S677" s="37">
        <f t="shared" si="21"/>
        <v>47663.01372425921</v>
      </c>
      <c r="U677" s="26">
        <f t="shared" si="20"/>
        <v>20</v>
      </c>
    </row>
    <row r="678" spans="19:21" ht="14.65" thickBot="1" x14ac:dyDescent="0.5">
      <c r="S678" s="37">
        <f t="shared" si="21"/>
        <v>48139.643861501805</v>
      </c>
      <c r="U678" s="26">
        <f t="shared" si="20"/>
        <v>20</v>
      </c>
    </row>
    <row r="679" spans="19:21" ht="14.65" thickBot="1" x14ac:dyDescent="0.5">
      <c r="S679" s="37">
        <f t="shared" si="21"/>
        <v>48621.040300116823</v>
      </c>
      <c r="U679" s="26">
        <f t="shared" si="20"/>
        <v>20</v>
      </c>
    </row>
    <row r="680" spans="19:21" ht="14.65" thickBot="1" x14ac:dyDescent="0.5">
      <c r="S680" s="37">
        <f t="shared" si="21"/>
        <v>49107.250703117992</v>
      </c>
      <c r="U680" s="26">
        <f t="shared" si="20"/>
        <v>20</v>
      </c>
    </row>
    <row r="681" spans="19:21" ht="14.65" thickBot="1" x14ac:dyDescent="0.5">
      <c r="S681" s="37">
        <f t="shared" si="21"/>
        <v>49598.323210149174</v>
      </c>
      <c r="U681" s="26">
        <f t="shared" si="20"/>
        <v>20</v>
      </c>
    </row>
    <row r="682" spans="19:21" ht="14.65" thickBot="1" x14ac:dyDescent="0.5">
      <c r="S682" s="37">
        <f t="shared" si="21"/>
        <v>50094.306442250665</v>
      </c>
      <c r="U682" s="26">
        <f t="shared" si="20"/>
        <v>20</v>
      </c>
    </row>
    <row r="683" spans="19:21" ht="14.65" thickBot="1" x14ac:dyDescent="0.5">
      <c r="S683" s="37">
        <f t="shared" si="21"/>
        <v>50595.249506673172</v>
      </c>
      <c r="U683" s="26">
        <f t="shared" si="20"/>
        <v>20</v>
      </c>
    </row>
    <row r="684" spans="19:21" ht="14.65" thickBot="1" x14ac:dyDescent="0.5">
      <c r="S684" s="37">
        <f t="shared" si="21"/>
        <v>51101.202001739905</v>
      </c>
      <c r="U684" s="26">
        <f t="shared" si="20"/>
        <v>20</v>
      </c>
    </row>
    <row r="685" spans="19:21" ht="14.65" thickBot="1" x14ac:dyDescent="0.5">
      <c r="S685" s="37">
        <f t="shared" si="21"/>
        <v>51612.214021757303</v>
      </c>
      <c r="U685" s="26">
        <f t="shared" si="20"/>
        <v>20</v>
      </c>
    </row>
    <row r="686" spans="19:21" ht="14.65" thickBot="1" x14ac:dyDescent="0.5">
      <c r="S686" s="37">
        <f t="shared" si="21"/>
        <v>52128.336161974876</v>
      </c>
      <c r="U686" s="26">
        <f t="shared" si="20"/>
        <v>20</v>
      </c>
    </row>
    <row r="687" spans="19:21" ht="14.65" thickBot="1" x14ac:dyDescent="0.5">
      <c r="S687" s="37">
        <f t="shared" si="21"/>
        <v>52649.619523594622</v>
      </c>
      <c r="U687" s="26">
        <f t="shared" si="20"/>
        <v>20</v>
      </c>
    </row>
    <row r="688" spans="19:21" ht="14.65" thickBot="1" x14ac:dyDescent="0.5">
      <c r="S688" s="37">
        <f t="shared" si="21"/>
        <v>53176.115718830566</v>
      </c>
      <c r="U688" s="26">
        <f t="shared" si="20"/>
        <v>20</v>
      </c>
    </row>
    <row r="689" spans="19:21" ht="14.65" thickBot="1" x14ac:dyDescent="0.5">
      <c r="S689" s="37">
        <f t="shared" si="21"/>
        <v>53707.876876018869</v>
      </c>
      <c r="U689" s="26">
        <f t="shared" si="20"/>
        <v>20</v>
      </c>
    </row>
    <row r="690" spans="19:21" ht="14.65" thickBot="1" x14ac:dyDescent="0.5">
      <c r="S690" s="37">
        <f t="shared" si="21"/>
        <v>54244.95564477906</v>
      </c>
      <c r="U690" s="26">
        <f t="shared" si="20"/>
        <v>20</v>
      </c>
    </row>
    <row r="691" spans="19:21" ht="14.65" thickBot="1" x14ac:dyDescent="0.5">
      <c r="S691" s="37">
        <f t="shared" si="21"/>
        <v>54787.405201226851</v>
      </c>
      <c r="U691" s="26">
        <f t="shared" si="20"/>
        <v>20</v>
      </c>
    </row>
    <row r="692" spans="19:21" ht="14.65" thickBot="1" x14ac:dyDescent="0.5">
      <c r="S692" s="37">
        <f t="shared" si="21"/>
        <v>55335.279253239118</v>
      </c>
      <c r="U692" s="26">
        <f t="shared" si="20"/>
        <v>20</v>
      </c>
    </row>
    <row r="693" spans="19:21" ht="14.65" thickBot="1" x14ac:dyDescent="0.5">
      <c r="S693" s="37">
        <f t="shared" si="21"/>
        <v>55888.632045771512</v>
      </c>
      <c r="U693" s="26">
        <f t="shared" si="20"/>
        <v>20</v>
      </c>
    </row>
    <row r="694" spans="19:21" ht="14.65" thickBot="1" x14ac:dyDescent="0.5">
      <c r="S694" s="37">
        <f t="shared" si="21"/>
        <v>56447.518366229226</v>
      </c>
      <c r="U694" s="26">
        <f t="shared" si="20"/>
        <v>20</v>
      </c>
    </row>
    <row r="695" spans="19:21" ht="14.65" thickBot="1" x14ac:dyDescent="0.5">
      <c r="S695" s="37">
        <f t="shared" si="21"/>
        <v>57011.993549891522</v>
      </c>
      <c r="U695" s="26">
        <f t="shared" si="20"/>
        <v>20</v>
      </c>
    </row>
    <row r="696" spans="19:21" ht="14.65" thickBot="1" x14ac:dyDescent="0.5">
      <c r="S696" s="37">
        <f t="shared" si="21"/>
        <v>57582.113485390437</v>
      </c>
      <c r="U696" s="26">
        <f t="shared" si="20"/>
        <v>20</v>
      </c>
    </row>
    <row r="697" spans="19:21" ht="14.65" thickBot="1" x14ac:dyDescent="0.5">
      <c r="S697" s="37">
        <f t="shared" si="21"/>
        <v>58157.934620244341</v>
      </c>
      <c r="U697" s="26">
        <f t="shared" si="20"/>
        <v>20</v>
      </c>
    </row>
    <row r="698" spans="19:21" ht="14.65" thickBot="1" x14ac:dyDescent="0.5">
      <c r="S698" s="37">
        <f t="shared" si="21"/>
        <v>58739.513966446786</v>
      </c>
      <c r="U698" s="26">
        <f t="shared" si="20"/>
        <v>20</v>
      </c>
    </row>
    <row r="699" spans="19:21" ht="14.65" thickBot="1" x14ac:dyDescent="0.5">
      <c r="S699" s="37">
        <f t="shared" si="21"/>
        <v>59326.909106111256</v>
      </c>
      <c r="U699" s="26">
        <f t="shared" si="20"/>
        <v>20</v>
      </c>
    </row>
    <row r="700" spans="19:21" ht="14.65" thickBot="1" x14ac:dyDescent="0.5">
      <c r="S700" s="37">
        <f t="shared" si="21"/>
        <v>59920.178197172369</v>
      </c>
      <c r="U700" s="26">
        <f t="shared" si="20"/>
        <v>20</v>
      </c>
    </row>
    <row r="701" spans="19:21" ht="14.65" thickBot="1" x14ac:dyDescent="0.5">
      <c r="S701" s="37">
        <f t="shared" si="21"/>
        <v>60519.379979144091</v>
      </c>
      <c r="U701" s="26">
        <f t="shared" si="20"/>
        <v>20</v>
      </c>
    </row>
    <row r="702" spans="19:21" ht="14.65" thickBot="1" x14ac:dyDescent="0.5">
      <c r="S702" s="37">
        <f t="shared" si="21"/>
        <v>61124.573778935533</v>
      </c>
      <c r="U702" s="26">
        <f t="shared" si="20"/>
        <v>20</v>
      </c>
    </row>
    <row r="703" spans="19:21" ht="14.65" thickBot="1" x14ac:dyDescent="0.5">
      <c r="S703" s="37">
        <f t="shared" si="21"/>
        <v>61735.819516724892</v>
      </c>
      <c r="U703" s="26">
        <f t="shared" si="20"/>
        <v>20</v>
      </c>
    </row>
    <row r="704" spans="19:21" ht="14.65" thickBot="1" x14ac:dyDescent="0.5">
      <c r="S704" s="37">
        <f t="shared" si="21"/>
        <v>62353.177711892138</v>
      </c>
      <c r="U704" s="26">
        <f t="shared" si="20"/>
        <v>20</v>
      </c>
    </row>
    <row r="705" spans="19:21" ht="14.65" thickBot="1" x14ac:dyDescent="0.5">
      <c r="S705" s="37">
        <f t="shared" si="21"/>
        <v>62976.70948901106</v>
      </c>
      <c r="U705" s="26">
        <f t="shared" si="20"/>
        <v>20</v>
      </c>
    </row>
    <row r="706" spans="19:21" ht="14.65" thickBot="1" x14ac:dyDescent="0.5">
      <c r="S706" s="37">
        <f t="shared" si="21"/>
        <v>63606.476583901174</v>
      </c>
      <c r="U706" s="26">
        <f t="shared" si="20"/>
        <v>20</v>
      </c>
    </row>
    <row r="707" spans="19:21" ht="14.65" thickBot="1" x14ac:dyDescent="0.5">
      <c r="S707" s="37">
        <f t="shared" si="21"/>
        <v>64242.54134974019</v>
      </c>
      <c r="U707" s="26">
        <f t="shared" si="20"/>
        <v>20</v>
      </c>
    </row>
    <row r="708" spans="19:21" ht="14.65" thickBot="1" x14ac:dyDescent="0.5">
      <c r="S708" s="37">
        <f t="shared" si="21"/>
        <v>64884.966763237593</v>
      </c>
      <c r="U708" s="26">
        <f t="shared" si="20"/>
        <v>20</v>
      </c>
    </row>
    <row r="709" spans="19:21" ht="14.65" thickBot="1" x14ac:dyDescent="0.5">
      <c r="S709" s="37">
        <f t="shared" si="21"/>
        <v>65533.816430869971</v>
      </c>
      <c r="U709" s="26">
        <f t="shared" si="20"/>
        <v>20</v>
      </c>
    </row>
    <row r="710" spans="19:21" ht="14.65" thickBot="1" x14ac:dyDescent="0.5">
      <c r="S710" s="37">
        <f t="shared" si="21"/>
        <v>66189.154595178668</v>
      </c>
      <c r="U710" s="26">
        <f t="shared" si="20"/>
        <v>20</v>
      </c>
    </row>
    <row r="711" spans="19:21" ht="14.65" thickBot="1" x14ac:dyDescent="0.5">
      <c r="S711" s="37">
        <f t="shared" si="21"/>
        <v>66851.046141130457</v>
      </c>
      <c r="U711" s="26">
        <f t="shared" si="20"/>
        <v>20</v>
      </c>
    </row>
    <row r="712" spans="19:21" ht="14.65" thickBot="1" x14ac:dyDescent="0.5">
      <c r="S712" s="37">
        <f t="shared" si="21"/>
        <v>67519.556602541765</v>
      </c>
      <c r="U712" s="26">
        <f t="shared" si="20"/>
        <v>20</v>
      </c>
    </row>
    <row r="713" spans="19:21" ht="14.65" thickBot="1" x14ac:dyDescent="0.5">
      <c r="S713" s="37">
        <f t="shared" si="21"/>
        <v>68194.752168567182</v>
      </c>
      <c r="U713" s="26">
        <f t="shared" si="20"/>
        <v>20</v>
      </c>
    </row>
    <row r="714" spans="19:21" ht="14.65" thickBot="1" x14ac:dyDescent="0.5">
      <c r="S714" s="37">
        <f t="shared" si="21"/>
        <v>68876.699690252848</v>
      </c>
      <c r="U714" s="26">
        <f t="shared" si="20"/>
        <v>20</v>
      </c>
    </row>
    <row r="715" spans="19:21" ht="14.65" thickBot="1" x14ac:dyDescent="0.5">
      <c r="S715" s="37">
        <f t="shared" si="21"/>
        <v>69565.466687155378</v>
      </c>
      <c r="U715" s="26">
        <f t="shared" si="20"/>
        <v>20</v>
      </c>
    </row>
    <row r="716" spans="19:21" ht="14.65" thickBot="1" x14ac:dyDescent="0.5">
      <c r="S716" s="37">
        <f t="shared" si="21"/>
        <v>70261.121354026938</v>
      </c>
      <c r="U716" s="26">
        <f t="shared" si="20"/>
        <v>20</v>
      </c>
    </row>
    <row r="717" spans="19:21" ht="14.65" thickBot="1" x14ac:dyDescent="0.5">
      <c r="S717" s="37">
        <f t="shared" si="21"/>
        <v>70963.732567567204</v>
      </c>
      <c r="U717" s="26">
        <f t="shared" si="20"/>
        <v>20</v>
      </c>
    </row>
    <row r="718" spans="19:21" ht="14.65" thickBot="1" x14ac:dyDescent="0.5">
      <c r="S718" s="37">
        <f t="shared" si="21"/>
        <v>71673.369893242882</v>
      </c>
      <c r="U718" s="26">
        <f t="shared" si="20"/>
        <v>20</v>
      </c>
    </row>
    <row r="719" spans="19:21" ht="14.65" thickBot="1" x14ac:dyDescent="0.5">
      <c r="S719" s="37">
        <f t="shared" si="21"/>
        <v>72390.103592175306</v>
      </c>
      <c r="U719" s="26">
        <f t="shared" si="20"/>
        <v>20</v>
      </c>
    </row>
    <row r="720" spans="19:21" ht="14.65" thickBot="1" x14ac:dyDescent="0.5">
      <c r="S720" s="37">
        <f t="shared" si="21"/>
        <v>73114.004628097056</v>
      </c>
      <c r="U720" s="26">
        <f t="shared" si="20"/>
        <v>20</v>
      </c>
    </row>
    <row r="721" spans="19:21" ht="14.65" thickBot="1" x14ac:dyDescent="0.5">
      <c r="S721" s="37">
        <f t="shared" si="21"/>
        <v>73845.144674378025</v>
      </c>
      <c r="U721" s="26">
        <f t="shared" si="20"/>
        <v>20</v>
      </c>
    </row>
    <row r="722" spans="19:21" ht="14.65" thickBot="1" x14ac:dyDescent="0.5">
      <c r="S722" s="37">
        <f t="shared" si="21"/>
        <v>74583.596121121809</v>
      </c>
      <c r="U722" s="26">
        <f t="shared" ref="U722:U785" si="22">IF(S722&lt;$D$8,S722-$D$7+$D$9,$D$8-$D$7+$D$9)</f>
        <v>20</v>
      </c>
    </row>
    <row r="723" spans="19:21" ht="14.65" thickBot="1" x14ac:dyDescent="0.5">
      <c r="S723" s="37">
        <f t="shared" ref="S723:S786" si="23">S722*(1.01)</f>
        <v>75329.432082333034</v>
      </c>
      <c r="U723" s="26">
        <f t="shared" si="22"/>
        <v>20</v>
      </c>
    </row>
    <row r="724" spans="19:21" ht="14.65" thickBot="1" x14ac:dyDescent="0.5">
      <c r="S724" s="37">
        <f t="shared" si="23"/>
        <v>76082.726403156368</v>
      </c>
      <c r="U724" s="26">
        <f t="shared" si="22"/>
        <v>20</v>
      </c>
    </row>
    <row r="725" spans="19:21" ht="14.65" thickBot="1" x14ac:dyDescent="0.5">
      <c r="S725" s="37">
        <f t="shared" si="23"/>
        <v>76843.553667187938</v>
      </c>
      <c r="U725" s="26">
        <f t="shared" si="22"/>
        <v>20</v>
      </c>
    </row>
    <row r="726" spans="19:21" ht="14.65" thickBot="1" x14ac:dyDescent="0.5">
      <c r="S726" s="37">
        <f t="shared" si="23"/>
        <v>77611.989203859819</v>
      </c>
      <c r="U726" s="26">
        <f t="shared" si="22"/>
        <v>20</v>
      </c>
    </row>
    <row r="727" spans="19:21" ht="14.65" thickBot="1" x14ac:dyDescent="0.5">
      <c r="S727" s="37">
        <f t="shared" si="23"/>
        <v>78388.109095898413</v>
      </c>
      <c r="U727" s="26">
        <f t="shared" si="22"/>
        <v>20</v>
      </c>
    </row>
    <row r="728" spans="19:21" ht="14.65" thickBot="1" x14ac:dyDescent="0.5">
      <c r="S728" s="37">
        <f t="shared" si="23"/>
        <v>79171.990186857394</v>
      </c>
      <c r="U728" s="26">
        <f t="shared" si="22"/>
        <v>20</v>
      </c>
    </row>
    <row r="729" spans="19:21" ht="14.65" thickBot="1" x14ac:dyDescent="0.5">
      <c r="S729" s="37">
        <f t="shared" si="23"/>
        <v>79963.710088725973</v>
      </c>
      <c r="U729" s="26">
        <f t="shared" si="22"/>
        <v>20</v>
      </c>
    </row>
    <row r="730" spans="19:21" ht="14.65" thickBot="1" x14ac:dyDescent="0.5">
      <c r="S730" s="37">
        <f t="shared" si="23"/>
        <v>80763.34718961324</v>
      </c>
      <c r="U730" s="26">
        <f t="shared" si="22"/>
        <v>20</v>
      </c>
    </row>
    <row r="731" spans="19:21" ht="14.65" thickBot="1" x14ac:dyDescent="0.5">
      <c r="S731" s="37">
        <f t="shared" si="23"/>
        <v>81570.980661509369</v>
      </c>
      <c r="U731" s="26">
        <f t="shared" si="22"/>
        <v>20</v>
      </c>
    </row>
    <row r="732" spans="19:21" ht="14.65" thickBot="1" x14ac:dyDescent="0.5">
      <c r="S732" s="37">
        <f t="shared" si="23"/>
        <v>82386.690468124463</v>
      </c>
      <c r="U732" s="26">
        <f t="shared" si="22"/>
        <v>20</v>
      </c>
    </row>
    <row r="733" spans="19:21" ht="14.65" thickBot="1" x14ac:dyDescent="0.5">
      <c r="S733" s="37">
        <f t="shared" si="23"/>
        <v>83210.557372805706</v>
      </c>
      <c r="U733" s="26">
        <f t="shared" si="22"/>
        <v>20</v>
      </c>
    </row>
    <row r="734" spans="19:21" ht="14.65" thickBot="1" x14ac:dyDescent="0.5">
      <c r="S734" s="37">
        <f t="shared" si="23"/>
        <v>84042.662946533761</v>
      </c>
      <c r="U734" s="26">
        <f t="shared" si="22"/>
        <v>20</v>
      </c>
    </row>
    <row r="735" spans="19:21" ht="14.65" thickBot="1" x14ac:dyDescent="0.5">
      <c r="S735" s="37">
        <f t="shared" si="23"/>
        <v>84883.089575999096</v>
      </c>
      <c r="U735" s="26">
        <f t="shared" si="22"/>
        <v>20</v>
      </c>
    </row>
    <row r="736" spans="19:21" ht="14.65" thickBot="1" x14ac:dyDescent="0.5">
      <c r="S736" s="37">
        <f t="shared" si="23"/>
        <v>85731.920471759091</v>
      </c>
      <c r="U736" s="26">
        <f t="shared" si="22"/>
        <v>20</v>
      </c>
    </row>
    <row r="737" spans="19:21" ht="14.65" thickBot="1" x14ac:dyDescent="0.5">
      <c r="S737" s="37">
        <f t="shared" si="23"/>
        <v>86589.239676476689</v>
      </c>
      <c r="U737" s="26">
        <f t="shared" si="22"/>
        <v>20</v>
      </c>
    </row>
    <row r="738" spans="19:21" ht="14.65" thickBot="1" x14ac:dyDescent="0.5">
      <c r="S738" s="37">
        <f t="shared" si="23"/>
        <v>87455.132073241461</v>
      </c>
      <c r="U738" s="26">
        <f t="shared" si="22"/>
        <v>20</v>
      </c>
    </row>
    <row r="739" spans="19:21" ht="14.65" thickBot="1" x14ac:dyDescent="0.5">
      <c r="S739" s="37">
        <f t="shared" si="23"/>
        <v>88329.683393973872</v>
      </c>
      <c r="U739" s="26">
        <f t="shared" si="22"/>
        <v>20</v>
      </c>
    </row>
    <row r="740" spans="19:21" ht="14.65" thickBot="1" x14ac:dyDescent="0.5">
      <c r="S740" s="37">
        <f t="shared" si="23"/>
        <v>89212.980227913606</v>
      </c>
      <c r="U740" s="26">
        <f t="shared" si="22"/>
        <v>20</v>
      </c>
    </row>
    <row r="741" spans="19:21" ht="14.65" thickBot="1" x14ac:dyDescent="0.5">
      <c r="S741" s="37">
        <f t="shared" si="23"/>
        <v>90105.110030192736</v>
      </c>
      <c r="U741" s="26">
        <f t="shared" si="22"/>
        <v>20</v>
      </c>
    </row>
    <row r="742" spans="19:21" ht="14.65" thickBot="1" x14ac:dyDescent="0.5">
      <c r="S742" s="37">
        <f t="shared" si="23"/>
        <v>91006.161130494671</v>
      </c>
      <c r="U742" s="26">
        <f t="shared" si="22"/>
        <v>20</v>
      </c>
    </row>
    <row r="743" spans="19:21" ht="14.65" thickBot="1" x14ac:dyDescent="0.5">
      <c r="S743" s="37">
        <f t="shared" si="23"/>
        <v>91916.222741799618</v>
      </c>
      <c r="U743" s="26">
        <f t="shared" si="22"/>
        <v>20</v>
      </c>
    </row>
    <row r="744" spans="19:21" ht="14.65" thickBot="1" x14ac:dyDescent="0.5">
      <c r="S744" s="37">
        <f t="shared" si="23"/>
        <v>92835.384969217615</v>
      </c>
      <c r="U744" s="26">
        <f t="shared" si="22"/>
        <v>20</v>
      </c>
    </row>
    <row r="745" spans="19:21" ht="14.65" thickBot="1" x14ac:dyDescent="0.5">
      <c r="S745" s="37">
        <f t="shared" si="23"/>
        <v>93763.738818909798</v>
      </c>
      <c r="U745" s="26">
        <f t="shared" si="22"/>
        <v>20</v>
      </c>
    </row>
    <row r="746" spans="19:21" ht="14.65" thickBot="1" x14ac:dyDescent="0.5">
      <c r="S746" s="37">
        <f t="shared" si="23"/>
        <v>94701.376207098903</v>
      </c>
      <c r="U746" s="26">
        <f t="shared" si="22"/>
        <v>20</v>
      </c>
    </row>
    <row r="747" spans="19:21" ht="14.65" thickBot="1" x14ac:dyDescent="0.5">
      <c r="S747" s="37">
        <f t="shared" si="23"/>
        <v>95648.38996916989</v>
      </c>
      <c r="U747" s="26">
        <f t="shared" si="22"/>
        <v>20</v>
      </c>
    </row>
    <row r="748" spans="19:21" ht="14.65" thickBot="1" x14ac:dyDescent="0.5">
      <c r="S748" s="37">
        <f t="shared" si="23"/>
        <v>96604.873868861585</v>
      </c>
      <c r="U748" s="26">
        <f t="shared" si="22"/>
        <v>20</v>
      </c>
    </row>
    <row r="749" spans="19:21" ht="14.65" thickBot="1" x14ac:dyDescent="0.5">
      <c r="S749" s="37">
        <f t="shared" si="23"/>
        <v>97570.922607550208</v>
      </c>
      <c r="U749" s="26">
        <f t="shared" si="22"/>
        <v>20</v>
      </c>
    </row>
    <row r="750" spans="19:21" ht="14.65" thickBot="1" x14ac:dyDescent="0.5">
      <c r="S750" s="37">
        <f t="shared" si="23"/>
        <v>98546.63183362571</v>
      </c>
      <c r="U750" s="26">
        <f t="shared" si="22"/>
        <v>20</v>
      </c>
    </row>
    <row r="751" spans="19:21" ht="14.65" thickBot="1" x14ac:dyDescent="0.5">
      <c r="S751" s="37">
        <f t="shared" si="23"/>
        <v>99532.098151961967</v>
      </c>
      <c r="U751" s="26">
        <f t="shared" si="22"/>
        <v>20</v>
      </c>
    </row>
    <row r="752" spans="19:21" ht="14.65" thickBot="1" x14ac:dyDescent="0.5">
      <c r="S752" s="37">
        <f t="shared" si="23"/>
        <v>100527.41913348158</v>
      </c>
      <c r="U752" s="26">
        <f t="shared" si="22"/>
        <v>20</v>
      </c>
    </row>
    <row r="753" spans="19:21" ht="14.65" thickBot="1" x14ac:dyDescent="0.5">
      <c r="S753" s="37">
        <f t="shared" si="23"/>
        <v>101532.6933248164</v>
      </c>
      <c r="U753" s="26">
        <f t="shared" si="22"/>
        <v>20</v>
      </c>
    </row>
    <row r="754" spans="19:21" ht="14.65" thickBot="1" x14ac:dyDescent="0.5">
      <c r="S754" s="37">
        <f t="shared" si="23"/>
        <v>102548.02025806456</v>
      </c>
      <c r="U754" s="26">
        <f t="shared" si="22"/>
        <v>20</v>
      </c>
    </row>
    <row r="755" spans="19:21" ht="14.65" thickBot="1" x14ac:dyDescent="0.5">
      <c r="S755" s="37">
        <f t="shared" si="23"/>
        <v>103573.5004606452</v>
      </c>
      <c r="U755" s="26">
        <f t="shared" si="22"/>
        <v>20</v>
      </c>
    </row>
    <row r="756" spans="19:21" ht="14.65" thickBot="1" x14ac:dyDescent="0.5">
      <c r="S756" s="37">
        <f t="shared" si="23"/>
        <v>104609.23546525165</v>
      </c>
      <c r="U756" s="26">
        <f t="shared" si="22"/>
        <v>20</v>
      </c>
    </row>
    <row r="757" spans="19:21" ht="14.65" thickBot="1" x14ac:dyDescent="0.5">
      <c r="S757" s="37">
        <f t="shared" si="23"/>
        <v>105655.32781990417</v>
      </c>
      <c r="U757" s="26">
        <f t="shared" si="22"/>
        <v>20</v>
      </c>
    </row>
    <row r="758" spans="19:21" ht="14.65" thickBot="1" x14ac:dyDescent="0.5">
      <c r="S758" s="37">
        <f t="shared" si="23"/>
        <v>106711.88109810321</v>
      </c>
      <c r="U758" s="26">
        <f t="shared" si="22"/>
        <v>20</v>
      </c>
    </row>
    <row r="759" spans="19:21" ht="14.65" thickBot="1" x14ac:dyDescent="0.5">
      <c r="S759" s="37">
        <f t="shared" si="23"/>
        <v>107778.99990908425</v>
      </c>
      <c r="U759" s="26">
        <f t="shared" si="22"/>
        <v>20</v>
      </c>
    </row>
    <row r="760" spans="19:21" ht="14.65" thickBot="1" x14ac:dyDescent="0.5">
      <c r="S760" s="37">
        <f t="shared" si="23"/>
        <v>108856.78990817509</v>
      </c>
      <c r="U760" s="26">
        <f t="shared" si="22"/>
        <v>20</v>
      </c>
    </row>
    <row r="761" spans="19:21" ht="14.65" thickBot="1" x14ac:dyDescent="0.5">
      <c r="S761" s="37">
        <f t="shared" si="23"/>
        <v>109945.35780725685</v>
      </c>
      <c r="U761" s="26">
        <f t="shared" si="22"/>
        <v>20</v>
      </c>
    </row>
    <row r="762" spans="19:21" ht="14.65" thickBot="1" x14ac:dyDescent="0.5">
      <c r="S762" s="37">
        <f t="shared" si="23"/>
        <v>111044.81138532942</v>
      </c>
      <c r="U762" s="26">
        <f t="shared" si="22"/>
        <v>20</v>
      </c>
    </row>
    <row r="763" spans="19:21" ht="14.65" thickBot="1" x14ac:dyDescent="0.5">
      <c r="S763" s="37">
        <f t="shared" si="23"/>
        <v>112155.25949918272</v>
      </c>
      <c r="U763" s="26">
        <f t="shared" si="22"/>
        <v>20</v>
      </c>
    </row>
    <row r="764" spans="19:21" ht="14.65" thickBot="1" x14ac:dyDescent="0.5">
      <c r="S764" s="37">
        <f t="shared" si="23"/>
        <v>113276.81209417454</v>
      </c>
      <c r="U764" s="26">
        <f t="shared" si="22"/>
        <v>20</v>
      </c>
    </row>
    <row r="765" spans="19:21" ht="14.65" thickBot="1" x14ac:dyDescent="0.5">
      <c r="S765" s="37">
        <f t="shared" si="23"/>
        <v>114409.58021511629</v>
      </c>
      <c r="U765" s="26">
        <f t="shared" si="22"/>
        <v>20</v>
      </c>
    </row>
    <row r="766" spans="19:21" ht="14.65" thickBot="1" x14ac:dyDescent="0.5">
      <c r="S766" s="37">
        <f t="shared" si="23"/>
        <v>115553.67601726745</v>
      </c>
      <c r="U766" s="26">
        <f t="shared" si="22"/>
        <v>20</v>
      </c>
    </row>
    <row r="767" spans="19:21" ht="14.65" thickBot="1" x14ac:dyDescent="0.5">
      <c r="S767" s="37">
        <f t="shared" si="23"/>
        <v>116709.21277744013</v>
      </c>
      <c r="U767" s="26">
        <f t="shared" si="22"/>
        <v>20</v>
      </c>
    </row>
    <row r="768" spans="19:21" ht="14.65" thickBot="1" x14ac:dyDescent="0.5">
      <c r="S768" s="37">
        <f t="shared" si="23"/>
        <v>117876.30490521454</v>
      </c>
      <c r="U768" s="26">
        <f t="shared" si="22"/>
        <v>20</v>
      </c>
    </row>
    <row r="769" spans="19:21" ht="14.65" thickBot="1" x14ac:dyDescent="0.5">
      <c r="S769" s="37">
        <f t="shared" si="23"/>
        <v>119055.06795426668</v>
      </c>
      <c r="U769" s="26">
        <f t="shared" si="22"/>
        <v>20</v>
      </c>
    </row>
    <row r="770" spans="19:21" ht="14.65" thickBot="1" x14ac:dyDescent="0.5">
      <c r="S770" s="37">
        <f t="shared" si="23"/>
        <v>120245.61863380934</v>
      </c>
      <c r="U770" s="26">
        <f t="shared" si="22"/>
        <v>20</v>
      </c>
    </row>
    <row r="771" spans="19:21" ht="14.65" thickBot="1" x14ac:dyDescent="0.5">
      <c r="S771" s="37">
        <f t="shared" si="23"/>
        <v>121448.07482014743</v>
      </c>
      <c r="U771" s="26">
        <f t="shared" si="22"/>
        <v>20</v>
      </c>
    </row>
    <row r="772" spans="19:21" ht="14.65" thickBot="1" x14ac:dyDescent="0.5">
      <c r="S772" s="37">
        <f t="shared" si="23"/>
        <v>122662.55556834891</v>
      </c>
      <c r="U772" s="26">
        <f t="shared" si="22"/>
        <v>20</v>
      </c>
    </row>
    <row r="773" spans="19:21" ht="14.65" thickBot="1" x14ac:dyDescent="0.5">
      <c r="S773" s="37">
        <f t="shared" si="23"/>
        <v>123889.1811240324</v>
      </c>
      <c r="U773" s="26">
        <f t="shared" si="22"/>
        <v>20</v>
      </c>
    </row>
    <row r="774" spans="19:21" ht="14.65" thickBot="1" x14ac:dyDescent="0.5">
      <c r="S774" s="37">
        <f t="shared" si="23"/>
        <v>125128.07293527272</v>
      </c>
      <c r="U774" s="26">
        <f t="shared" si="22"/>
        <v>20</v>
      </c>
    </row>
    <row r="775" spans="19:21" ht="14.65" thickBot="1" x14ac:dyDescent="0.5">
      <c r="S775" s="37">
        <f t="shared" si="23"/>
        <v>126379.35366462545</v>
      </c>
      <c r="U775" s="26">
        <f t="shared" si="22"/>
        <v>20</v>
      </c>
    </row>
    <row r="776" spans="19:21" ht="14.65" thickBot="1" x14ac:dyDescent="0.5">
      <c r="S776" s="37">
        <f t="shared" si="23"/>
        <v>127643.14720127171</v>
      </c>
      <c r="U776" s="26">
        <f t="shared" si="22"/>
        <v>20</v>
      </c>
    </row>
    <row r="777" spans="19:21" ht="14.65" thickBot="1" x14ac:dyDescent="0.5">
      <c r="S777" s="37">
        <f t="shared" si="23"/>
        <v>128919.57867328443</v>
      </c>
      <c r="U777" s="26">
        <f t="shared" si="22"/>
        <v>20</v>
      </c>
    </row>
    <row r="778" spans="19:21" ht="14.65" thickBot="1" x14ac:dyDescent="0.5">
      <c r="S778" s="37">
        <f t="shared" si="23"/>
        <v>130208.77446001727</v>
      </c>
      <c r="U778" s="26">
        <f t="shared" si="22"/>
        <v>20</v>
      </c>
    </row>
    <row r="779" spans="19:21" ht="14.65" thickBot="1" x14ac:dyDescent="0.5">
      <c r="S779" s="37">
        <f t="shared" si="23"/>
        <v>131510.86220461744</v>
      </c>
      <c r="U779" s="26">
        <f t="shared" si="22"/>
        <v>20</v>
      </c>
    </row>
    <row r="780" spans="19:21" ht="14.65" thickBot="1" x14ac:dyDescent="0.5">
      <c r="S780" s="37">
        <f t="shared" si="23"/>
        <v>132825.97082666363</v>
      </c>
      <c r="U780" s="26">
        <f t="shared" si="22"/>
        <v>20</v>
      </c>
    </row>
    <row r="781" spans="19:21" ht="14.65" thickBot="1" x14ac:dyDescent="0.5">
      <c r="S781" s="37">
        <f t="shared" si="23"/>
        <v>134154.23053493028</v>
      </c>
      <c r="U781" s="26">
        <f t="shared" si="22"/>
        <v>20</v>
      </c>
    </row>
    <row r="782" spans="19:21" ht="14.65" thickBot="1" x14ac:dyDescent="0.5">
      <c r="S782" s="37">
        <f t="shared" si="23"/>
        <v>135495.77284027959</v>
      </c>
      <c r="U782" s="26">
        <f t="shared" si="22"/>
        <v>20</v>
      </c>
    </row>
    <row r="783" spans="19:21" ht="14.65" thickBot="1" x14ac:dyDescent="0.5">
      <c r="S783" s="37">
        <f t="shared" si="23"/>
        <v>136850.7305686824</v>
      </c>
      <c r="U783" s="26">
        <f t="shared" si="22"/>
        <v>20</v>
      </c>
    </row>
    <row r="784" spans="19:21" ht="14.65" thickBot="1" x14ac:dyDescent="0.5">
      <c r="S784" s="37">
        <f t="shared" si="23"/>
        <v>138219.23787436922</v>
      </c>
      <c r="U784" s="26">
        <f t="shared" si="22"/>
        <v>20</v>
      </c>
    </row>
    <row r="785" spans="19:21" ht="14.65" thickBot="1" x14ac:dyDescent="0.5">
      <c r="S785" s="37">
        <f t="shared" si="23"/>
        <v>139601.43025311292</v>
      </c>
      <c r="U785" s="26">
        <f t="shared" si="22"/>
        <v>20</v>
      </c>
    </row>
    <row r="786" spans="19:21" ht="14.65" thickBot="1" x14ac:dyDescent="0.5">
      <c r="S786" s="37">
        <f t="shared" si="23"/>
        <v>140997.44455564406</v>
      </c>
      <c r="U786" s="26">
        <f t="shared" ref="U786:U849" si="24">IF(S786&lt;$D$8,S786-$D$7+$D$9,$D$8-$D$7+$D$9)</f>
        <v>20</v>
      </c>
    </row>
    <row r="787" spans="19:21" ht="14.65" thickBot="1" x14ac:dyDescent="0.5">
      <c r="S787" s="37">
        <f t="shared" ref="S787:S850" si="25">S786*(1.01)</f>
        <v>142407.4190012005</v>
      </c>
      <c r="U787" s="26">
        <f t="shared" si="24"/>
        <v>20</v>
      </c>
    </row>
    <row r="788" spans="19:21" ht="14.65" thickBot="1" x14ac:dyDescent="0.5">
      <c r="S788" s="37">
        <f t="shared" si="25"/>
        <v>143831.4931912125</v>
      </c>
      <c r="U788" s="26">
        <f t="shared" si="24"/>
        <v>20</v>
      </c>
    </row>
    <row r="789" spans="19:21" ht="14.65" thickBot="1" x14ac:dyDescent="0.5">
      <c r="S789" s="37">
        <f t="shared" si="25"/>
        <v>145269.80812312462</v>
      </c>
      <c r="U789" s="26">
        <f t="shared" si="24"/>
        <v>20</v>
      </c>
    </row>
    <row r="790" spans="19:21" ht="14.65" thickBot="1" x14ac:dyDescent="0.5">
      <c r="S790" s="37">
        <f t="shared" si="25"/>
        <v>146722.50620435586</v>
      </c>
      <c r="U790" s="26">
        <f t="shared" si="24"/>
        <v>20</v>
      </c>
    </row>
    <row r="791" spans="19:21" ht="14.65" thickBot="1" x14ac:dyDescent="0.5">
      <c r="S791" s="37">
        <f t="shared" si="25"/>
        <v>148189.73126639941</v>
      </c>
      <c r="U791" s="26">
        <f t="shared" si="24"/>
        <v>20</v>
      </c>
    </row>
    <row r="792" spans="19:21" ht="14.65" thickBot="1" x14ac:dyDescent="0.5">
      <c r="S792" s="37">
        <f t="shared" si="25"/>
        <v>149671.6285790634</v>
      </c>
      <c r="U792" s="26">
        <f t="shared" si="24"/>
        <v>20</v>
      </c>
    </row>
    <row r="793" spans="19:21" ht="14.65" thickBot="1" x14ac:dyDescent="0.5">
      <c r="S793" s="37">
        <f t="shared" si="25"/>
        <v>151168.34486485404</v>
      </c>
      <c r="U793" s="26">
        <f t="shared" si="24"/>
        <v>20</v>
      </c>
    </row>
    <row r="794" spans="19:21" ht="14.65" thickBot="1" x14ac:dyDescent="0.5">
      <c r="S794" s="37">
        <f t="shared" si="25"/>
        <v>152680.02831350258</v>
      </c>
      <c r="U794" s="26">
        <f t="shared" si="24"/>
        <v>20</v>
      </c>
    </row>
    <row r="795" spans="19:21" ht="14.65" thickBot="1" x14ac:dyDescent="0.5">
      <c r="S795" s="37">
        <f t="shared" si="25"/>
        <v>154206.82859663761</v>
      </c>
      <c r="U795" s="26">
        <f t="shared" si="24"/>
        <v>20</v>
      </c>
    </row>
    <row r="796" spans="19:21" ht="14.65" thickBot="1" x14ac:dyDescent="0.5">
      <c r="S796" s="37">
        <f t="shared" si="25"/>
        <v>155748.89688260399</v>
      </c>
      <c r="U796" s="26">
        <f t="shared" si="24"/>
        <v>20</v>
      </c>
    </row>
    <row r="797" spans="19:21" ht="14.65" thickBot="1" x14ac:dyDescent="0.5">
      <c r="S797" s="37">
        <f t="shared" si="25"/>
        <v>157306.38585143004</v>
      </c>
      <c r="U797" s="26">
        <f t="shared" si="24"/>
        <v>20</v>
      </c>
    </row>
    <row r="798" spans="19:21" ht="14.65" thickBot="1" x14ac:dyDescent="0.5">
      <c r="S798" s="37">
        <f t="shared" si="25"/>
        <v>158879.44970994434</v>
      </c>
      <c r="U798" s="26">
        <f t="shared" si="24"/>
        <v>20</v>
      </c>
    </row>
    <row r="799" spans="19:21" ht="14.65" thickBot="1" x14ac:dyDescent="0.5">
      <c r="S799" s="37">
        <f t="shared" si="25"/>
        <v>160468.24420704378</v>
      </c>
      <c r="U799" s="26">
        <f t="shared" si="24"/>
        <v>20</v>
      </c>
    </row>
    <row r="800" spans="19:21" ht="14.65" thickBot="1" x14ac:dyDescent="0.5">
      <c r="S800" s="37">
        <f t="shared" si="25"/>
        <v>162072.92664911423</v>
      </c>
      <c r="U800" s="26">
        <f t="shared" si="24"/>
        <v>20</v>
      </c>
    </row>
    <row r="801" spans="19:21" ht="14.65" thickBot="1" x14ac:dyDescent="0.5">
      <c r="S801" s="37">
        <f t="shared" si="25"/>
        <v>163693.65591560537</v>
      </c>
      <c r="U801" s="26">
        <f t="shared" si="24"/>
        <v>20</v>
      </c>
    </row>
    <row r="802" spans="19:21" ht="14.65" thickBot="1" x14ac:dyDescent="0.5">
      <c r="S802" s="37">
        <f t="shared" si="25"/>
        <v>165330.59247476142</v>
      </c>
      <c r="U802" s="26">
        <f t="shared" si="24"/>
        <v>20</v>
      </c>
    </row>
    <row r="803" spans="19:21" ht="14.65" thickBot="1" x14ac:dyDescent="0.5">
      <c r="S803" s="37">
        <f t="shared" si="25"/>
        <v>166983.89839950902</v>
      </c>
      <c r="U803" s="26">
        <f t="shared" si="24"/>
        <v>20</v>
      </c>
    </row>
    <row r="804" spans="19:21" ht="14.65" thickBot="1" x14ac:dyDescent="0.5">
      <c r="S804" s="37">
        <f t="shared" si="25"/>
        <v>168653.73738350411</v>
      </c>
      <c r="U804" s="26">
        <f t="shared" si="24"/>
        <v>20</v>
      </c>
    </row>
    <row r="805" spans="19:21" ht="14.65" thickBot="1" x14ac:dyDescent="0.5">
      <c r="S805" s="37">
        <f t="shared" si="25"/>
        <v>170340.27475733915</v>
      </c>
      <c r="U805" s="26">
        <f t="shared" si="24"/>
        <v>20</v>
      </c>
    </row>
    <row r="806" spans="19:21" ht="14.65" thickBot="1" x14ac:dyDescent="0.5">
      <c r="S806" s="37">
        <f t="shared" si="25"/>
        <v>172043.67750491254</v>
      </c>
      <c r="U806" s="26">
        <f t="shared" si="24"/>
        <v>20</v>
      </c>
    </row>
    <row r="807" spans="19:21" ht="14.65" thickBot="1" x14ac:dyDescent="0.5">
      <c r="S807" s="37">
        <f t="shared" si="25"/>
        <v>173764.11427996168</v>
      </c>
      <c r="U807" s="26">
        <f t="shared" si="24"/>
        <v>20</v>
      </c>
    </row>
    <row r="808" spans="19:21" ht="14.65" thickBot="1" x14ac:dyDescent="0.5">
      <c r="S808" s="37">
        <f t="shared" si="25"/>
        <v>175501.75542276129</v>
      </c>
      <c r="U808" s="26">
        <f t="shared" si="24"/>
        <v>20</v>
      </c>
    </row>
    <row r="809" spans="19:21" ht="14.65" thickBot="1" x14ac:dyDescent="0.5">
      <c r="S809" s="37">
        <f t="shared" si="25"/>
        <v>177256.7729769889</v>
      </c>
      <c r="U809" s="26">
        <f t="shared" si="24"/>
        <v>20</v>
      </c>
    </row>
    <row r="810" spans="19:21" ht="14.65" thickBot="1" x14ac:dyDescent="0.5">
      <c r="S810" s="37">
        <f t="shared" si="25"/>
        <v>179029.34070675878</v>
      </c>
      <c r="U810" s="26">
        <f t="shared" si="24"/>
        <v>20</v>
      </c>
    </row>
    <row r="811" spans="19:21" ht="14.65" thickBot="1" x14ac:dyDescent="0.5">
      <c r="S811" s="37">
        <f t="shared" si="25"/>
        <v>180819.63411382638</v>
      </c>
      <c r="U811" s="26">
        <f t="shared" si="24"/>
        <v>20</v>
      </c>
    </row>
    <row r="812" spans="19:21" ht="14.65" thickBot="1" x14ac:dyDescent="0.5">
      <c r="S812" s="37">
        <f t="shared" si="25"/>
        <v>182627.83045496466</v>
      </c>
      <c r="U812" s="26">
        <f t="shared" si="24"/>
        <v>20</v>
      </c>
    </row>
    <row r="813" spans="19:21" ht="14.65" thickBot="1" x14ac:dyDescent="0.5">
      <c r="S813" s="37">
        <f t="shared" si="25"/>
        <v>184454.10875951432</v>
      </c>
      <c r="U813" s="26">
        <f t="shared" si="24"/>
        <v>20</v>
      </c>
    </row>
    <row r="814" spans="19:21" ht="14.65" thickBot="1" x14ac:dyDescent="0.5">
      <c r="S814" s="37">
        <f t="shared" si="25"/>
        <v>186298.64984710945</v>
      </c>
      <c r="U814" s="26">
        <f t="shared" si="24"/>
        <v>20</v>
      </c>
    </row>
    <row r="815" spans="19:21" ht="14.65" thickBot="1" x14ac:dyDescent="0.5">
      <c r="S815" s="37">
        <f t="shared" si="25"/>
        <v>188161.63634558054</v>
      </c>
      <c r="U815" s="26">
        <f t="shared" si="24"/>
        <v>20</v>
      </c>
    </row>
    <row r="816" spans="19:21" ht="14.65" thickBot="1" x14ac:dyDescent="0.5">
      <c r="S816" s="37">
        <f t="shared" si="25"/>
        <v>190043.25270903634</v>
      </c>
      <c r="U816" s="26">
        <f t="shared" si="24"/>
        <v>20</v>
      </c>
    </row>
    <row r="817" spans="19:21" ht="14.65" thickBot="1" x14ac:dyDescent="0.5">
      <c r="S817" s="37">
        <f t="shared" si="25"/>
        <v>191943.68523612671</v>
      </c>
      <c r="U817" s="26">
        <f t="shared" si="24"/>
        <v>20</v>
      </c>
    </row>
    <row r="818" spans="19:21" ht="14.65" thickBot="1" x14ac:dyDescent="0.5">
      <c r="S818" s="37">
        <f t="shared" si="25"/>
        <v>193863.12208848799</v>
      </c>
      <c r="U818" s="26">
        <f t="shared" si="24"/>
        <v>20</v>
      </c>
    </row>
    <row r="819" spans="19:21" ht="14.65" thickBot="1" x14ac:dyDescent="0.5">
      <c r="S819" s="37">
        <f t="shared" si="25"/>
        <v>195801.75330937287</v>
      </c>
      <c r="U819" s="26">
        <f t="shared" si="24"/>
        <v>20</v>
      </c>
    </row>
    <row r="820" spans="19:21" ht="14.65" thickBot="1" x14ac:dyDescent="0.5">
      <c r="S820" s="37">
        <f t="shared" si="25"/>
        <v>197759.77084246659</v>
      </c>
      <c r="U820" s="26">
        <f t="shared" si="24"/>
        <v>20</v>
      </c>
    </row>
    <row r="821" spans="19:21" ht="14.65" thickBot="1" x14ac:dyDescent="0.5">
      <c r="S821" s="37">
        <f t="shared" si="25"/>
        <v>199737.36855089126</v>
      </c>
      <c r="U821" s="26">
        <f t="shared" si="24"/>
        <v>20</v>
      </c>
    </row>
    <row r="822" spans="19:21" ht="14.65" thickBot="1" x14ac:dyDescent="0.5">
      <c r="S822" s="37">
        <f t="shared" si="25"/>
        <v>201734.74223640017</v>
      </c>
      <c r="U822" s="26">
        <f t="shared" si="24"/>
        <v>20</v>
      </c>
    </row>
    <row r="823" spans="19:21" ht="14.65" thickBot="1" x14ac:dyDescent="0.5">
      <c r="S823" s="37">
        <f t="shared" si="25"/>
        <v>203752.08965876416</v>
      </c>
      <c r="U823" s="26">
        <f t="shared" si="24"/>
        <v>20</v>
      </c>
    </row>
    <row r="824" spans="19:21" ht="14.65" thickBot="1" x14ac:dyDescent="0.5">
      <c r="S824" s="37">
        <f t="shared" si="25"/>
        <v>205789.6105553518</v>
      </c>
      <c r="U824" s="26">
        <f t="shared" si="24"/>
        <v>20</v>
      </c>
    </row>
    <row r="825" spans="19:21" ht="14.65" thickBot="1" x14ac:dyDescent="0.5">
      <c r="S825" s="37">
        <f t="shared" si="25"/>
        <v>207847.50666090532</v>
      </c>
      <c r="U825" s="26">
        <f t="shared" si="24"/>
        <v>20</v>
      </c>
    </row>
    <row r="826" spans="19:21" ht="14.65" thickBot="1" x14ac:dyDescent="0.5">
      <c r="S826" s="37">
        <f t="shared" si="25"/>
        <v>209925.98172751439</v>
      </c>
      <c r="U826" s="26">
        <f t="shared" si="24"/>
        <v>20</v>
      </c>
    </row>
    <row r="827" spans="19:21" ht="14.65" thickBot="1" x14ac:dyDescent="0.5">
      <c r="S827" s="37">
        <f t="shared" si="25"/>
        <v>212025.24154478952</v>
      </c>
      <c r="U827" s="26">
        <f t="shared" si="24"/>
        <v>20</v>
      </c>
    </row>
    <row r="828" spans="19:21" ht="14.65" thickBot="1" x14ac:dyDescent="0.5">
      <c r="S828" s="37">
        <f t="shared" si="25"/>
        <v>214145.49396023742</v>
      </c>
      <c r="U828" s="26">
        <f t="shared" si="24"/>
        <v>20</v>
      </c>
    </row>
    <row r="829" spans="19:21" ht="14.65" thickBot="1" x14ac:dyDescent="0.5">
      <c r="S829" s="37">
        <f t="shared" si="25"/>
        <v>216286.9488998398</v>
      </c>
      <c r="U829" s="26">
        <f t="shared" si="24"/>
        <v>20</v>
      </c>
    </row>
    <row r="830" spans="19:21" ht="14.65" thickBot="1" x14ac:dyDescent="0.5">
      <c r="S830" s="37">
        <f t="shared" si="25"/>
        <v>218449.8183888382</v>
      </c>
      <c r="U830" s="26">
        <f t="shared" si="24"/>
        <v>20</v>
      </c>
    </row>
    <row r="831" spans="19:21" ht="14.65" thickBot="1" x14ac:dyDescent="0.5">
      <c r="S831" s="37">
        <f t="shared" si="25"/>
        <v>220634.31657272659</v>
      </c>
      <c r="U831" s="26">
        <f t="shared" si="24"/>
        <v>20</v>
      </c>
    </row>
    <row r="832" spans="19:21" ht="14.65" thickBot="1" x14ac:dyDescent="0.5">
      <c r="S832" s="37">
        <f t="shared" si="25"/>
        <v>222840.65973845386</v>
      </c>
      <c r="U832" s="26">
        <f t="shared" si="24"/>
        <v>20</v>
      </c>
    </row>
    <row r="833" spans="19:21" ht="14.65" thickBot="1" x14ac:dyDescent="0.5">
      <c r="S833" s="37">
        <f t="shared" si="25"/>
        <v>225069.0663358384</v>
      </c>
      <c r="U833" s="26">
        <f t="shared" si="24"/>
        <v>20</v>
      </c>
    </row>
    <row r="834" spans="19:21" ht="14.65" thickBot="1" x14ac:dyDescent="0.5">
      <c r="S834" s="37">
        <f t="shared" si="25"/>
        <v>227319.7569991968</v>
      </c>
      <c r="U834" s="26">
        <f t="shared" si="24"/>
        <v>20</v>
      </c>
    </row>
    <row r="835" spans="19:21" ht="14.65" thickBot="1" x14ac:dyDescent="0.5">
      <c r="S835" s="37">
        <f t="shared" si="25"/>
        <v>229592.95456918876</v>
      </c>
      <c r="U835" s="26">
        <f t="shared" si="24"/>
        <v>20</v>
      </c>
    </row>
    <row r="836" spans="19:21" ht="14.65" thickBot="1" x14ac:dyDescent="0.5">
      <c r="S836" s="37">
        <f t="shared" si="25"/>
        <v>231888.88411488064</v>
      </c>
      <c r="U836" s="26">
        <f t="shared" si="24"/>
        <v>20</v>
      </c>
    </row>
    <row r="837" spans="19:21" ht="14.65" thickBot="1" x14ac:dyDescent="0.5">
      <c r="S837" s="37">
        <f t="shared" si="25"/>
        <v>234207.77295602945</v>
      </c>
      <c r="U837" s="26">
        <f t="shared" si="24"/>
        <v>20</v>
      </c>
    </row>
    <row r="838" spans="19:21" ht="14.65" thickBot="1" x14ac:dyDescent="0.5">
      <c r="S838" s="37">
        <f t="shared" si="25"/>
        <v>236549.85068558974</v>
      </c>
      <c r="U838" s="26">
        <f t="shared" si="24"/>
        <v>20</v>
      </c>
    </row>
    <row r="839" spans="19:21" ht="14.65" thickBot="1" x14ac:dyDescent="0.5">
      <c r="S839" s="37">
        <f t="shared" si="25"/>
        <v>238915.34919244563</v>
      </c>
      <c r="U839" s="26">
        <f t="shared" si="24"/>
        <v>20</v>
      </c>
    </row>
    <row r="840" spans="19:21" ht="14.65" thickBot="1" x14ac:dyDescent="0.5">
      <c r="S840" s="37">
        <f t="shared" si="25"/>
        <v>241304.50268437009</v>
      </c>
      <c r="U840" s="26">
        <f t="shared" si="24"/>
        <v>20</v>
      </c>
    </row>
    <row r="841" spans="19:21" ht="14.65" thickBot="1" x14ac:dyDescent="0.5">
      <c r="S841" s="37">
        <f t="shared" si="25"/>
        <v>243717.54771121379</v>
      </c>
      <c r="U841" s="26">
        <f t="shared" si="24"/>
        <v>20</v>
      </c>
    </row>
    <row r="842" spans="19:21" ht="14.65" thickBot="1" x14ac:dyDescent="0.5">
      <c r="S842" s="37">
        <f t="shared" si="25"/>
        <v>246154.72318832594</v>
      </c>
      <c r="U842" s="26">
        <f t="shared" si="24"/>
        <v>20</v>
      </c>
    </row>
    <row r="843" spans="19:21" ht="14.65" thickBot="1" x14ac:dyDescent="0.5">
      <c r="S843" s="37">
        <f t="shared" si="25"/>
        <v>248616.27042020918</v>
      </c>
      <c r="U843" s="26">
        <f t="shared" si="24"/>
        <v>20</v>
      </c>
    </row>
    <row r="844" spans="19:21" ht="14.65" thickBot="1" x14ac:dyDescent="0.5">
      <c r="S844" s="37">
        <f t="shared" si="25"/>
        <v>251102.43312441127</v>
      </c>
      <c r="U844" s="26">
        <f t="shared" si="24"/>
        <v>20</v>
      </c>
    </row>
    <row r="845" spans="19:21" ht="14.65" thickBot="1" x14ac:dyDescent="0.5">
      <c r="S845" s="37">
        <f t="shared" si="25"/>
        <v>253613.45745565539</v>
      </c>
      <c r="U845" s="26">
        <f t="shared" si="24"/>
        <v>20</v>
      </c>
    </row>
    <row r="846" spans="19:21" ht="14.65" thickBot="1" x14ac:dyDescent="0.5">
      <c r="S846" s="37">
        <f t="shared" si="25"/>
        <v>256149.59203021193</v>
      </c>
      <c r="U846" s="26">
        <f t="shared" si="24"/>
        <v>20</v>
      </c>
    </row>
    <row r="847" spans="19:21" ht="14.65" thickBot="1" x14ac:dyDescent="0.5">
      <c r="S847" s="37">
        <f t="shared" si="25"/>
        <v>258711.08795051405</v>
      </c>
      <c r="U847" s="26">
        <f t="shared" si="24"/>
        <v>20</v>
      </c>
    </row>
    <row r="848" spans="19:21" ht="14.65" thickBot="1" x14ac:dyDescent="0.5">
      <c r="S848" s="37">
        <f t="shared" si="25"/>
        <v>261298.19883001919</v>
      </c>
      <c r="U848" s="26">
        <f t="shared" si="24"/>
        <v>20</v>
      </c>
    </row>
    <row r="849" spans="19:21" ht="14.65" thickBot="1" x14ac:dyDescent="0.5">
      <c r="S849" s="37">
        <f t="shared" si="25"/>
        <v>263911.18081831938</v>
      </c>
      <c r="U849" s="26">
        <f t="shared" si="24"/>
        <v>20</v>
      </c>
    </row>
    <row r="850" spans="19:21" ht="14.65" thickBot="1" x14ac:dyDescent="0.5">
      <c r="S850" s="37">
        <f t="shared" si="25"/>
        <v>266550.29262650257</v>
      </c>
      <c r="U850" s="26">
        <f t="shared" ref="U850:U913" si="26">IF(S850&lt;$D$8,S850-$D$7+$D$9,$D$8-$D$7+$D$9)</f>
        <v>20</v>
      </c>
    </row>
    <row r="851" spans="19:21" ht="14.65" thickBot="1" x14ac:dyDescent="0.5">
      <c r="S851" s="37">
        <f t="shared" ref="S851:S914" si="27">S850*(1.01)</f>
        <v>269215.79555276758</v>
      </c>
      <c r="U851" s="26">
        <f t="shared" si="26"/>
        <v>20</v>
      </c>
    </row>
    <row r="852" spans="19:21" ht="14.65" thickBot="1" x14ac:dyDescent="0.5">
      <c r="S852" s="37">
        <f t="shared" si="27"/>
        <v>271907.95350829524</v>
      </c>
      <c r="U852" s="26">
        <f t="shared" si="26"/>
        <v>20</v>
      </c>
    </row>
    <row r="853" spans="19:21" ht="14.65" thickBot="1" x14ac:dyDescent="0.5">
      <c r="S853" s="37">
        <f t="shared" si="27"/>
        <v>274627.03304337821</v>
      </c>
      <c r="U853" s="26">
        <f t="shared" si="26"/>
        <v>20</v>
      </c>
    </row>
    <row r="854" spans="19:21" ht="14.65" thickBot="1" x14ac:dyDescent="0.5">
      <c r="S854" s="37">
        <f t="shared" si="27"/>
        <v>277373.303373812</v>
      </c>
      <c r="U854" s="26">
        <f t="shared" si="26"/>
        <v>20</v>
      </c>
    </row>
    <row r="855" spans="19:21" ht="14.65" thickBot="1" x14ac:dyDescent="0.5">
      <c r="S855" s="37">
        <f t="shared" si="27"/>
        <v>280147.0364075501</v>
      </c>
      <c r="U855" s="26">
        <f t="shared" si="26"/>
        <v>20</v>
      </c>
    </row>
    <row r="856" spans="19:21" ht="14.65" thickBot="1" x14ac:dyDescent="0.5">
      <c r="S856" s="37">
        <f t="shared" si="27"/>
        <v>282948.5067716256</v>
      </c>
      <c r="U856" s="26">
        <f t="shared" si="26"/>
        <v>20</v>
      </c>
    </row>
    <row r="857" spans="19:21" ht="14.65" thickBot="1" x14ac:dyDescent="0.5">
      <c r="S857" s="37">
        <f t="shared" si="27"/>
        <v>285777.99183934188</v>
      </c>
      <c r="U857" s="26">
        <f t="shared" si="26"/>
        <v>20</v>
      </c>
    </row>
    <row r="858" spans="19:21" ht="14.65" thickBot="1" x14ac:dyDescent="0.5">
      <c r="S858" s="37">
        <f t="shared" si="27"/>
        <v>288635.77175773529</v>
      </c>
      <c r="U858" s="26">
        <f t="shared" si="26"/>
        <v>20</v>
      </c>
    </row>
    <row r="859" spans="19:21" ht="14.65" thickBot="1" x14ac:dyDescent="0.5">
      <c r="S859" s="37">
        <f t="shared" si="27"/>
        <v>291522.12947531266</v>
      </c>
      <c r="U859" s="26">
        <f t="shared" si="26"/>
        <v>20</v>
      </c>
    </row>
    <row r="860" spans="19:21" ht="14.65" thickBot="1" x14ac:dyDescent="0.5">
      <c r="S860" s="37">
        <f t="shared" si="27"/>
        <v>294437.35077006579</v>
      </c>
      <c r="U860" s="26">
        <f t="shared" si="26"/>
        <v>20</v>
      </c>
    </row>
    <row r="861" spans="19:21" ht="14.65" thickBot="1" x14ac:dyDescent="0.5">
      <c r="S861" s="37">
        <f t="shared" si="27"/>
        <v>297381.72427776648</v>
      </c>
      <c r="U861" s="26">
        <f t="shared" si="26"/>
        <v>20</v>
      </c>
    </row>
    <row r="862" spans="19:21" ht="14.65" thickBot="1" x14ac:dyDescent="0.5">
      <c r="S862" s="37">
        <f t="shared" si="27"/>
        <v>300355.54152054415</v>
      </c>
      <c r="U862" s="26">
        <f t="shared" si="26"/>
        <v>20</v>
      </c>
    </row>
    <row r="863" spans="19:21" ht="14.65" thickBot="1" x14ac:dyDescent="0.5">
      <c r="S863" s="37">
        <f t="shared" si="27"/>
        <v>303359.09693574958</v>
      </c>
      <c r="U863" s="26">
        <f t="shared" si="26"/>
        <v>20</v>
      </c>
    </row>
    <row r="864" spans="19:21" ht="14.65" thickBot="1" x14ac:dyDescent="0.5">
      <c r="S864" s="37">
        <f t="shared" si="27"/>
        <v>306392.6879051071</v>
      </c>
      <c r="U864" s="26">
        <f t="shared" si="26"/>
        <v>20</v>
      </c>
    </row>
    <row r="865" spans="19:21" ht="14.65" thickBot="1" x14ac:dyDescent="0.5">
      <c r="S865" s="37">
        <f t="shared" si="27"/>
        <v>309456.61478415818</v>
      </c>
      <c r="U865" s="26">
        <f t="shared" si="26"/>
        <v>20</v>
      </c>
    </row>
    <row r="866" spans="19:21" ht="14.65" thickBot="1" x14ac:dyDescent="0.5">
      <c r="S866" s="37">
        <f t="shared" si="27"/>
        <v>312551.18093199976</v>
      </c>
      <c r="U866" s="26">
        <f t="shared" si="26"/>
        <v>20</v>
      </c>
    </row>
    <row r="867" spans="19:21" ht="14.65" thickBot="1" x14ac:dyDescent="0.5">
      <c r="S867" s="37">
        <f t="shared" si="27"/>
        <v>315676.69274131977</v>
      </c>
      <c r="U867" s="26">
        <f t="shared" si="26"/>
        <v>20</v>
      </c>
    </row>
    <row r="868" spans="19:21" ht="14.65" thickBot="1" x14ac:dyDescent="0.5">
      <c r="S868" s="37">
        <f t="shared" si="27"/>
        <v>318833.45966873295</v>
      </c>
      <c r="U868" s="26">
        <f t="shared" si="26"/>
        <v>20</v>
      </c>
    </row>
    <row r="869" spans="19:21" ht="14.65" thickBot="1" x14ac:dyDescent="0.5">
      <c r="S869" s="37">
        <f t="shared" si="27"/>
        <v>322021.79426542029</v>
      </c>
      <c r="U869" s="26">
        <f t="shared" si="26"/>
        <v>20</v>
      </c>
    </row>
    <row r="870" spans="19:21" ht="14.65" thickBot="1" x14ac:dyDescent="0.5">
      <c r="S870" s="37">
        <f t="shared" si="27"/>
        <v>325242.01220807451</v>
      </c>
      <c r="U870" s="26">
        <f t="shared" si="26"/>
        <v>20</v>
      </c>
    </row>
    <row r="871" spans="19:21" ht="14.65" thickBot="1" x14ac:dyDescent="0.5">
      <c r="S871" s="37">
        <f t="shared" si="27"/>
        <v>328494.43233015528</v>
      </c>
      <c r="U871" s="26">
        <f t="shared" si="26"/>
        <v>20</v>
      </c>
    </row>
    <row r="872" spans="19:21" ht="14.65" thickBot="1" x14ac:dyDescent="0.5">
      <c r="S872" s="37">
        <f t="shared" si="27"/>
        <v>331779.37665345683</v>
      </c>
      <c r="U872" s="26">
        <f t="shared" si="26"/>
        <v>20</v>
      </c>
    </row>
    <row r="873" spans="19:21" ht="14.65" thickBot="1" x14ac:dyDescent="0.5">
      <c r="S873" s="37">
        <f t="shared" si="27"/>
        <v>335097.17041999142</v>
      </c>
      <c r="U873" s="26">
        <f t="shared" si="26"/>
        <v>20</v>
      </c>
    </row>
    <row r="874" spans="19:21" ht="14.65" thickBot="1" x14ac:dyDescent="0.5">
      <c r="S874" s="37">
        <f t="shared" si="27"/>
        <v>338448.14212419133</v>
      </c>
      <c r="U874" s="26">
        <f t="shared" si="26"/>
        <v>20</v>
      </c>
    </row>
    <row r="875" spans="19:21" ht="14.65" thickBot="1" x14ac:dyDescent="0.5">
      <c r="S875" s="37">
        <f t="shared" si="27"/>
        <v>341832.62354543328</v>
      </c>
      <c r="U875" s="26">
        <f t="shared" si="26"/>
        <v>20</v>
      </c>
    </row>
    <row r="876" spans="19:21" ht="14.65" thickBot="1" x14ac:dyDescent="0.5">
      <c r="S876" s="37">
        <f t="shared" si="27"/>
        <v>345250.94978088763</v>
      </c>
      <c r="U876" s="26">
        <f t="shared" si="26"/>
        <v>20</v>
      </c>
    </row>
    <row r="877" spans="19:21" ht="14.65" thickBot="1" x14ac:dyDescent="0.5">
      <c r="S877" s="37">
        <f t="shared" si="27"/>
        <v>348703.45927869651</v>
      </c>
      <c r="U877" s="26">
        <f t="shared" si="26"/>
        <v>20</v>
      </c>
    </row>
    <row r="878" spans="19:21" ht="14.65" thickBot="1" x14ac:dyDescent="0.5">
      <c r="S878" s="37">
        <f t="shared" si="27"/>
        <v>352190.49387148349</v>
      </c>
      <c r="U878" s="26">
        <f t="shared" si="26"/>
        <v>20</v>
      </c>
    </row>
    <row r="879" spans="19:21" ht="14.65" thickBot="1" x14ac:dyDescent="0.5">
      <c r="S879" s="37">
        <f t="shared" si="27"/>
        <v>355712.3988101983</v>
      </c>
      <c r="U879" s="26">
        <f t="shared" si="26"/>
        <v>20</v>
      </c>
    </row>
    <row r="880" spans="19:21" ht="14.65" thickBot="1" x14ac:dyDescent="0.5">
      <c r="S880" s="37">
        <f t="shared" si="27"/>
        <v>359269.52279830026</v>
      </c>
      <c r="U880" s="26">
        <f t="shared" si="26"/>
        <v>20</v>
      </c>
    </row>
    <row r="881" spans="19:21" ht="14.65" thickBot="1" x14ac:dyDescent="0.5">
      <c r="S881" s="37">
        <f t="shared" si="27"/>
        <v>362862.21802628326</v>
      </c>
      <c r="U881" s="26">
        <f t="shared" si="26"/>
        <v>20</v>
      </c>
    </row>
    <row r="882" spans="19:21" ht="14.65" thickBot="1" x14ac:dyDescent="0.5">
      <c r="S882" s="37">
        <f t="shared" si="27"/>
        <v>366490.84020654607</v>
      </c>
      <c r="U882" s="26">
        <f t="shared" si="26"/>
        <v>20</v>
      </c>
    </row>
    <row r="883" spans="19:21" ht="14.65" thickBot="1" x14ac:dyDescent="0.5">
      <c r="S883" s="37">
        <f t="shared" si="27"/>
        <v>370155.74860861152</v>
      </c>
      <c r="U883" s="26">
        <f t="shared" si="26"/>
        <v>20</v>
      </c>
    </row>
    <row r="884" spans="19:21" ht="14.65" thickBot="1" x14ac:dyDescent="0.5">
      <c r="S884" s="37">
        <f t="shared" si="27"/>
        <v>373857.30609469762</v>
      </c>
      <c r="U884" s="26">
        <f t="shared" si="26"/>
        <v>20</v>
      </c>
    </row>
    <row r="885" spans="19:21" ht="14.65" thickBot="1" x14ac:dyDescent="0.5">
      <c r="S885" s="37">
        <f t="shared" si="27"/>
        <v>377595.87915564462</v>
      </c>
      <c r="U885" s="26">
        <f t="shared" si="26"/>
        <v>20</v>
      </c>
    </row>
    <row r="886" spans="19:21" ht="14.65" thickBot="1" x14ac:dyDescent="0.5">
      <c r="S886" s="37">
        <f t="shared" si="27"/>
        <v>381371.8379472011</v>
      </c>
      <c r="U886" s="26">
        <f t="shared" si="26"/>
        <v>20</v>
      </c>
    </row>
    <row r="887" spans="19:21" ht="14.65" thickBot="1" x14ac:dyDescent="0.5">
      <c r="S887" s="37">
        <f t="shared" si="27"/>
        <v>385185.55632667313</v>
      </c>
      <c r="U887" s="26">
        <f t="shared" si="26"/>
        <v>20</v>
      </c>
    </row>
    <row r="888" spans="19:21" ht="14.65" thickBot="1" x14ac:dyDescent="0.5">
      <c r="S888" s="37">
        <f t="shared" si="27"/>
        <v>389037.41188993986</v>
      </c>
      <c r="U888" s="26">
        <f t="shared" si="26"/>
        <v>20</v>
      </c>
    </row>
    <row r="889" spans="19:21" ht="14.65" thickBot="1" x14ac:dyDescent="0.5">
      <c r="S889" s="37">
        <f t="shared" si="27"/>
        <v>392927.78600883926</v>
      </c>
      <c r="U889" s="26">
        <f t="shared" si="26"/>
        <v>20</v>
      </c>
    </row>
    <row r="890" spans="19:21" ht="14.65" thickBot="1" x14ac:dyDescent="0.5">
      <c r="S890" s="37">
        <f t="shared" si="27"/>
        <v>396857.06386892765</v>
      </c>
      <c r="U890" s="26">
        <f t="shared" si="26"/>
        <v>20</v>
      </c>
    </row>
    <row r="891" spans="19:21" ht="14.65" thickBot="1" x14ac:dyDescent="0.5">
      <c r="S891" s="37">
        <f t="shared" si="27"/>
        <v>400825.63450761692</v>
      </c>
      <c r="U891" s="26">
        <f t="shared" si="26"/>
        <v>20</v>
      </c>
    </row>
    <row r="892" spans="19:21" ht="14.65" thickBot="1" x14ac:dyDescent="0.5">
      <c r="S892" s="37">
        <f t="shared" si="27"/>
        <v>404833.89085269312</v>
      </c>
      <c r="U892" s="26">
        <f t="shared" si="26"/>
        <v>20</v>
      </c>
    </row>
    <row r="893" spans="19:21" ht="14.65" thickBot="1" x14ac:dyDescent="0.5">
      <c r="S893" s="37">
        <f t="shared" si="27"/>
        <v>408882.22976122005</v>
      </c>
      <c r="U893" s="26">
        <f t="shared" si="26"/>
        <v>20</v>
      </c>
    </row>
    <row r="894" spans="19:21" ht="14.65" thickBot="1" x14ac:dyDescent="0.5">
      <c r="S894" s="37">
        <f t="shared" si="27"/>
        <v>412971.05205883225</v>
      </c>
      <c r="U894" s="26">
        <f t="shared" si="26"/>
        <v>20</v>
      </c>
    </row>
    <row r="895" spans="19:21" ht="14.65" thickBot="1" x14ac:dyDescent="0.5">
      <c r="S895" s="37">
        <f t="shared" si="27"/>
        <v>417100.76257942058</v>
      </c>
      <c r="U895" s="26">
        <f t="shared" si="26"/>
        <v>20</v>
      </c>
    </row>
    <row r="896" spans="19:21" ht="14.65" thickBot="1" x14ac:dyDescent="0.5">
      <c r="S896" s="37">
        <f t="shared" si="27"/>
        <v>421271.77020521479</v>
      </c>
      <c r="U896" s="26">
        <f t="shared" si="26"/>
        <v>20</v>
      </c>
    </row>
    <row r="897" spans="19:21" ht="14.65" thickBot="1" x14ac:dyDescent="0.5">
      <c r="S897" s="37">
        <f t="shared" si="27"/>
        <v>425484.48790726694</v>
      </c>
      <c r="U897" s="26">
        <f t="shared" si="26"/>
        <v>20</v>
      </c>
    </row>
    <row r="898" spans="19:21" ht="14.65" thickBot="1" x14ac:dyDescent="0.5">
      <c r="S898" s="37">
        <f t="shared" si="27"/>
        <v>429739.33278633963</v>
      </c>
      <c r="U898" s="26">
        <f t="shared" si="26"/>
        <v>20</v>
      </c>
    </row>
    <row r="899" spans="19:21" ht="14.65" thickBot="1" x14ac:dyDescent="0.5">
      <c r="S899" s="37">
        <f t="shared" si="27"/>
        <v>434036.72611420305</v>
      </c>
      <c r="U899" s="26">
        <f t="shared" si="26"/>
        <v>20</v>
      </c>
    </row>
    <row r="900" spans="19:21" ht="14.65" thickBot="1" x14ac:dyDescent="0.5">
      <c r="S900" s="37">
        <f t="shared" si="27"/>
        <v>438377.09337534511</v>
      </c>
      <c r="U900" s="26">
        <f t="shared" si="26"/>
        <v>20</v>
      </c>
    </row>
    <row r="901" spans="19:21" ht="14.65" thickBot="1" x14ac:dyDescent="0.5">
      <c r="S901" s="37">
        <f t="shared" si="27"/>
        <v>442760.86430909857</v>
      </c>
      <c r="U901" s="26">
        <f t="shared" si="26"/>
        <v>20</v>
      </c>
    </row>
    <row r="902" spans="19:21" ht="14.65" thickBot="1" x14ac:dyDescent="0.5">
      <c r="S902" s="37">
        <f t="shared" si="27"/>
        <v>447188.47295218956</v>
      </c>
      <c r="U902" s="26">
        <f t="shared" si="26"/>
        <v>20</v>
      </c>
    </row>
    <row r="903" spans="19:21" ht="14.65" thickBot="1" x14ac:dyDescent="0.5">
      <c r="S903" s="37">
        <f t="shared" si="27"/>
        <v>451660.35768171144</v>
      </c>
      <c r="U903" s="26">
        <f t="shared" si="26"/>
        <v>20</v>
      </c>
    </row>
    <row r="904" spans="19:21" ht="14.65" thickBot="1" x14ac:dyDescent="0.5">
      <c r="S904" s="37">
        <f t="shared" si="27"/>
        <v>456176.96125852858</v>
      </c>
      <c r="U904" s="26">
        <f t="shared" si="26"/>
        <v>20</v>
      </c>
    </row>
    <row r="905" spans="19:21" ht="14.65" thickBot="1" x14ac:dyDescent="0.5">
      <c r="S905" s="37">
        <f t="shared" si="27"/>
        <v>460738.73087111389</v>
      </c>
      <c r="U905" s="26">
        <f t="shared" si="26"/>
        <v>20</v>
      </c>
    </row>
    <row r="906" spans="19:21" ht="14.65" thickBot="1" x14ac:dyDescent="0.5">
      <c r="S906" s="37">
        <f t="shared" si="27"/>
        <v>465346.11817982502</v>
      </c>
      <c r="U906" s="26">
        <f t="shared" si="26"/>
        <v>20</v>
      </c>
    </row>
    <row r="907" spans="19:21" ht="14.65" thickBot="1" x14ac:dyDescent="0.5">
      <c r="S907" s="37">
        <f t="shared" si="27"/>
        <v>469999.57936162327</v>
      </c>
      <c r="U907" s="26">
        <f t="shared" si="26"/>
        <v>20</v>
      </c>
    </row>
    <row r="908" spans="19:21" ht="14.65" thickBot="1" x14ac:dyDescent="0.5">
      <c r="S908" s="37">
        <f t="shared" si="27"/>
        <v>474699.57515523949</v>
      </c>
      <c r="U908" s="26">
        <f t="shared" si="26"/>
        <v>20</v>
      </c>
    </row>
    <row r="909" spans="19:21" ht="14.65" thickBot="1" x14ac:dyDescent="0.5">
      <c r="S909" s="37">
        <f t="shared" si="27"/>
        <v>479446.57090679189</v>
      </c>
      <c r="U909" s="26">
        <f t="shared" si="26"/>
        <v>20</v>
      </c>
    </row>
    <row r="910" spans="19:21" ht="14.65" thickBot="1" x14ac:dyDescent="0.5">
      <c r="S910" s="37">
        <f t="shared" si="27"/>
        <v>484241.03661585983</v>
      </c>
      <c r="U910" s="26">
        <f t="shared" si="26"/>
        <v>20</v>
      </c>
    </row>
    <row r="911" spans="19:21" ht="14.65" thickBot="1" x14ac:dyDescent="0.5">
      <c r="S911" s="37">
        <f t="shared" si="27"/>
        <v>489083.44698201842</v>
      </c>
      <c r="U911" s="26">
        <f t="shared" si="26"/>
        <v>20</v>
      </c>
    </row>
    <row r="912" spans="19:21" ht="14.65" thickBot="1" x14ac:dyDescent="0.5">
      <c r="S912" s="37">
        <f t="shared" si="27"/>
        <v>493974.28145183861</v>
      </c>
      <c r="U912" s="26">
        <f t="shared" si="26"/>
        <v>20</v>
      </c>
    </row>
    <row r="913" spans="19:21" ht="14.65" thickBot="1" x14ac:dyDescent="0.5">
      <c r="S913" s="37">
        <f t="shared" si="27"/>
        <v>498914.02426635701</v>
      </c>
      <c r="U913" s="26">
        <f t="shared" si="26"/>
        <v>20</v>
      </c>
    </row>
    <row r="914" spans="19:21" ht="14.65" thickBot="1" x14ac:dyDescent="0.5">
      <c r="S914" s="37">
        <f t="shared" si="27"/>
        <v>503903.16450902057</v>
      </c>
      <c r="U914" s="26">
        <f t="shared" ref="U914:U977" si="28">IF(S914&lt;$D$8,S914-$D$7+$D$9,$D$8-$D$7+$D$9)</f>
        <v>20</v>
      </c>
    </row>
    <row r="915" spans="19:21" ht="14.65" thickBot="1" x14ac:dyDescent="0.5">
      <c r="S915" s="37">
        <f t="shared" ref="S915:S978" si="29">S914*(1.01)</f>
        <v>508942.19615411077</v>
      </c>
      <c r="U915" s="26">
        <f t="shared" si="28"/>
        <v>20</v>
      </c>
    </row>
    <row r="916" spans="19:21" ht="14.65" thickBot="1" x14ac:dyDescent="0.5">
      <c r="S916" s="37">
        <f t="shared" si="29"/>
        <v>514031.61811565189</v>
      </c>
      <c r="U916" s="26">
        <f t="shared" si="28"/>
        <v>20</v>
      </c>
    </row>
    <row r="917" spans="19:21" ht="14.65" thickBot="1" x14ac:dyDescent="0.5">
      <c r="S917" s="37">
        <f t="shared" si="29"/>
        <v>519171.93429680844</v>
      </c>
      <c r="U917" s="26">
        <f t="shared" si="28"/>
        <v>20</v>
      </c>
    </row>
    <row r="918" spans="19:21" ht="14.65" thickBot="1" x14ac:dyDescent="0.5">
      <c r="S918" s="37">
        <f t="shared" si="29"/>
        <v>524363.65363977652</v>
      </c>
      <c r="U918" s="26">
        <f t="shared" si="28"/>
        <v>20</v>
      </c>
    </row>
    <row r="919" spans="19:21" ht="14.65" thickBot="1" x14ac:dyDescent="0.5">
      <c r="S919" s="37">
        <f t="shared" si="29"/>
        <v>529607.29017617425</v>
      </c>
      <c r="U919" s="26">
        <f t="shared" si="28"/>
        <v>20</v>
      </c>
    </row>
    <row r="920" spans="19:21" ht="14.65" thickBot="1" x14ac:dyDescent="0.5">
      <c r="S920" s="37">
        <f t="shared" si="29"/>
        <v>534903.363077936</v>
      </c>
      <c r="U920" s="26">
        <f t="shared" si="28"/>
        <v>20</v>
      </c>
    </row>
    <row r="921" spans="19:21" ht="14.65" thickBot="1" x14ac:dyDescent="0.5">
      <c r="S921" s="37">
        <f t="shared" si="29"/>
        <v>540252.39670871536</v>
      </c>
      <c r="U921" s="26">
        <f t="shared" si="28"/>
        <v>20</v>
      </c>
    </row>
    <row r="922" spans="19:21" ht="14.65" thickBot="1" x14ac:dyDescent="0.5">
      <c r="S922" s="37">
        <f t="shared" si="29"/>
        <v>545654.92067580251</v>
      </c>
      <c r="U922" s="26">
        <f t="shared" si="28"/>
        <v>20</v>
      </c>
    </row>
    <row r="923" spans="19:21" ht="14.65" thickBot="1" x14ac:dyDescent="0.5">
      <c r="S923" s="37">
        <f t="shared" si="29"/>
        <v>551111.46988256054</v>
      </c>
      <c r="U923" s="26">
        <f t="shared" si="28"/>
        <v>20</v>
      </c>
    </row>
    <row r="924" spans="19:21" ht="14.65" thickBot="1" x14ac:dyDescent="0.5">
      <c r="S924" s="37">
        <f t="shared" si="29"/>
        <v>556622.58458138618</v>
      </c>
      <c r="U924" s="26">
        <f t="shared" si="28"/>
        <v>20</v>
      </c>
    </row>
    <row r="925" spans="19:21" ht="14.65" thickBot="1" x14ac:dyDescent="0.5">
      <c r="S925" s="37">
        <f t="shared" si="29"/>
        <v>562188.81042720005</v>
      </c>
      <c r="U925" s="26">
        <f t="shared" si="28"/>
        <v>20</v>
      </c>
    </row>
    <row r="926" spans="19:21" ht="14.65" thickBot="1" x14ac:dyDescent="0.5">
      <c r="S926" s="37">
        <f t="shared" si="29"/>
        <v>567810.69853147201</v>
      </c>
      <c r="U926" s="26">
        <f t="shared" si="28"/>
        <v>20</v>
      </c>
    </row>
    <row r="927" spans="19:21" ht="14.65" thickBot="1" x14ac:dyDescent="0.5">
      <c r="S927" s="37">
        <f t="shared" si="29"/>
        <v>573488.80551678676</v>
      </c>
      <c r="U927" s="26">
        <f t="shared" si="28"/>
        <v>20</v>
      </c>
    </row>
    <row r="928" spans="19:21" ht="14.65" thickBot="1" x14ac:dyDescent="0.5">
      <c r="S928" s="37">
        <f t="shared" si="29"/>
        <v>579223.69357195462</v>
      </c>
      <c r="U928" s="26">
        <f t="shared" si="28"/>
        <v>20</v>
      </c>
    </row>
    <row r="929" spans="19:21" ht="14.65" thickBot="1" x14ac:dyDescent="0.5">
      <c r="S929" s="37">
        <f t="shared" si="29"/>
        <v>585015.93050767411</v>
      </c>
      <c r="U929" s="26">
        <f t="shared" si="28"/>
        <v>20</v>
      </c>
    </row>
    <row r="930" spans="19:21" ht="14.65" thickBot="1" x14ac:dyDescent="0.5">
      <c r="S930" s="37">
        <f t="shared" si="29"/>
        <v>590866.08981275081</v>
      </c>
      <c r="U930" s="26">
        <f t="shared" si="28"/>
        <v>20</v>
      </c>
    </row>
    <row r="931" spans="19:21" ht="14.65" thickBot="1" x14ac:dyDescent="0.5">
      <c r="S931" s="37">
        <f t="shared" si="29"/>
        <v>596774.75071087829</v>
      </c>
      <c r="U931" s="26">
        <f t="shared" si="28"/>
        <v>20</v>
      </c>
    </row>
    <row r="932" spans="19:21" ht="14.65" thickBot="1" x14ac:dyDescent="0.5">
      <c r="S932" s="37">
        <f t="shared" si="29"/>
        <v>602742.49821798713</v>
      </c>
      <c r="U932" s="26">
        <f t="shared" si="28"/>
        <v>20</v>
      </c>
    </row>
    <row r="933" spans="19:21" ht="14.65" thickBot="1" x14ac:dyDescent="0.5">
      <c r="S933" s="37">
        <f t="shared" si="29"/>
        <v>608769.92320016702</v>
      </c>
      <c r="U933" s="26">
        <f t="shared" si="28"/>
        <v>20</v>
      </c>
    </row>
    <row r="934" spans="19:21" ht="14.65" thickBot="1" x14ac:dyDescent="0.5">
      <c r="S934" s="37">
        <f t="shared" si="29"/>
        <v>614857.62243216869</v>
      </c>
      <c r="U934" s="26">
        <f t="shared" si="28"/>
        <v>20</v>
      </c>
    </row>
    <row r="935" spans="19:21" ht="14.65" thickBot="1" x14ac:dyDescent="0.5">
      <c r="S935" s="37">
        <f t="shared" si="29"/>
        <v>621006.19865649042</v>
      </c>
      <c r="U935" s="26">
        <f t="shared" si="28"/>
        <v>20</v>
      </c>
    </row>
    <row r="936" spans="19:21" ht="14.65" thickBot="1" x14ac:dyDescent="0.5">
      <c r="S936" s="37">
        <f t="shared" si="29"/>
        <v>627216.26064305531</v>
      </c>
      <c r="U936" s="26">
        <f t="shared" si="28"/>
        <v>20</v>
      </c>
    </row>
    <row r="937" spans="19:21" ht="14.65" thickBot="1" x14ac:dyDescent="0.5">
      <c r="S937" s="37">
        <f t="shared" si="29"/>
        <v>633488.4232494859</v>
      </c>
      <c r="U937" s="26">
        <f t="shared" si="28"/>
        <v>20</v>
      </c>
    </row>
    <row r="938" spans="19:21" ht="14.65" thickBot="1" x14ac:dyDescent="0.5">
      <c r="S938" s="37">
        <f t="shared" si="29"/>
        <v>639823.30748198077</v>
      </c>
      <c r="U938" s="26">
        <f t="shared" si="28"/>
        <v>20</v>
      </c>
    </row>
    <row r="939" spans="19:21" ht="14.65" thickBot="1" x14ac:dyDescent="0.5">
      <c r="S939" s="37">
        <f t="shared" si="29"/>
        <v>646221.54055680055</v>
      </c>
      <c r="U939" s="26">
        <f t="shared" si="28"/>
        <v>20</v>
      </c>
    </row>
    <row r="940" spans="19:21" ht="14.65" thickBot="1" x14ac:dyDescent="0.5">
      <c r="S940" s="37">
        <f t="shared" si="29"/>
        <v>652683.75596236857</v>
      </c>
      <c r="U940" s="26">
        <f t="shared" si="28"/>
        <v>20</v>
      </c>
    </row>
    <row r="941" spans="19:21" ht="14.65" thickBot="1" x14ac:dyDescent="0.5">
      <c r="S941" s="37">
        <f t="shared" si="29"/>
        <v>659210.59352199221</v>
      </c>
      <c r="U941" s="26">
        <f t="shared" si="28"/>
        <v>20</v>
      </c>
    </row>
    <row r="942" spans="19:21" ht="14.65" thickBot="1" x14ac:dyDescent="0.5">
      <c r="S942" s="37">
        <f t="shared" si="29"/>
        <v>665802.69945721212</v>
      </c>
      <c r="U942" s="26">
        <f t="shared" si="28"/>
        <v>20</v>
      </c>
    </row>
    <row r="943" spans="19:21" ht="14.65" thickBot="1" x14ac:dyDescent="0.5">
      <c r="S943" s="37">
        <f t="shared" si="29"/>
        <v>672460.72645178426</v>
      </c>
      <c r="U943" s="26">
        <f t="shared" si="28"/>
        <v>20</v>
      </c>
    </row>
    <row r="944" spans="19:21" ht="14.65" thickBot="1" x14ac:dyDescent="0.5">
      <c r="S944" s="37">
        <f t="shared" si="29"/>
        <v>679185.33371630206</v>
      </c>
      <c r="U944" s="26">
        <f t="shared" si="28"/>
        <v>20</v>
      </c>
    </row>
    <row r="945" spans="19:21" ht="14.65" thickBot="1" x14ac:dyDescent="0.5">
      <c r="S945" s="37">
        <f t="shared" si="29"/>
        <v>685977.18705346505</v>
      </c>
      <c r="U945" s="26">
        <f t="shared" si="28"/>
        <v>20</v>
      </c>
    </row>
    <row r="946" spans="19:21" ht="14.65" thickBot="1" x14ac:dyDescent="0.5">
      <c r="S946" s="37">
        <f t="shared" si="29"/>
        <v>692836.95892399969</v>
      </c>
      <c r="U946" s="26">
        <f t="shared" si="28"/>
        <v>20</v>
      </c>
    </row>
    <row r="947" spans="19:21" ht="14.65" thickBot="1" x14ac:dyDescent="0.5">
      <c r="S947" s="37">
        <f t="shared" si="29"/>
        <v>699765.32851323974</v>
      </c>
      <c r="U947" s="26">
        <f t="shared" si="28"/>
        <v>20</v>
      </c>
    </row>
    <row r="948" spans="19:21" ht="14.65" thickBot="1" x14ac:dyDescent="0.5">
      <c r="S948" s="37">
        <f t="shared" si="29"/>
        <v>706762.98179837212</v>
      </c>
      <c r="U948" s="26">
        <f t="shared" si="28"/>
        <v>20</v>
      </c>
    </row>
    <row r="949" spans="19:21" ht="14.65" thickBot="1" x14ac:dyDescent="0.5">
      <c r="S949" s="37">
        <f t="shared" si="29"/>
        <v>713830.61161635583</v>
      </c>
      <c r="U949" s="26">
        <f t="shared" si="28"/>
        <v>20</v>
      </c>
    </row>
    <row r="950" spans="19:21" ht="14.65" thickBot="1" x14ac:dyDescent="0.5">
      <c r="S950" s="37">
        <f t="shared" si="29"/>
        <v>720968.91773251945</v>
      </c>
      <c r="U950" s="26">
        <f t="shared" si="28"/>
        <v>20</v>
      </c>
    </row>
    <row r="951" spans="19:21" ht="14.65" thickBot="1" x14ac:dyDescent="0.5">
      <c r="S951" s="37">
        <f t="shared" si="29"/>
        <v>728178.60690984468</v>
      </c>
      <c r="U951" s="26">
        <f t="shared" si="28"/>
        <v>20</v>
      </c>
    </row>
    <row r="952" spans="19:21" ht="14.65" thickBot="1" x14ac:dyDescent="0.5">
      <c r="S952" s="37">
        <f t="shared" si="29"/>
        <v>735460.39297894319</v>
      </c>
      <c r="U952" s="26">
        <f t="shared" si="28"/>
        <v>20</v>
      </c>
    </row>
    <row r="953" spans="19:21" ht="14.65" thickBot="1" x14ac:dyDescent="0.5">
      <c r="S953" s="37">
        <f t="shared" si="29"/>
        <v>742814.99690873257</v>
      </c>
      <c r="U953" s="26">
        <f t="shared" si="28"/>
        <v>20</v>
      </c>
    </row>
    <row r="954" spans="19:21" ht="14.65" thickBot="1" x14ac:dyDescent="0.5">
      <c r="S954" s="37">
        <f t="shared" si="29"/>
        <v>750243.14687781991</v>
      </c>
      <c r="U954" s="26">
        <f t="shared" si="28"/>
        <v>20</v>
      </c>
    </row>
    <row r="955" spans="19:21" ht="14.65" thickBot="1" x14ac:dyDescent="0.5">
      <c r="S955" s="37">
        <f t="shared" si="29"/>
        <v>757745.57834659808</v>
      </c>
      <c r="U955" s="26">
        <f t="shared" si="28"/>
        <v>20</v>
      </c>
    </row>
    <row r="956" spans="19:21" ht="14.65" thickBot="1" x14ac:dyDescent="0.5">
      <c r="S956" s="37">
        <f t="shared" si="29"/>
        <v>765323.03413006407</v>
      </c>
      <c r="U956" s="26">
        <f t="shared" si="28"/>
        <v>20</v>
      </c>
    </row>
    <row r="957" spans="19:21" ht="14.65" thickBot="1" x14ac:dyDescent="0.5">
      <c r="S957" s="37">
        <f t="shared" si="29"/>
        <v>772976.26447136467</v>
      </c>
      <c r="U957" s="26">
        <f t="shared" si="28"/>
        <v>20</v>
      </c>
    </row>
    <row r="958" spans="19:21" ht="14.65" thickBot="1" x14ac:dyDescent="0.5">
      <c r="S958" s="37">
        <f t="shared" si="29"/>
        <v>780706.0271160783</v>
      </c>
      <c r="U958" s="26">
        <f t="shared" si="28"/>
        <v>20</v>
      </c>
    </row>
    <row r="959" spans="19:21" ht="14.65" thickBot="1" x14ac:dyDescent="0.5">
      <c r="S959" s="37">
        <f t="shared" si="29"/>
        <v>788513.08738723909</v>
      </c>
      <c r="U959" s="26">
        <f t="shared" si="28"/>
        <v>20</v>
      </c>
    </row>
    <row r="960" spans="19:21" ht="14.65" thickBot="1" x14ac:dyDescent="0.5">
      <c r="S960" s="37">
        <f t="shared" si="29"/>
        <v>796398.21826111153</v>
      </c>
      <c r="U960" s="26">
        <f t="shared" si="28"/>
        <v>20</v>
      </c>
    </row>
    <row r="961" spans="19:21" ht="14.65" thickBot="1" x14ac:dyDescent="0.5">
      <c r="S961" s="37">
        <f t="shared" si="29"/>
        <v>804362.20044372266</v>
      </c>
      <c r="U961" s="26">
        <f t="shared" si="28"/>
        <v>20</v>
      </c>
    </row>
    <row r="962" spans="19:21" ht="14.65" thickBot="1" x14ac:dyDescent="0.5">
      <c r="S962" s="37">
        <f t="shared" si="29"/>
        <v>812405.82244815992</v>
      </c>
      <c r="U962" s="26">
        <f t="shared" si="28"/>
        <v>20</v>
      </c>
    </row>
    <row r="963" spans="19:21" ht="14.65" thickBot="1" x14ac:dyDescent="0.5">
      <c r="S963" s="37">
        <f t="shared" si="29"/>
        <v>820529.88067264156</v>
      </c>
      <c r="U963" s="26">
        <f t="shared" si="28"/>
        <v>20</v>
      </c>
    </row>
    <row r="964" spans="19:21" ht="14.65" thickBot="1" x14ac:dyDescent="0.5">
      <c r="S964" s="37">
        <f t="shared" si="29"/>
        <v>828735.17947936803</v>
      </c>
      <c r="U964" s="26">
        <f t="shared" si="28"/>
        <v>20</v>
      </c>
    </row>
    <row r="965" spans="19:21" ht="14.65" thickBot="1" x14ac:dyDescent="0.5">
      <c r="S965" s="37">
        <f t="shared" si="29"/>
        <v>837022.53127416177</v>
      </c>
      <c r="U965" s="26">
        <f t="shared" si="28"/>
        <v>20</v>
      </c>
    </row>
    <row r="966" spans="19:21" ht="14.65" thickBot="1" x14ac:dyDescent="0.5">
      <c r="S966" s="37">
        <f t="shared" si="29"/>
        <v>845392.75658690336</v>
      </c>
      <c r="U966" s="26">
        <f t="shared" si="28"/>
        <v>20</v>
      </c>
    </row>
    <row r="967" spans="19:21" ht="14.65" thickBot="1" x14ac:dyDescent="0.5">
      <c r="S967" s="37">
        <f t="shared" si="29"/>
        <v>853846.68415277242</v>
      </c>
      <c r="U967" s="26">
        <f t="shared" si="28"/>
        <v>20</v>
      </c>
    </row>
    <row r="968" spans="19:21" ht="14.65" thickBot="1" x14ac:dyDescent="0.5">
      <c r="S968" s="37">
        <f t="shared" si="29"/>
        <v>862385.15099430014</v>
      </c>
      <c r="U968" s="26">
        <f t="shared" si="28"/>
        <v>20</v>
      </c>
    </row>
    <row r="969" spans="19:21" ht="14.65" thickBot="1" x14ac:dyDescent="0.5">
      <c r="S969" s="37">
        <f t="shared" si="29"/>
        <v>871009.00250424317</v>
      </c>
      <c r="U969" s="26">
        <f t="shared" si="28"/>
        <v>20</v>
      </c>
    </row>
    <row r="970" spans="19:21" ht="14.65" thickBot="1" x14ac:dyDescent="0.5">
      <c r="S970" s="37">
        <f t="shared" si="29"/>
        <v>879719.09252928558</v>
      </c>
      <c r="U970" s="26">
        <f t="shared" si="28"/>
        <v>20</v>
      </c>
    </row>
    <row r="971" spans="19:21" ht="14.65" thickBot="1" x14ac:dyDescent="0.5">
      <c r="S971" s="37">
        <f t="shared" si="29"/>
        <v>888516.28345457849</v>
      </c>
      <c r="U971" s="26">
        <f t="shared" si="28"/>
        <v>20</v>
      </c>
    </row>
    <row r="972" spans="19:21" ht="14.65" thickBot="1" x14ac:dyDescent="0.5">
      <c r="S972" s="37">
        <f t="shared" si="29"/>
        <v>897401.44628912432</v>
      </c>
      <c r="U972" s="26">
        <f t="shared" si="28"/>
        <v>20</v>
      </c>
    </row>
    <row r="973" spans="19:21" ht="14.65" thickBot="1" x14ac:dyDescent="0.5">
      <c r="S973" s="37">
        <f t="shared" si="29"/>
        <v>906375.46075201558</v>
      </c>
      <c r="U973" s="26">
        <f t="shared" si="28"/>
        <v>20</v>
      </c>
    </row>
    <row r="974" spans="19:21" ht="14.65" thickBot="1" x14ac:dyDescent="0.5">
      <c r="S974" s="37">
        <f t="shared" si="29"/>
        <v>915439.21535953577</v>
      </c>
      <c r="U974" s="26">
        <f t="shared" si="28"/>
        <v>20</v>
      </c>
    </row>
    <row r="975" spans="19:21" ht="14.65" thickBot="1" x14ac:dyDescent="0.5">
      <c r="S975" s="37">
        <f t="shared" si="29"/>
        <v>924593.60751313111</v>
      </c>
      <c r="U975" s="26">
        <f t="shared" si="28"/>
        <v>20</v>
      </c>
    </row>
    <row r="976" spans="19:21" ht="14.65" thickBot="1" x14ac:dyDescent="0.5">
      <c r="S976" s="37">
        <f t="shared" si="29"/>
        <v>933839.5435882624</v>
      </c>
      <c r="U976" s="26">
        <f t="shared" si="28"/>
        <v>20</v>
      </c>
    </row>
    <row r="977" spans="19:21" ht="14.65" thickBot="1" x14ac:dyDescent="0.5">
      <c r="S977" s="37">
        <f t="shared" si="29"/>
        <v>943177.93902414502</v>
      </c>
      <c r="U977" s="26">
        <f t="shared" si="28"/>
        <v>20</v>
      </c>
    </row>
    <row r="978" spans="19:21" ht="14.65" thickBot="1" x14ac:dyDescent="0.5">
      <c r="S978" s="37">
        <f t="shared" si="29"/>
        <v>952609.7184143865</v>
      </c>
      <c r="U978" s="26">
        <f t="shared" ref="U978:U1032" si="30">IF(S978&lt;$D$8,S978-$D$7+$D$9,$D$8-$D$7+$D$9)</f>
        <v>20</v>
      </c>
    </row>
    <row r="979" spans="19:21" ht="14.65" thickBot="1" x14ac:dyDescent="0.5">
      <c r="S979" s="37">
        <f t="shared" ref="S979:S1032" si="31">S978*(1.01)</f>
        <v>962135.81559853035</v>
      </c>
      <c r="U979" s="26">
        <f t="shared" si="30"/>
        <v>20</v>
      </c>
    </row>
    <row r="980" spans="19:21" ht="14.65" thickBot="1" x14ac:dyDescent="0.5">
      <c r="S980" s="37">
        <f t="shared" si="31"/>
        <v>971757.17375451571</v>
      </c>
      <c r="U980" s="26">
        <f t="shared" si="30"/>
        <v>20</v>
      </c>
    </row>
    <row r="981" spans="19:21" ht="14.65" thickBot="1" x14ac:dyDescent="0.5">
      <c r="S981" s="37">
        <f t="shared" si="31"/>
        <v>981474.7454920609</v>
      </c>
      <c r="U981" s="26">
        <f t="shared" si="30"/>
        <v>20</v>
      </c>
    </row>
    <row r="982" spans="19:21" ht="14.65" thickBot="1" x14ac:dyDescent="0.5">
      <c r="S982" s="37">
        <f t="shared" si="31"/>
        <v>991289.49294698157</v>
      </c>
      <c r="U982" s="26">
        <f t="shared" si="30"/>
        <v>20</v>
      </c>
    </row>
    <row r="983" spans="19:21" ht="14.65" thickBot="1" x14ac:dyDescent="0.5">
      <c r="S983" s="37">
        <f t="shared" si="31"/>
        <v>1001202.3878764514</v>
      </c>
      <c r="U983" s="26">
        <f t="shared" si="30"/>
        <v>20</v>
      </c>
    </row>
    <row r="984" spans="19:21" ht="14.65" thickBot="1" x14ac:dyDescent="0.5">
      <c r="S984" s="37">
        <f t="shared" si="31"/>
        <v>1011214.4117552158</v>
      </c>
      <c r="U984" s="26">
        <f t="shared" si="30"/>
        <v>20</v>
      </c>
    </row>
    <row r="985" spans="19:21" ht="14.65" thickBot="1" x14ac:dyDescent="0.5">
      <c r="S985" s="37">
        <f t="shared" si="31"/>
        <v>1021326.555872768</v>
      </c>
      <c r="U985" s="26">
        <f t="shared" si="30"/>
        <v>20</v>
      </c>
    </row>
    <row r="986" spans="19:21" ht="14.65" thickBot="1" x14ac:dyDescent="0.5">
      <c r="S986" s="37">
        <f t="shared" si="31"/>
        <v>1031539.8214314957</v>
      </c>
      <c r="U986" s="26">
        <f t="shared" si="30"/>
        <v>20</v>
      </c>
    </row>
    <row r="987" spans="19:21" ht="14.65" thickBot="1" x14ac:dyDescent="0.5">
      <c r="S987" s="37">
        <f t="shared" si="31"/>
        <v>1041855.2196458107</v>
      </c>
      <c r="U987" s="26">
        <f t="shared" si="30"/>
        <v>20</v>
      </c>
    </row>
    <row r="988" spans="19:21" ht="14.65" thickBot="1" x14ac:dyDescent="0.5">
      <c r="S988" s="37">
        <f t="shared" si="31"/>
        <v>1052273.7718422688</v>
      </c>
      <c r="U988" s="26">
        <f t="shared" si="30"/>
        <v>20</v>
      </c>
    </row>
    <row r="989" spans="19:21" ht="14.65" thickBot="1" x14ac:dyDescent="0.5">
      <c r="S989" s="37">
        <f t="shared" si="31"/>
        <v>1062796.5095606914</v>
      </c>
      <c r="U989" s="26">
        <f t="shared" si="30"/>
        <v>20</v>
      </c>
    </row>
    <row r="990" spans="19:21" ht="14.65" thickBot="1" x14ac:dyDescent="0.5">
      <c r="S990" s="37">
        <f t="shared" si="31"/>
        <v>1073424.4746562983</v>
      </c>
      <c r="U990" s="26">
        <f t="shared" si="30"/>
        <v>20</v>
      </c>
    </row>
    <row r="991" spans="19:21" ht="14.65" thickBot="1" x14ac:dyDescent="0.5">
      <c r="S991" s="37">
        <f t="shared" si="31"/>
        <v>1084158.7194028613</v>
      </c>
      <c r="U991" s="26">
        <f t="shared" si="30"/>
        <v>20</v>
      </c>
    </row>
    <row r="992" spans="19:21" ht="14.65" thickBot="1" x14ac:dyDescent="0.5">
      <c r="S992" s="37">
        <f t="shared" si="31"/>
        <v>1095000.3065968899</v>
      </c>
      <c r="U992" s="26">
        <f t="shared" si="30"/>
        <v>20</v>
      </c>
    </row>
    <row r="993" spans="19:21" ht="14.65" thickBot="1" x14ac:dyDescent="0.5">
      <c r="S993" s="37">
        <f t="shared" si="31"/>
        <v>1105950.3096628587</v>
      </c>
      <c r="U993" s="26">
        <f t="shared" si="30"/>
        <v>20</v>
      </c>
    </row>
    <row r="994" spans="19:21" ht="14.65" thickBot="1" x14ac:dyDescent="0.5">
      <c r="S994" s="37">
        <f t="shared" si="31"/>
        <v>1117009.8127594874</v>
      </c>
      <c r="U994" s="26">
        <f t="shared" si="30"/>
        <v>20</v>
      </c>
    </row>
    <row r="995" spans="19:21" ht="14.65" thickBot="1" x14ac:dyDescent="0.5">
      <c r="S995" s="37">
        <f t="shared" si="31"/>
        <v>1128179.9108870823</v>
      </c>
      <c r="U995" s="26">
        <f t="shared" si="30"/>
        <v>20</v>
      </c>
    </row>
    <row r="996" spans="19:21" ht="14.65" thickBot="1" x14ac:dyDescent="0.5">
      <c r="S996" s="37">
        <f t="shared" si="31"/>
        <v>1139461.7099959531</v>
      </c>
      <c r="U996" s="26">
        <f t="shared" si="30"/>
        <v>20</v>
      </c>
    </row>
    <row r="997" spans="19:21" ht="14.65" thickBot="1" x14ac:dyDescent="0.5">
      <c r="S997" s="37">
        <f t="shared" si="31"/>
        <v>1150856.3270959128</v>
      </c>
      <c r="U997" s="26">
        <f t="shared" si="30"/>
        <v>20</v>
      </c>
    </row>
    <row r="998" spans="19:21" ht="14.65" thickBot="1" x14ac:dyDescent="0.5">
      <c r="S998" s="37">
        <f t="shared" si="31"/>
        <v>1162364.8903668718</v>
      </c>
      <c r="U998" s="26">
        <f t="shared" si="30"/>
        <v>20</v>
      </c>
    </row>
    <row r="999" spans="19:21" ht="14.65" thickBot="1" x14ac:dyDescent="0.5">
      <c r="S999" s="37">
        <f t="shared" si="31"/>
        <v>1173988.5392705405</v>
      </c>
      <c r="U999" s="26">
        <f t="shared" si="30"/>
        <v>20</v>
      </c>
    </row>
    <row r="1000" spans="19:21" ht="14.65" thickBot="1" x14ac:dyDescent="0.5">
      <c r="S1000" s="37">
        <f t="shared" si="31"/>
        <v>1185728.4246632459</v>
      </c>
      <c r="U1000" s="26">
        <f t="shared" si="30"/>
        <v>20</v>
      </c>
    </row>
    <row r="1001" spans="19:21" ht="14.65" thickBot="1" x14ac:dyDescent="0.5">
      <c r="S1001" s="37">
        <f t="shared" si="31"/>
        <v>1197585.7089098783</v>
      </c>
      <c r="U1001" s="26">
        <f t="shared" si="30"/>
        <v>20</v>
      </c>
    </row>
    <row r="1002" spans="19:21" ht="14.65" thickBot="1" x14ac:dyDescent="0.5">
      <c r="S1002" s="37">
        <f t="shared" si="31"/>
        <v>1209561.5659989771</v>
      </c>
      <c r="U1002" s="26">
        <f t="shared" si="30"/>
        <v>20</v>
      </c>
    </row>
    <row r="1003" spans="19:21" ht="14.65" thickBot="1" x14ac:dyDescent="0.5">
      <c r="S1003" s="37">
        <f t="shared" si="31"/>
        <v>1221657.1816589669</v>
      </c>
      <c r="U1003" s="26">
        <f t="shared" si="30"/>
        <v>20</v>
      </c>
    </row>
    <row r="1004" spans="19:21" ht="14.65" thickBot="1" x14ac:dyDescent="0.5">
      <c r="S1004" s="37">
        <f t="shared" si="31"/>
        <v>1233873.7534755566</v>
      </c>
      <c r="U1004" s="26">
        <f t="shared" si="30"/>
        <v>20</v>
      </c>
    </row>
    <row r="1005" spans="19:21" ht="14.65" thickBot="1" x14ac:dyDescent="0.5">
      <c r="S1005" s="37">
        <f t="shared" si="31"/>
        <v>1246212.4910103122</v>
      </c>
      <c r="U1005" s="26">
        <f t="shared" si="30"/>
        <v>20</v>
      </c>
    </row>
    <row r="1006" spans="19:21" ht="14.65" thickBot="1" x14ac:dyDescent="0.5">
      <c r="S1006" s="37">
        <f t="shared" si="31"/>
        <v>1258674.6159204154</v>
      </c>
      <c r="U1006" s="26">
        <f t="shared" si="30"/>
        <v>20</v>
      </c>
    </row>
    <row r="1007" spans="19:21" ht="14.65" thickBot="1" x14ac:dyDescent="0.5">
      <c r="S1007" s="37">
        <f t="shared" si="31"/>
        <v>1271261.3620796194</v>
      </c>
      <c r="U1007" s="26">
        <f t="shared" si="30"/>
        <v>20</v>
      </c>
    </row>
    <row r="1008" spans="19:21" ht="14.65" thickBot="1" x14ac:dyDescent="0.5">
      <c r="S1008" s="37">
        <f t="shared" si="31"/>
        <v>1283973.9757004157</v>
      </c>
      <c r="U1008" s="26">
        <f t="shared" si="30"/>
        <v>20</v>
      </c>
    </row>
    <row r="1009" spans="19:21" ht="14.65" thickBot="1" x14ac:dyDescent="0.5">
      <c r="S1009" s="37">
        <f t="shared" si="31"/>
        <v>1296813.7154574199</v>
      </c>
      <c r="U1009" s="26">
        <f t="shared" si="30"/>
        <v>20</v>
      </c>
    </row>
    <row r="1010" spans="19:21" ht="14.65" thickBot="1" x14ac:dyDescent="0.5">
      <c r="S1010" s="37">
        <f t="shared" si="31"/>
        <v>1309781.8526119941</v>
      </c>
      <c r="U1010" s="26">
        <f t="shared" si="30"/>
        <v>20</v>
      </c>
    </row>
    <row r="1011" spans="19:21" ht="14.65" thickBot="1" x14ac:dyDescent="0.5">
      <c r="S1011" s="37">
        <f t="shared" si="31"/>
        <v>1322879.6711381141</v>
      </c>
      <c r="U1011" s="26">
        <f t="shared" si="30"/>
        <v>20</v>
      </c>
    </row>
    <row r="1012" spans="19:21" ht="14.65" thickBot="1" x14ac:dyDescent="0.5">
      <c r="S1012" s="37">
        <f t="shared" si="31"/>
        <v>1336108.4678494951</v>
      </c>
      <c r="U1012" s="26">
        <f t="shared" si="30"/>
        <v>20</v>
      </c>
    </row>
    <row r="1013" spans="19:21" ht="14.65" thickBot="1" x14ac:dyDescent="0.5">
      <c r="S1013" s="37">
        <f t="shared" si="31"/>
        <v>1349469.5525279902</v>
      </c>
      <c r="U1013" s="26">
        <f t="shared" si="30"/>
        <v>20</v>
      </c>
    </row>
    <row r="1014" spans="19:21" ht="14.65" thickBot="1" x14ac:dyDescent="0.5">
      <c r="S1014" s="37">
        <f t="shared" si="31"/>
        <v>1362964.2480532702</v>
      </c>
      <c r="U1014" s="26">
        <f t="shared" si="30"/>
        <v>20</v>
      </c>
    </row>
    <row r="1015" spans="19:21" ht="14.65" thickBot="1" x14ac:dyDescent="0.5">
      <c r="S1015" s="37">
        <f t="shared" si="31"/>
        <v>1376593.8905338028</v>
      </c>
      <c r="U1015" s="26">
        <f t="shared" si="30"/>
        <v>20</v>
      </c>
    </row>
    <row r="1016" spans="19:21" ht="14.65" thickBot="1" x14ac:dyDescent="0.5">
      <c r="S1016" s="37">
        <f t="shared" si="31"/>
        <v>1390359.8294391409</v>
      </c>
      <c r="U1016" s="26">
        <f t="shared" si="30"/>
        <v>20</v>
      </c>
    </row>
    <row r="1017" spans="19:21" ht="14.65" thickBot="1" x14ac:dyDescent="0.5">
      <c r="S1017" s="37">
        <f t="shared" si="31"/>
        <v>1404263.4277335324</v>
      </c>
      <c r="U1017" s="26">
        <f t="shared" si="30"/>
        <v>20</v>
      </c>
    </row>
    <row r="1018" spans="19:21" ht="14.65" thickBot="1" x14ac:dyDescent="0.5">
      <c r="S1018" s="37">
        <f t="shared" si="31"/>
        <v>1418306.0620108678</v>
      </c>
      <c r="U1018" s="26">
        <f t="shared" si="30"/>
        <v>20</v>
      </c>
    </row>
    <row r="1019" spans="19:21" ht="14.65" thickBot="1" x14ac:dyDescent="0.5">
      <c r="S1019" s="37">
        <f t="shared" si="31"/>
        <v>1432489.1226309764</v>
      </c>
      <c r="U1019" s="26">
        <f t="shared" si="30"/>
        <v>20</v>
      </c>
    </row>
    <row r="1020" spans="19:21" ht="14.65" thickBot="1" x14ac:dyDescent="0.5">
      <c r="S1020" s="37">
        <f t="shared" si="31"/>
        <v>1446814.0138572862</v>
      </c>
      <c r="U1020" s="26">
        <f t="shared" si="30"/>
        <v>20</v>
      </c>
    </row>
    <row r="1021" spans="19:21" ht="14.65" thickBot="1" x14ac:dyDescent="0.5">
      <c r="S1021" s="37">
        <f t="shared" si="31"/>
        <v>1461282.153995859</v>
      </c>
      <c r="U1021" s="26">
        <f t="shared" si="30"/>
        <v>20</v>
      </c>
    </row>
    <row r="1022" spans="19:21" ht="14.65" thickBot="1" x14ac:dyDescent="0.5">
      <c r="S1022" s="37">
        <f t="shared" si="31"/>
        <v>1475894.9755358177</v>
      </c>
      <c r="U1022" s="26">
        <f t="shared" si="30"/>
        <v>20</v>
      </c>
    </row>
    <row r="1023" spans="19:21" ht="14.65" thickBot="1" x14ac:dyDescent="0.5">
      <c r="S1023" s="37">
        <f t="shared" si="31"/>
        <v>1490653.925291176</v>
      </c>
      <c r="U1023" s="26">
        <f t="shared" si="30"/>
        <v>20</v>
      </c>
    </row>
    <row r="1024" spans="19:21" ht="14.65" thickBot="1" x14ac:dyDescent="0.5">
      <c r="S1024" s="37">
        <f t="shared" si="31"/>
        <v>1505560.4645440876</v>
      </c>
      <c r="U1024" s="26">
        <f t="shared" si="30"/>
        <v>20</v>
      </c>
    </row>
    <row r="1025" spans="19:21" ht="14.65" thickBot="1" x14ac:dyDescent="0.5">
      <c r="S1025" s="37">
        <f t="shared" si="31"/>
        <v>1520616.0691895285</v>
      </c>
      <c r="U1025" s="26">
        <f t="shared" si="30"/>
        <v>20</v>
      </c>
    </row>
    <row r="1026" spans="19:21" ht="14.65" thickBot="1" x14ac:dyDescent="0.5">
      <c r="S1026" s="37">
        <f t="shared" si="31"/>
        <v>1535822.2298814238</v>
      </c>
      <c r="U1026" s="26">
        <f t="shared" si="30"/>
        <v>20</v>
      </c>
    </row>
    <row r="1027" spans="19:21" ht="14.65" thickBot="1" x14ac:dyDescent="0.5">
      <c r="S1027" s="37">
        <f t="shared" si="31"/>
        <v>1551180.452180238</v>
      </c>
      <c r="U1027" s="26">
        <f t="shared" si="30"/>
        <v>20</v>
      </c>
    </row>
    <row r="1028" spans="19:21" ht="14.65" thickBot="1" x14ac:dyDescent="0.5">
      <c r="S1028" s="37">
        <f t="shared" si="31"/>
        <v>1566692.2567020403</v>
      </c>
      <c r="U1028" s="26">
        <f t="shared" si="30"/>
        <v>20</v>
      </c>
    </row>
    <row r="1029" spans="19:21" ht="14.65" thickBot="1" x14ac:dyDescent="0.5">
      <c r="S1029" s="37">
        <f t="shared" si="31"/>
        <v>1582359.1792690607</v>
      </c>
      <c r="U1029" s="26">
        <f t="shared" si="30"/>
        <v>20</v>
      </c>
    </row>
    <row r="1030" spans="19:21" ht="14.65" thickBot="1" x14ac:dyDescent="0.5">
      <c r="S1030" s="37">
        <f t="shared" si="31"/>
        <v>1598182.7710617513</v>
      </c>
      <c r="U1030" s="26">
        <f t="shared" si="30"/>
        <v>20</v>
      </c>
    </row>
    <row r="1031" spans="19:21" ht="14.65" thickBot="1" x14ac:dyDescent="0.5">
      <c r="S1031" s="37">
        <f t="shared" si="31"/>
        <v>1614164.5987723689</v>
      </c>
      <c r="U1031" s="26">
        <f t="shared" si="30"/>
        <v>20</v>
      </c>
    </row>
    <row r="1032" spans="19:21" ht="14.65" thickBot="1" x14ac:dyDescent="0.5">
      <c r="S1032" s="37">
        <f t="shared" si="31"/>
        <v>1630306.2447600926</v>
      </c>
      <c r="U1032" s="26">
        <f t="shared" si="30"/>
        <v>20</v>
      </c>
    </row>
  </sheetData>
  <conditionalFormatting sqref="D12">
    <cfRule type="cellIs" dxfId="27" priority="3" operator="greaterThan">
      <formula>0</formula>
    </cfRule>
    <cfRule type="cellIs" dxfId="26" priority="4" operator="lessThan">
      <formula>0</formula>
    </cfRule>
  </conditionalFormatting>
  <conditionalFormatting sqref="U17:U1032">
    <cfRule type="cellIs" dxfId="25" priority="1" operator="greaterThan">
      <formula>0</formula>
    </cfRule>
    <cfRule type="cellIs" dxfId="24" priority="2" operator="lessThan">
      <formula>0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FEEA6-DC22-4F77-980F-1860E88B49DC}">
  <dimension ref="A1:U1033"/>
  <sheetViews>
    <sheetView zoomScaleNormal="100" workbookViewId="0">
      <selection activeCell="S18" sqref="S18:S1033"/>
    </sheetView>
  </sheetViews>
  <sheetFormatPr defaultColWidth="9.1328125" defaultRowHeight="14.25" x14ac:dyDescent="0.45"/>
  <cols>
    <col min="1" max="1" width="12.1328125" style="1" customWidth="1"/>
    <col min="2" max="2" width="1.59765625" style="1" customWidth="1"/>
    <col min="3" max="8" width="33.3984375" style="1" customWidth="1"/>
    <col min="9" max="10" width="9.1328125" style="1"/>
    <col min="11" max="11" width="13.3984375" style="1" customWidth="1"/>
    <col min="12" max="12" width="20" style="1" customWidth="1"/>
    <col min="13" max="14" width="11.86328125" style="1" customWidth="1"/>
    <col min="15" max="16384" width="9.1328125" style="1"/>
  </cols>
  <sheetData>
    <row r="1" spans="1:10" ht="18" x14ac:dyDescent="0.55000000000000004">
      <c r="A1" s="28" t="s">
        <v>57</v>
      </c>
    </row>
    <row r="2" spans="1:10" x14ac:dyDescent="0.45">
      <c r="C2" s="20"/>
      <c r="E2" s="20" t="s">
        <v>60</v>
      </c>
    </row>
    <row r="3" spans="1:10" ht="14.65" thickBot="1" x14ac:dyDescent="0.5">
      <c r="E3" s="20" t="s">
        <v>59</v>
      </c>
    </row>
    <row r="4" spans="1:10" ht="30.75" customHeight="1" x14ac:dyDescent="0.45">
      <c r="C4" s="6" t="s">
        <v>30</v>
      </c>
      <c r="D4" s="7" t="s">
        <v>15</v>
      </c>
      <c r="E4" s="7" t="s">
        <v>31</v>
      </c>
      <c r="F4" s="7" t="s">
        <v>35</v>
      </c>
      <c r="G4" s="7" t="s">
        <v>34</v>
      </c>
      <c r="H4" s="8" t="s">
        <v>27</v>
      </c>
      <c r="J4" s="4"/>
    </row>
    <row r="5" spans="1:10" ht="30.75" customHeight="1" thickBot="1" x14ac:dyDescent="0.5">
      <c r="C5" s="11" t="s">
        <v>14</v>
      </c>
      <c r="D5" s="9" t="s">
        <v>32</v>
      </c>
      <c r="E5" s="9" t="s">
        <v>58</v>
      </c>
      <c r="F5" s="9" t="s">
        <v>32</v>
      </c>
      <c r="G5" s="9" t="s">
        <v>61</v>
      </c>
      <c r="H5" s="10" t="s">
        <v>62</v>
      </c>
      <c r="J5" s="4"/>
    </row>
    <row r="6" spans="1:10" ht="30.75" customHeight="1" thickBot="1" x14ac:dyDescent="0.5"/>
    <row r="7" spans="1:10" x14ac:dyDescent="0.45">
      <c r="C7" s="6" t="s">
        <v>64</v>
      </c>
      <c r="D7" s="31">
        <v>100</v>
      </c>
    </row>
    <row r="8" spans="1:10" x14ac:dyDescent="0.45">
      <c r="C8" s="29" t="s">
        <v>65</v>
      </c>
      <c r="D8" s="22">
        <v>120</v>
      </c>
    </row>
    <row r="9" spans="1:10" x14ac:dyDescent="0.45">
      <c r="C9" s="29" t="s">
        <v>66</v>
      </c>
      <c r="D9" s="22">
        <v>5</v>
      </c>
    </row>
    <row r="10" spans="1:10" x14ac:dyDescent="0.45">
      <c r="C10" s="29" t="s">
        <v>67</v>
      </c>
      <c r="D10" s="22">
        <v>3</v>
      </c>
    </row>
    <row r="11" spans="1:10" x14ac:dyDescent="0.45">
      <c r="C11" s="29" t="s">
        <v>28</v>
      </c>
      <c r="D11" s="22">
        <v>130</v>
      </c>
    </row>
    <row r="12" spans="1:10" x14ac:dyDescent="0.45">
      <c r="C12" s="29" t="s">
        <v>27</v>
      </c>
      <c r="D12" s="24">
        <f>D7+(D9-D10)</f>
        <v>102</v>
      </c>
    </row>
    <row r="13" spans="1:10" ht="14.65" thickBot="1" x14ac:dyDescent="0.5">
      <c r="C13" s="30" t="s">
        <v>29</v>
      </c>
      <c r="D13" s="26">
        <f>IF(D11&lt;D7,-D9+D10,MIN(D11-D7-D9+D10,(D8-D7)-D9+D10))</f>
        <v>18</v>
      </c>
    </row>
    <row r="17" spans="19:21" x14ac:dyDescent="0.45">
      <c r="S17" s="1" t="s">
        <v>25</v>
      </c>
    </row>
    <row r="18" spans="19:21" ht="14.65" thickBot="1" x14ac:dyDescent="0.5">
      <c r="S18" s="37">
        <f>ROUND((D8-(0.3*D8)),0)</f>
        <v>84</v>
      </c>
      <c r="U18" s="26">
        <f>IF(S18&lt;$D$7,-$D$9+$D$10,MIN(S18-$D$7-$D$9+$D$10,($D$8-$D$7)-$D$9+$D$10))</f>
        <v>-2</v>
      </c>
    </row>
    <row r="19" spans="19:21" ht="14.65" thickBot="1" x14ac:dyDescent="0.5">
      <c r="S19" s="37">
        <f>S18*(1.01)</f>
        <v>84.84</v>
      </c>
      <c r="U19" s="26">
        <f t="shared" ref="U19:U82" si="0">IF(S19&lt;$D$7,-$D$9+$D$10,MIN(S19-$D$7-$D$9+$D$10,($D$8-$D$7)-$D$9+$D$10))</f>
        <v>-2</v>
      </c>
    </row>
    <row r="20" spans="19:21" ht="14.65" thickBot="1" x14ac:dyDescent="0.5">
      <c r="S20" s="37">
        <f t="shared" ref="S20:S83" si="1">S19*(1.01)</f>
        <v>85.688400000000001</v>
      </c>
      <c r="U20" s="26">
        <f t="shared" si="0"/>
        <v>-2</v>
      </c>
    </row>
    <row r="21" spans="19:21" ht="14.65" thickBot="1" x14ac:dyDescent="0.5">
      <c r="S21" s="37">
        <f t="shared" si="1"/>
        <v>86.545283999999995</v>
      </c>
      <c r="U21" s="26">
        <f t="shared" si="0"/>
        <v>-2</v>
      </c>
    </row>
    <row r="22" spans="19:21" ht="14.65" thickBot="1" x14ac:dyDescent="0.5">
      <c r="S22" s="37">
        <f t="shared" si="1"/>
        <v>87.410736839999998</v>
      </c>
      <c r="U22" s="26">
        <f t="shared" si="0"/>
        <v>-2</v>
      </c>
    </row>
    <row r="23" spans="19:21" ht="14.65" thickBot="1" x14ac:dyDescent="0.5">
      <c r="S23" s="37">
        <f t="shared" si="1"/>
        <v>88.284844208400003</v>
      </c>
      <c r="U23" s="26">
        <f t="shared" si="0"/>
        <v>-2</v>
      </c>
    </row>
    <row r="24" spans="19:21" ht="14.65" thickBot="1" x14ac:dyDescent="0.5">
      <c r="S24" s="37">
        <f t="shared" si="1"/>
        <v>89.167692650484</v>
      </c>
      <c r="U24" s="26">
        <f t="shared" si="0"/>
        <v>-2</v>
      </c>
    </row>
    <row r="25" spans="19:21" ht="14.65" thickBot="1" x14ac:dyDescent="0.5">
      <c r="S25" s="37">
        <f t="shared" si="1"/>
        <v>90.059369576988843</v>
      </c>
      <c r="U25" s="26">
        <f t="shared" si="0"/>
        <v>-2</v>
      </c>
    </row>
    <row r="26" spans="19:21" ht="14.65" thickBot="1" x14ac:dyDescent="0.5">
      <c r="S26" s="37">
        <f>S25*(1.01)</f>
        <v>90.959963272758728</v>
      </c>
      <c r="U26" s="26">
        <f t="shared" si="0"/>
        <v>-2</v>
      </c>
    </row>
    <row r="27" spans="19:21" ht="14.65" thickBot="1" x14ac:dyDescent="0.5">
      <c r="S27" s="37">
        <f t="shared" si="1"/>
        <v>91.869562905486319</v>
      </c>
      <c r="U27" s="26">
        <f t="shared" si="0"/>
        <v>-2</v>
      </c>
    </row>
    <row r="28" spans="19:21" ht="14.65" thickBot="1" x14ac:dyDescent="0.5">
      <c r="S28" s="37">
        <f t="shared" si="1"/>
        <v>92.788258534541185</v>
      </c>
      <c r="U28" s="26">
        <f t="shared" si="0"/>
        <v>-2</v>
      </c>
    </row>
    <row r="29" spans="19:21" ht="14.65" thickBot="1" x14ac:dyDescent="0.5">
      <c r="S29" s="37">
        <f t="shared" si="1"/>
        <v>93.716141119886601</v>
      </c>
      <c r="U29" s="26">
        <f t="shared" si="0"/>
        <v>-2</v>
      </c>
    </row>
    <row r="30" spans="19:21" ht="14.65" thickBot="1" x14ac:dyDescent="0.5">
      <c r="S30" s="37">
        <f t="shared" si="1"/>
        <v>94.653302531085473</v>
      </c>
      <c r="U30" s="26">
        <f t="shared" si="0"/>
        <v>-2</v>
      </c>
    </row>
    <row r="31" spans="19:21" ht="14.65" thickBot="1" x14ac:dyDescent="0.5">
      <c r="S31" s="37">
        <f t="shared" si="1"/>
        <v>95.599835556396329</v>
      </c>
      <c r="U31" s="26">
        <f t="shared" si="0"/>
        <v>-2</v>
      </c>
    </row>
    <row r="32" spans="19:21" ht="14.65" thickBot="1" x14ac:dyDescent="0.5">
      <c r="S32" s="37">
        <f>S31*(1.01)</f>
        <v>96.555833911960292</v>
      </c>
      <c r="U32" s="26">
        <f t="shared" si="0"/>
        <v>-2</v>
      </c>
    </row>
    <row r="33" spans="19:21" ht="14.65" thickBot="1" x14ac:dyDescent="0.5">
      <c r="S33" s="37">
        <f t="shared" si="1"/>
        <v>97.521392251079902</v>
      </c>
      <c r="U33" s="26">
        <f t="shared" si="0"/>
        <v>-2</v>
      </c>
    </row>
    <row r="34" spans="19:21" ht="14.65" thickBot="1" x14ac:dyDescent="0.5">
      <c r="S34" s="37">
        <f t="shared" si="1"/>
        <v>98.496606173590706</v>
      </c>
      <c r="U34" s="26">
        <f t="shared" si="0"/>
        <v>-2</v>
      </c>
    </row>
    <row r="35" spans="19:21" ht="14.65" thickBot="1" x14ac:dyDescent="0.5">
      <c r="S35" s="37">
        <f t="shared" si="1"/>
        <v>99.48157223532661</v>
      </c>
      <c r="U35" s="26">
        <f t="shared" si="0"/>
        <v>-2</v>
      </c>
    </row>
    <row r="36" spans="19:21" ht="14.65" thickBot="1" x14ac:dyDescent="0.5">
      <c r="S36" s="37">
        <f t="shared" si="1"/>
        <v>100.47638795767988</v>
      </c>
      <c r="U36" s="26">
        <f t="shared" si="0"/>
        <v>-1.5236120423201243</v>
      </c>
    </row>
    <row r="37" spans="19:21" ht="14.65" thickBot="1" x14ac:dyDescent="0.5">
      <c r="S37" s="37">
        <f t="shared" si="1"/>
        <v>101.48115183725668</v>
      </c>
      <c r="U37" s="26">
        <f t="shared" si="0"/>
        <v>-0.51884816274332479</v>
      </c>
    </row>
    <row r="38" spans="19:21" ht="14.65" thickBot="1" x14ac:dyDescent="0.5">
      <c r="S38" s="37">
        <f t="shared" si="1"/>
        <v>102.49596335562924</v>
      </c>
      <c r="U38" s="26">
        <f t="shared" si="0"/>
        <v>0.4959633556292431</v>
      </c>
    </row>
    <row r="39" spans="19:21" ht="14.65" thickBot="1" x14ac:dyDescent="0.5">
      <c r="S39" s="37">
        <f t="shared" si="1"/>
        <v>103.52092298918554</v>
      </c>
      <c r="U39" s="26">
        <f t="shared" si="0"/>
        <v>1.5209229891855358</v>
      </c>
    </row>
    <row r="40" spans="19:21" ht="14.65" thickBot="1" x14ac:dyDescent="0.5">
      <c r="S40" s="37">
        <f t="shared" si="1"/>
        <v>104.5561322190774</v>
      </c>
      <c r="U40" s="26">
        <f t="shared" si="0"/>
        <v>2.5561322190773978</v>
      </c>
    </row>
    <row r="41" spans="19:21" ht="14.65" thickBot="1" x14ac:dyDescent="0.5">
      <c r="S41" s="37">
        <f t="shared" si="1"/>
        <v>105.60169354126818</v>
      </c>
      <c r="U41" s="26">
        <f t="shared" si="0"/>
        <v>3.6016935412681761</v>
      </c>
    </row>
    <row r="42" spans="19:21" ht="14.65" thickBot="1" x14ac:dyDescent="0.5">
      <c r="S42" s="37">
        <f t="shared" si="1"/>
        <v>106.65771047668086</v>
      </c>
      <c r="U42" s="26">
        <f t="shared" si="0"/>
        <v>4.6577104766808617</v>
      </c>
    </row>
    <row r="43" spans="19:21" ht="14.65" thickBot="1" x14ac:dyDescent="0.5">
      <c r="S43" s="37">
        <f t="shared" si="1"/>
        <v>107.72428758144767</v>
      </c>
      <c r="U43" s="26">
        <f t="shared" si="0"/>
        <v>5.724287581447669</v>
      </c>
    </row>
    <row r="44" spans="19:21" ht="14.65" thickBot="1" x14ac:dyDescent="0.5">
      <c r="S44" s="37">
        <f t="shared" si="1"/>
        <v>108.80153045726215</v>
      </c>
      <c r="U44" s="26">
        <f t="shared" si="0"/>
        <v>6.801530457262146</v>
      </c>
    </row>
    <row r="45" spans="19:21" ht="14.65" thickBot="1" x14ac:dyDescent="0.5">
      <c r="S45" s="37">
        <f t="shared" si="1"/>
        <v>109.88954576183477</v>
      </c>
      <c r="U45" s="26">
        <f t="shared" si="0"/>
        <v>7.8895457618347677</v>
      </c>
    </row>
    <row r="46" spans="19:21" ht="14.65" thickBot="1" x14ac:dyDescent="0.5">
      <c r="S46" s="37">
        <f t="shared" si="1"/>
        <v>110.98844121945312</v>
      </c>
      <c r="U46" s="26">
        <f t="shared" si="0"/>
        <v>8.9884412194531222</v>
      </c>
    </row>
    <row r="47" spans="19:21" ht="14.65" thickBot="1" x14ac:dyDescent="0.5">
      <c r="S47" s="37">
        <f t="shared" si="1"/>
        <v>112.09832563164765</v>
      </c>
      <c r="U47" s="26">
        <f t="shared" si="0"/>
        <v>10.098325631647654</v>
      </c>
    </row>
    <row r="48" spans="19:21" ht="14.65" thickBot="1" x14ac:dyDescent="0.5">
      <c r="S48" s="37">
        <f t="shared" si="1"/>
        <v>113.21930888796413</v>
      </c>
      <c r="U48" s="26">
        <f t="shared" si="0"/>
        <v>11.219308887964132</v>
      </c>
    </row>
    <row r="49" spans="19:21" ht="14.65" thickBot="1" x14ac:dyDescent="0.5">
      <c r="S49" s="37">
        <f t="shared" si="1"/>
        <v>114.35150197684378</v>
      </c>
      <c r="U49" s="26">
        <f t="shared" si="0"/>
        <v>12.351501976843778</v>
      </c>
    </row>
    <row r="50" spans="19:21" ht="14.65" thickBot="1" x14ac:dyDescent="0.5">
      <c r="S50" s="37">
        <f t="shared" si="1"/>
        <v>115.49501699661222</v>
      </c>
      <c r="U50" s="26">
        <f t="shared" si="0"/>
        <v>13.495016996612222</v>
      </c>
    </row>
    <row r="51" spans="19:21" ht="14.65" thickBot="1" x14ac:dyDescent="0.5">
      <c r="S51" s="37">
        <f t="shared" si="1"/>
        <v>116.64996716657835</v>
      </c>
      <c r="U51" s="26">
        <f t="shared" si="0"/>
        <v>14.64996716657835</v>
      </c>
    </row>
    <row r="52" spans="19:21" ht="14.65" thickBot="1" x14ac:dyDescent="0.5">
      <c r="S52" s="37">
        <f t="shared" si="1"/>
        <v>117.81646683824414</v>
      </c>
      <c r="U52" s="26">
        <f t="shared" si="0"/>
        <v>15.816466838244139</v>
      </c>
    </row>
    <row r="53" spans="19:21" ht="14.65" thickBot="1" x14ac:dyDescent="0.5">
      <c r="S53" s="37">
        <f t="shared" si="1"/>
        <v>118.99463150662658</v>
      </c>
      <c r="U53" s="26">
        <f t="shared" si="0"/>
        <v>16.994631506626575</v>
      </c>
    </row>
    <row r="54" spans="19:21" ht="14.65" thickBot="1" x14ac:dyDescent="0.5">
      <c r="S54" s="37">
        <f t="shared" si="1"/>
        <v>120.18457782169284</v>
      </c>
      <c r="U54" s="26">
        <f t="shared" si="0"/>
        <v>18</v>
      </c>
    </row>
    <row r="55" spans="19:21" ht="14.65" thickBot="1" x14ac:dyDescent="0.5">
      <c r="S55" s="37">
        <f t="shared" si="1"/>
        <v>121.38642359990978</v>
      </c>
      <c r="U55" s="26">
        <f>IF(S55&lt;$D$7,-$D$9+$D$10,MIN(S55-$D$7-$D$9+$D$10,($D$8-$D$7)-$D$9+$D$10))</f>
        <v>18</v>
      </c>
    </row>
    <row r="56" spans="19:21" ht="14.65" thickBot="1" x14ac:dyDescent="0.5">
      <c r="S56" s="37">
        <f t="shared" si="1"/>
        <v>122.60028783590887</v>
      </c>
      <c r="U56" s="26">
        <f t="shared" si="0"/>
        <v>18</v>
      </c>
    </row>
    <row r="57" spans="19:21" ht="14.65" thickBot="1" x14ac:dyDescent="0.5">
      <c r="S57" s="37">
        <f t="shared" si="1"/>
        <v>123.82629071426797</v>
      </c>
      <c r="U57" s="26">
        <f t="shared" si="0"/>
        <v>18</v>
      </c>
    </row>
    <row r="58" spans="19:21" ht="14.65" thickBot="1" x14ac:dyDescent="0.5">
      <c r="S58" s="37">
        <f t="shared" si="1"/>
        <v>125.06455362141065</v>
      </c>
      <c r="U58" s="26">
        <f t="shared" si="0"/>
        <v>18</v>
      </c>
    </row>
    <row r="59" spans="19:21" ht="14.65" thickBot="1" x14ac:dyDescent="0.5">
      <c r="S59" s="37">
        <f t="shared" si="1"/>
        <v>126.31519915762476</v>
      </c>
      <c r="U59" s="26">
        <f t="shared" si="0"/>
        <v>18</v>
      </c>
    </row>
    <row r="60" spans="19:21" ht="14.65" thickBot="1" x14ac:dyDescent="0.5">
      <c r="S60" s="37">
        <f t="shared" si="1"/>
        <v>127.57835114920101</v>
      </c>
      <c r="U60" s="26">
        <f t="shared" si="0"/>
        <v>18</v>
      </c>
    </row>
    <row r="61" spans="19:21" ht="14.65" thickBot="1" x14ac:dyDescent="0.5">
      <c r="S61" s="37">
        <f t="shared" si="1"/>
        <v>128.85413466069303</v>
      </c>
      <c r="U61" s="26">
        <f t="shared" si="0"/>
        <v>18</v>
      </c>
    </row>
    <row r="62" spans="19:21" ht="14.65" thickBot="1" x14ac:dyDescent="0.5">
      <c r="S62" s="37">
        <f t="shared" si="1"/>
        <v>130.14267600729997</v>
      </c>
      <c r="U62" s="26">
        <f t="shared" si="0"/>
        <v>18</v>
      </c>
    </row>
    <row r="63" spans="19:21" ht="14.65" thickBot="1" x14ac:dyDescent="0.5">
      <c r="S63" s="37">
        <f t="shared" si="1"/>
        <v>131.44410276737298</v>
      </c>
      <c r="U63" s="26">
        <f t="shared" si="0"/>
        <v>18</v>
      </c>
    </row>
    <row r="64" spans="19:21" ht="14.65" thickBot="1" x14ac:dyDescent="0.5">
      <c r="S64" s="37">
        <f t="shared" si="1"/>
        <v>132.75854379504671</v>
      </c>
      <c r="U64" s="26">
        <f t="shared" si="0"/>
        <v>18</v>
      </c>
    </row>
    <row r="65" spans="19:21" ht="14.65" thickBot="1" x14ac:dyDescent="0.5">
      <c r="S65" s="37">
        <f t="shared" si="1"/>
        <v>134.08612923299717</v>
      </c>
      <c r="U65" s="26">
        <f t="shared" si="0"/>
        <v>18</v>
      </c>
    </row>
    <row r="66" spans="19:21" ht="14.65" thickBot="1" x14ac:dyDescent="0.5">
      <c r="S66" s="37">
        <f t="shared" si="1"/>
        <v>135.42699052532714</v>
      </c>
      <c r="U66" s="26">
        <f t="shared" si="0"/>
        <v>18</v>
      </c>
    </row>
    <row r="67" spans="19:21" ht="14.65" thickBot="1" x14ac:dyDescent="0.5">
      <c r="S67" s="37">
        <f t="shared" si="1"/>
        <v>136.7812604305804</v>
      </c>
      <c r="U67" s="26">
        <f t="shared" si="0"/>
        <v>18</v>
      </c>
    </row>
    <row r="68" spans="19:21" ht="14.65" thickBot="1" x14ac:dyDescent="0.5">
      <c r="S68" s="37">
        <f t="shared" si="1"/>
        <v>138.14907303488621</v>
      </c>
      <c r="U68" s="26">
        <f>IF(S68&lt;$D$7,-$D$9+$D$10,MIN(S68-$D$7-$D$9+$D$10,($D$8-$D$7)-$D$9+$D$10))</f>
        <v>18</v>
      </c>
    </row>
    <row r="69" spans="19:21" ht="14.65" thickBot="1" x14ac:dyDescent="0.5">
      <c r="S69" s="37">
        <f t="shared" si="1"/>
        <v>139.53056376523509</v>
      </c>
      <c r="U69" s="26">
        <f t="shared" si="0"/>
        <v>18</v>
      </c>
    </row>
    <row r="70" spans="19:21" ht="14.65" thickBot="1" x14ac:dyDescent="0.5">
      <c r="S70" s="37">
        <f t="shared" si="1"/>
        <v>140.92586940288743</v>
      </c>
      <c r="U70" s="26">
        <f t="shared" si="0"/>
        <v>18</v>
      </c>
    </row>
    <row r="71" spans="19:21" ht="14.65" thickBot="1" x14ac:dyDescent="0.5">
      <c r="S71" s="37">
        <f t="shared" si="1"/>
        <v>142.33512809691629</v>
      </c>
      <c r="U71" s="26">
        <f t="shared" si="0"/>
        <v>18</v>
      </c>
    </row>
    <row r="72" spans="19:21" ht="14.65" thickBot="1" x14ac:dyDescent="0.5">
      <c r="S72" s="37">
        <f t="shared" si="1"/>
        <v>143.75847937788546</v>
      </c>
      <c r="U72" s="26">
        <f t="shared" si="0"/>
        <v>18</v>
      </c>
    </row>
    <row r="73" spans="19:21" ht="14.65" thickBot="1" x14ac:dyDescent="0.5">
      <c r="S73" s="37">
        <f t="shared" si="1"/>
        <v>145.19606417166432</v>
      </c>
      <c r="U73" s="26">
        <f t="shared" si="0"/>
        <v>18</v>
      </c>
    </row>
    <row r="74" spans="19:21" ht="14.65" thickBot="1" x14ac:dyDescent="0.5">
      <c r="S74" s="37">
        <f t="shared" si="1"/>
        <v>146.64802481338097</v>
      </c>
      <c r="U74" s="26">
        <f t="shared" si="0"/>
        <v>18</v>
      </c>
    </row>
    <row r="75" spans="19:21" ht="14.65" thickBot="1" x14ac:dyDescent="0.5">
      <c r="S75" s="37">
        <f t="shared" si="1"/>
        <v>148.11450506151479</v>
      </c>
      <c r="U75" s="26">
        <f t="shared" si="0"/>
        <v>18</v>
      </c>
    </row>
    <row r="76" spans="19:21" ht="14.65" thickBot="1" x14ac:dyDescent="0.5">
      <c r="S76" s="37">
        <f t="shared" si="1"/>
        <v>149.59565011212993</v>
      </c>
      <c r="U76" s="26">
        <f t="shared" si="0"/>
        <v>18</v>
      </c>
    </row>
    <row r="77" spans="19:21" ht="14.65" thickBot="1" x14ac:dyDescent="0.5">
      <c r="S77" s="37">
        <f t="shared" si="1"/>
        <v>151.09160661325123</v>
      </c>
      <c r="U77" s="26">
        <f t="shared" si="0"/>
        <v>18</v>
      </c>
    </row>
    <row r="78" spans="19:21" ht="14.65" thickBot="1" x14ac:dyDescent="0.5">
      <c r="S78" s="37">
        <f t="shared" si="1"/>
        <v>152.60252267938375</v>
      </c>
      <c r="U78" s="26">
        <f t="shared" si="0"/>
        <v>18</v>
      </c>
    </row>
    <row r="79" spans="19:21" ht="14.65" thickBot="1" x14ac:dyDescent="0.5">
      <c r="S79" s="37">
        <f t="shared" si="1"/>
        <v>154.1285479061776</v>
      </c>
      <c r="U79" s="26">
        <f t="shared" si="0"/>
        <v>18</v>
      </c>
    </row>
    <row r="80" spans="19:21" ht="14.65" thickBot="1" x14ac:dyDescent="0.5">
      <c r="S80" s="37">
        <f t="shared" si="1"/>
        <v>155.66983338523937</v>
      </c>
      <c r="U80" s="26">
        <f t="shared" si="0"/>
        <v>18</v>
      </c>
    </row>
    <row r="81" spans="19:21" ht="14.65" thickBot="1" x14ac:dyDescent="0.5">
      <c r="S81" s="37">
        <f t="shared" si="1"/>
        <v>157.22653171909175</v>
      </c>
      <c r="U81" s="26">
        <f t="shared" si="0"/>
        <v>18</v>
      </c>
    </row>
    <row r="82" spans="19:21" ht="14.65" thickBot="1" x14ac:dyDescent="0.5">
      <c r="S82" s="37">
        <f t="shared" si="1"/>
        <v>158.79879703628268</v>
      </c>
      <c r="U82" s="26">
        <f t="shared" si="0"/>
        <v>18</v>
      </c>
    </row>
    <row r="83" spans="19:21" ht="14.65" thickBot="1" x14ac:dyDescent="0.5">
      <c r="S83" s="37">
        <f t="shared" si="1"/>
        <v>160.38678500664551</v>
      </c>
      <c r="U83" s="26">
        <f t="shared" ref="U83:U146" si="2">IF(S83&lt;$D$7,-$D$9+$D$10,MIN(S83-$D$7-$D$9+$D$10,($D$8-$D$7)-$D$9+$D$10))</f>
        <v>18</v>
      </c>
    </row>
    <row r="84" spans="19:21" ht="14.65" thickBot="1" x14ac:dyDescent="0.5">
      <c r="S84" s="37">
        <f t="shared" ref="S84:S147" si="3">S83*(1.01)</f>
        <v>161.99065285671196</v>
      </c>
      <c r="U84" s="26">
        <f t="shared" si="2"/>
        <v>18</v>
      </c>
    </row>
    <row r="85" spans="19:21" ht="14.65" thickBot="1" x14ac:dyDescent="0.5">
      <c r="S85" s="37">
        <f t="shared" si="3"/>
        <v>163.61055938527909</v>
      </c>
      <c r="U85" s="26">
        <f t="shared" si="2"/>
        <v>18</v>
      </c>
    </row>
    <row r="86" spans="19:21" ht="14.65" thickBot="1" x14ac:dyDescent="0.5">
      <c r="S86" s="37">
        <f t="shared" si="3"/>
        <v>165.24666497913188</v>
      </c>
      <c r="U86" s="26">
        <f t="shared" si="2"/>
        <v>18</v>
      </c>
    </row>
    <row r="87" spans="19:21" ht="14.65" thickBot="1" x14ac:dyDescent="0.5">
      <c r="S87" s="37">
        <f t="shared" si="3"/>
        <v>166.89913162892319</v>
      </c>
      <c r="U87" s="26">
        <f t="shared" si="2"/>
        <v>18</v>
      </c>
    </row>
    <row r="88" spans="19:21" ht="14.65" thickBot="1" x14ac:dyDescent="0.5">
      <c r="S88" s="37">
        <f t="shared" si="3"/>
        <v>168.56812294521242</v>
      </c>
      <c r="U88" s="26">
        <f t="shared" si="2"/>
        <v>18</v>
      </c>
    </row>
    <row r="89" spans="19:21" ht="14.65" thickBot="1" x14ac:dyDescent="0.5">
      <c r="S89" s="37">
        <f t="shared" si="3"/>
        <v>170.25380417466454</v>
      </c>
      <c r="U89" s="26">
        <f t="shared" si="2"/>
        <v>18</v>
      </c>
    </row>
    <row r="90" spans="19:21" ht="14.65" thickBot="1" x14ac:dyDescent="0.5">
      <c r="S90" s="37">
        <f t="shared" si="3"/>
        <v>171.95634221641117</v>
      </c>
      <c r="U90" s="26">
        <f t="shared" si="2"/>
        <v>18</v>
      </c>
    </row>
    <row r="91" spans="19:21" ht="14.65" thickBot="1" x14ac:dyDescent="0.5">
      <c r="S91" s="37">
        <f t="shared" si="3"/>
        <v>173.67590563857527</v>
      </c>
      <c r="U91" s="26">
        <f t="shared" si="2"/>
        <v>18</v>
      </c>
    </row>
    <row r="92" spans="19:21" ht="14.65" thickBot="1" x14ac:dyDescent="0.5">
      <c r="S92" s="37">
        <f t="shared" si="3"/>
        <v>175.41266469496102</v>
      </c>
      <c r="U92" s="26">
        <f t="shared" si="2"/>
        <v>18</v>
      </c>
    </row>
    <row r="93" spans="19:21" ht="14.65" thickBot="1" x14ac:dyDescent="0.5">
      <c r="S93" s="37">
        <f t="shared" si="3"/>
        <v>177.16679134191062</v>
      </c>
      <c r="U93" s="26">
        <f t="shared" si="2"/>
        <v>18</v>
      </c>
    </row>
    <row r="94" spans="19:21" ht="14.65" thickBot="1" x14ac:dyDescent="0.5">
      <c r="S94" s="37">
        <f t="shared" si="3"/>
        <v>178.93845925532972</v>
      </c>
      <c r="U94" s="26">
        <f t="shared" si="2"/>
        <v>18</v>
      </c>
    </row>
    <row r="95" spans="19:21" ht="14.65" thickBot="1" x14ac:dyDescent="0.5">
      <c r="S95" s="37">
        <f t="shared" si="3"/>
        <v>180.72784384788301</v>
      </c>
      <c r="U95" s="26">
        <f t="shared" si="2"/>
        <v>18</v>
      </c>
    </row>
    <row r="96" spans="19:21" ht="14.65" thickBot="1" x14ac:dyDescent="0.5">
      <c r="S96" s="37">
        <f t="shared" si="3"/>
        <v>182.53512228636183</v>
      </c>
      <c r="U96" s="26">
        <f t="shared" si="2"/>
        <v>18</v>
      </c>
    </row>
    <row r="97" spans="19:21" ht="14.65" thickBot="1" x14ac:dyDescent="0.5">
      <c r="S97" s="37">
        <f t="shared" si="3"/>
        <v>184.36047350922544</v>
      </c>
      <c r="U97" s="26">
        <f t="shared" si="2"/>
        <v>18</v>
      </c>
    </row>
    <row r="98" spans="19:21" ht="14.65" thickBot="1" x14ac:dyDescent="0.5">
      <c r="S98" s="37">
        <f t="shared" si="3"/>
        <v>186.20407824431769</v>
      </c>
      <c r="U98" s="26">
        <f t="shared" si="2"/>
        <v>18</v>
      </c>
    </row>
    <row r="99" spans="19:21" ht="14.65" thickBot="1" x14ac:dyDescent="0.5">
      <c r="S99" s="37">
        <f t="shared" si="3"/>
        <v>188.06611902676087</v>
      </c>
      <c r="U99" s="26">
        <f t="shared" si="2"/>
        <v>18</v>
      </c>
    </row>
    <row r="100" spans="19:21" ht="14.65" thickBot="1" x14ac:dyDescent="0.5">
      <c r="S100" s="37">
        <f t="shared" si="3"/>
        <v>189.94678021702848</v>
      </c>
      <c r="U100" s="26">
        <f t="shared" si="2"/>
        <v>18</v>
      </c>
    </row>
    <row r="101" spans="19:21" ht="14.65" thickBot="1" x14ac:dyDescent="0.5">
      <c r="S101" s="37">
        <f t="shared" si="3"/>
        <v>191.84624801919875</v>
      </c>
      <c r="U101" s="26">
        <f t="shared" si="2"/>
        <v>18</v>
      </c>
    </row>
    <row r="102" spans="19:21" ht="14.65" thickBot="1" x14ac:dyDescent="0.5">
      <c r="S102" s="37">
        <f t="shared" si="3"/>
        <v>193.76471049939073</v>
      </c>
      <c r="U102" s="26">
        <f t="shared" si="2"/>
        <v>18</v>
      </c>
    </row>
    <row r="103" spans="19:21" ht="14.65" thickBot="1" x14ac:dyDescent="0.5">
      <c r="S103" s="37">
        <f t="shared" si="3"/>
        <v>195.70235760438464</v>
      </c>
      <c r="U103" s="26">
        <f t="shared" si="2"/>
        <v>18</v>
      </c>
    </row>
    <row r="104" spans="19:21" ht="14.65" thickBot="1" x14ac:dyDescent="0.5">
      <c r="S104" s="37">
        <f t="shared" si="3"/>
        <v>197.65938118042848</v>
      </c>
      <c r="U104" s="26">
        <f t="shared" si="2"/>
        <v>18</v>
      </c>
    </row>
    <row r="105" spans="19:21" ht="14.65" thickBot="1" x14ac:dyDescent="0.5">
      <c r="S105" s="37">
        <f t="shared" si="3"/>
        <v>199.63597499223278</v>
      </c>
      <c r="U105" s="26">
        <f t="shared" si="2"/>
        <v>18</v>
      </c>
    </row>
    <row r="106" spans="19:21" ht="14.65" thickBot="1" x14ac:dyDescent="0.5">
      <c r="S106" s="37">
        <f t="shared" si="3"/>
        <v>201.63233474215511</v>
      </c>
      <c r="U106" s="26">
        <f t="shared" si="2"/>
        <v>18</v>
      </c>
    </row>
    <row r="107" spans="19:21" ht="14.65" thickBot="1" x14ac:dyDescent="0.5">
      <c r="S107" s="37">
        <f t="shared" si="3"/>
        <v>203.64865808957666</v>
      </c>
      <c r="U107" s="26">
        <f t="shared" si="2"/>
        <v>18</v>
      </c>
    </row>
    <row r="108" spans="19:21" ht="14.65" thickBot="1" x14ac:dyDescent="0.5">
      <c r="S108" s="37">
        <f t="shared" si="3"/>
        <v>205.68514467047243</v>
      </c>
      <c r="U108" s="26">
        <f t="shared" si="2"/>
        <v>18</v>
      </c>
    </row>
    <row r="109" spans="19:21" ht="14.65" thickBot="1" x14ac:dyDescent="0.5">
      <c r="S109" s="37">
        <f t="shared" si="3"/>
        <v>207.74199611717714</v>
      </c>
      <c r="U109" s="26">
        <f t="shared" si="2"/>
        <v>18</v>
      </c>
    </row>
    <row r="110" spans="19:21" ht="14.65" thickBot="1" x14ac:dyDescent="0.5">
      <c r="S110" s="37">
        <f t="shared" si="3"/>
        <v>209.81941607834892</v>
      </c>
      <c r="U110" s="26">
        <f t="shared" si="2"/>
        <v>18</v>
      </c>
    </row>
    <row r="111" spans="19:21" ht="14.65" thickBot="1" x14ac:dyDescent="0.5">
      <c r="S111" s="37">
        <f t="shared" si="3"/>
        <v>211.91761023913242</v>
      </c>
      <c r="U111" s="26">
        <f t="shared" si="2"/>
        <v>18</v>
      </c>
    </row>
    <row r="112" spans="19:21" ht="14.65" thickBot="1" x14ac:dyDescent="0.5">
      <c r="S112" s="37">
        <f t="shared" si="3"/>
        <v>214.03678634152374</v>
      </c>
      <c r="U112" s="26">
        <f t="shared" si="2"/>
        <v>18</v>
      </c>
    </row>
    <row r="113" spans="19:21" ht="14.65" thickBot="1" x14ac:dyDescent="0.5">
      <c r="S113" s="37">
        <f t="shared" si="3"/>
        <v>216.17715420493897</v>
      </c>
      <c r="U113" s="26">
        <f t="shared" si="2"/>
        <v>18</v>
      </c>
    </row>
    <row r="114" spans="19:21" ht="14.65" thickBot="1" x14ac:dyDescent="0.5">
      <c r="S114" s="37">
        <f t="shared" si="3"/>
        <v>218.33892574698837</v>
      </c>
      <c r="U114" s="26">
        <f t="shared" si="2"/>
        <v>18</v>
      </c>
    </row>
    <row r="115" spans="19:21" ht="14.65" thickBot="1" x14ac:dyDescent="0.5">
      <c r="S115" s="37">
        <f t="shared" si="3"/>
        <v>220.52231500445825</v>
      </c>
      <c r="U115" s="26">
        <f t="shared" si="2"/>
        <v>18</v>
      </c>
    </row>
    <row r="116" spans="19:21" ht="14.65" thickBot="1" x14ac:dyDescent="0.5">
      <c r="S116" s="37">
        <f t="shared" si="3"/>
        <v>222.72753815450284</v>
      </c>
      <c r="U116" s="26">
        <f t="shared" si="2"/>
        <v>18</v>
      </c>
    </row>
    <row r="117" spans="19:21" ht="14.65" thickBot="1" x14ac:dyDescent="0.5">
      <c r="S117" s="37">
        <f t="shared" si="3"/>
        <v>224.95481353604788</v>
      </c>
      <c r="U117" s="26">
        <f t="shared" si="2"/>
        <v>18</v>
      </c>
    </row>
    <row r="118" spans="19:21" ht="14.65" thickBot="1" x14ac:dyDescent="0.5">
      <c r="S118" s="37">
        <f t="shared" si="3"/>
        <v>227.20436167140835</v>
      </c>
      <c r="U118" s="26">
        <f t="shared" si="2"/>
        <v>18</v>
      </c>
    </row>
    <row r="119" spans="19:21" ht="14.65" thickBot="1" x14ac:dyDescent="0.5">
      <c r="S119" s="37">
        <f t="shared" si="3"/>
        <v>229.47640528812244</v>
      </c>
      <c r="U119" s="26">
        <f t="shared" si="2"/>
        <v>18</v>
      </c>
    </row>
    <row r="120" spans="19:21" ht="14.65" thickBot="1" x14ac:dyDescent="0.5">
      <c r="S120" s="37">
        <f t="shared" si="3"/>
        <v>231.77116934100366</v>
      </c>
      <c r="U120" s="26">
        <f t="shared" si="2"/>
        <v>18</v>
      </c>
    </row>
    <row r="121" spans="19:21" ht="14.65" thickBot="1" x14ac:dyDescent="0.5">
      <c r="S121" s="37">
        <f t="shared" si="3"/>
        <v>234.0888810344137</v>
      </c>
      <c r="U121" s="26">
        <f t="shared" si="2"/>
        <v>18</v>
      </c>
    </row>
    <row r="122" spans="19:21" ht="14.65" thickBot="1" x14ac:dyDescent="0.5">
      <c r="S122" s="37">
        <f t="shared" si="3"/>
        <v>236.42976984475783</v>
      </c>
      <c r="U122" s="26">
        <f t="shared" si="2"/>
        <v>18</v>
      </c>
    </row>
    <row r="123" spans="19:21" ht="14.65" thickBot="1" x14ac:dyDescent="0.5">
      <c r="S123" s="37">
        <f t="shared" si="3"/>
        <v>238.79406754320541</v>
      </c>
      <c r="U123" s="26">
        <f t="shared" si="2"/>
        <v>18</v>
      </c>
    </row>
    <row r="124" spans="19:21" ht="14.65" thickBot="1" x14ac:dyDescent="0.5">
      <c r="S124" s="37">
        <f t="shared" si="3"/>
        <v>241.18200821863746</v>
      </c>
      <c r="U124" s="26">
        <f t="shared" si="2"/>
        <v>18</v>
      </c>
    </row>
    <row r="125" spans="19:21" ht="14.65" thickBot="1" x14ac:dyDescent="0.5">
      <c r="S125" s="37">
        <f t="shared" si="3"/>
        <v>243.59382830082384</v>
      </c>
      <c r="U125" s="26">
        <f t="shared" si="2"/>
        <v>18</v>
      </c>
    </row>
    <row r="126" spans="19:21" ht="14.65" thickBot="1" x14ac:dyDescent="0.5">
      <c r="S126" s="37">
        <f t="shared" si="3"/>
        <v>246.02976658383207</v>
      </c>
      <c r="U126" s="26">
        <f t="shared" si="2"/>
        <v>18</v>
      </c>
    </row>
    <row r="127" spans="19:21" ht="14.65" thickBot="1" x14ac:dyDescent="0.5">
      <c r="S127" s="37">
        <f t="shared" si="3"/>
        <v>248.49006424967038</v>
      </c>
      <c r="U127" s="26">
        <f t="shared" si="2"/>
        <v>18</v>
      </c>
    </row>
    <row r="128" spans="19:21" ht="14.65" thickBot="1" x14ac:dyDescent="0.5">
      <c r="S128" s="37">
        <f t="shared" si="3"/>
        <v>250.97496489216709</v>
      </c>
      <c r="U128" s="26">
        <f t="shared" si="2"/>
        <v>18</v>
      </c>
    </row>
    <row r="129" spans="19:21" ht="14.65" thickBot="1" x14ac:dyDescent="0.5">
      <c r="S129" s="37">
        <f t="shared" si="3"/>
        <v>253.48471454108878</v>
      </c>
      <c r="U129" s="26">
        <f t="shared" si="2"/>
        <v>18</v>
      </c>
    </row>
    <row r="130" spans="19:21" ht="14.65" thickBot="1" x14ac:dyDescent="0.5">
      <c r="S130" s="37">
        <f t="shared" si="3"/>
        <v>256.01956168649969</v>
      </c>
      <c r="U130" s="26">
        <f t="shared" si="2"/>
        <v>18</v>
      </c>
    </row>
    <row r="131" spans="19:21" ht="14.65" thickBot="1" x14ac:dyDescent="0.5">
      <c r="S131" s="37">
        <f t="shared" si="3"/>
        <v>258.57975730336466</v>
      </c>
      <c r="U131" s="26">
        <f t="shared" si="2"/>
        <v>18</v>
      </c>
    </row>
    <row r="132" spans="19:21" ht="14.65" thickBot="1" x14ac:dyDescent="0.5">
      <c r="S132" s="37">
        <f t="shared" si="3"/>
        <v>261.16555487639829</v>
      </c>
      <c r="U132" s="26">
        <f t="shared" si="2"/>
        <v>18</v>
      </c>
    </row>
    <row r="133" spans="19:21" ht="14.65" thickBot="1" x14ac:dyDescent="0.5">
      <c r="S133" s="37">
        <f t="shared" si="3"/>
        <v>263.77721042516225</v>
      </c>
      <c r="U133" s="26">
        <f t="shared" si="2"/>
        <v>18</v>
      </c>
    </row>
    <row r="134" spans="19:21" ht="14.65" thickBot="1" x14ac:dyDescent="0.5">
      <c r="S134" s="37">
        <f t="shared" si="3"/>
        <v>266.41498252941386</v>
      </c>
      <c r="U134" s="26">
        <f t="shared" si="2"/>
        <v>18</v>
      </c>
    </row>
    <row r="135" spans="19:21" ht="14.65" thickBot="1" x14ac:dyDescent="0.5">
      <c r="S135" s="37">
        <f t="shared" si="3"/>
        <v>269.07913235470801</v>
      </c>
      <c r="U135" s="26">
        <f t="shared" si="2"/>
        <v>18</v>
      </c>
    </row>
    <row r="136" spans="19:21" ht="14.65" thickBot="1" x14ac:dyDescent="0.5">
      <c r="S136" s="37">
        <f t="shared" si="3"/>
        <v>271.76992367825511</v>
      </c>
      <c r="U136" s="26">
        <f t="shared" si="2"/>
        <v>18</v>
      </c>
    </row>
    <row r="137" spans="19:21" ht="14.65" thickBot="1" x14ac:dyDescent="0.5">
      <c r="S137" s="37">
        <f t="shared" si="3"/>
        <v>274.48762291503766</v>
      </c>
      <c r="U137" s="26">
        <f t="shared" si="2"/>
        <v>18</v>
      </c>
    </row>
    <row r="138" spans="19:21" ht="14.65" thickBot="1" x14ac:dyDescent="0.5">
      <c r="S138" s="37">
        <f t="shared" si="3"/>
        <v>277.23249914418807</v>
      </c>
      <c r="U138" s="26">
        <f t="shared" si="2"/>
        <v>18</v>
      </c>
    </row>
    <row r="139" spans="19:21" ht="14.65" thickBot="1" x14ac:dyDescent="0.5">
      <c r="S139" s="37">
        <f t="shared" si="3"/>
        <v>280.00482413562997</v>
      </c>
      <c r="U139" s="26">
        <f t="shared" si="2"/>
        <v>18</v>
      </c>
    </row>
    <row r="140" spans="19:21" ht="14.65" thickBot="1" x14ac:dyDescent="0.5">
      <c r="S140" s="37">
        <f t="shared" si="3"/>
        <v>282.80487237698628</v>
      </c>
      <c r="U140" s="26">
        <f t="shared" si="2"/>
        <v>18</v>
      </c>
    </row>
    <row r="141" spans="19:21" ht="14.65" thickBot="1" x14ac:dyDescent="0.5">
      <c r="S141" s="37">
        <f t="shared" si="3"/>
        <v>285.63292110075616</v>
      </c>
      <c r="U141" s="26">
        <f t="shared" si="2"/>
        <v>18</v>
      </c>
    </row>
    <row r="142" spans="19:21" ht="14.65" thickBot="1" x14ac:dyDescent="0.5">
      <c r="S142" s="37">
        <f t="shared" si="3"/>
        <v>288.48925031176373</v>
      </c>
      <c r="U142" s="26">
        <f t="shared" si="2"/>
        <v>18</v>
      </c>
    </row>
    <row r="143" spans="19:21" ht="14.65" thickBot="1" x14ac:dyDescent="0.5">
      <c r="S143" s="37">
        <f t="shared" si="3"/>
        <v>291.37414281488134</v>
      </c>
      <c r="U143" s="26">
        <f t="shared" si="2"/>
        <v>18</v>
      </c>
    </row>
    <row r="144" spans="19:21" ht="14.65" thickBot="1" x14ac:dyDescent="0.5">
      <c r="S144" s="37">
        <f t="shared" si="3"/>
        <v>294.28788424303013</v>
      </c>
      <c r="U144" s="26">
        <f t="shared" si="2"/>
        <v>18</v>
      </c>
    </row>
    <row r="145" spans="19:21" ht="14.65" thickBot="1" x14ac:dyDescent="0.5">
      <c r="S145" s="37">
        <f t="shared" si="3"/>
        <v>297.23076308546047</v>
      </c>
      <c r="U145" s="26">
        <f t="shared" si="2"/>
        <v>18</v>
      </c>
    </row>
    <row r="146" spans="19:21" ht="14.65" thickBot="1" x14ac:dyDescent="0.5">
      <c r="S146" s="37">
        <f t="shared" si="3"/>
        <v>300.2030707163151</v>
      </c>
      <c r="U146" s="26">
        <f t="shared" si="2"/>
        <v>18</v>
      </c>
    </row>
    <row r="147" spans="19:21" ht="14.65" thickBot="1" x14ac:dyDescent="0.5">
      <c r="S147" s="37">
        <f t="shared" si="3"/>
        <v>303.20510142347825</v>
      </c>
      <c r="U147" s="26">
        <f t="shared" ref="U147:U210" si="4">IF(S147&lt;$D$7,-$D$9+$D$10,MIN(S147-$D$7-$D$9+$D$10,($D$8-$D$7)-$D$9+$D$10))</f>
        <v>18</v>
      </c>
    </row>
    <row r="148" spans="19:21" ht="14.65" thickBot="1" x14ac:dyDescent="0.5">
      <c r="S148" s="37">
        <f t="shared" ref="S148:S211" si="5">S147*(1.01)</f>
        <v>306.23715243771306</v>
      </c>
      <c r="U148" s="26">
        <f t="shared" si="4"/>
        <v>18</v>
      </c>
    </row>
    <row r="149" spans="19:21" ht="14.65" thickBot="1" x14ac:dyDescent="0.5">
      <c r="S149" s="37">
        <f t="shared" si="5"/>
        <v>309.29952396209018</v>
      </c>
      <c r="U149" s="26">
        <f t="shared" si="4"/>
        <v>18</v>
      </c>
    </row>
    <row r="150" spans="19:21" ht="14.65" thickBot="1" x14ac:dyDescent="0.5">
      <c r="S150" s="37">
        <f t="shared" si="5"/>
        <v>312.39251920171108</v>
      </c>
      <c r="U150" s="26">
        <f t="shared" si="4"/>
        <v>18</v>
      </c>
    </row>
    <row r="151" spans="19:21" ht="14.65" thickBot="1" x14ac:dyDescent="0.5">
      <c r="S151" s="37">
        <f t="shared" si="5"/>
        <v>315.51644439372819</v>
      </c>
      <c r="U151" s="26">
        <f t="shared" si="4"/>
        <v>18</v>
      </c>
    </row>
    <row r="152" spans="19:21" ht="14.65" thickBot="1" x14ac:dyDescent="0.5">
      <c r="S152" s="37">
        <f t="shared" si="5"/>
        <v>318.67160883766547</v>
      </c>
      <c r="U152" s="26">
        <f t="shared" si="4"/>
        <v>18</v>
      </c>
    </row>
    <row r="153" spans="19:21" ht="14.65" thickBot="1" x14ac:dyDescent="0.5">
      <c r="S153" s="37">
        <f t="shared" si="5"/>
        <v>321.85832492604214</v>
      </c>
      <c r="U153" s="26">
        <f t="shared" si="4"/>
        <v>18</v>
      </c>
    </row>
    <row r="154" spans="19:21" ht="14.65" thickBot="1" x14ac:dyDescent="0.5">
      <c r="S154" s="37">
        <f t="shared" si="5"/>
        <v>325.07690817530255</v>
      </c>
      <c r="U154" s="26">
        <f t="shared" si="4"/>
        <v>18</v>
      </c>
    </row>
    <row r="155" spans="19:21" ht="14.65" thickBot="1" x14ac:dyDescent="0.5">
      <c r="S155" s="37">
        <f t="shared" si="5"/>
        <v>328.3276772570556</v>
      </c>
      <c r="U155" s="26">
        <f t="shared" si="4"/>
        <v>18</v>
      </c>
    </row>
    <row r="156" spans="19:21" ht="14.65" thickBot="1" x14ac:dyDescent="0.5">
      <c r="S156" s="37">
        <f t="shared" si="5"/>
        <v>331.61095402962616</v>
      </c>
      <c r="U156" s="26">
        <f t="shared" si="4"/>
        <v>18</v>
      </c>
    </row>
    <row r="157" spans="19:21" ht="14.65" thickBot="1" x14ac:dyDescent="0.5">
      <c r="S157" s="37">
        <f t="shared" si="5"/>
        <v>334.92706356992244</v>
      </c>
      <c r="U157" s="26">
        <f t="shared" si="4"/>
        <v>18</v>
      </c>
    </row>
    <row r="158" spans="19:21" ht="14.65" thickBot="1" x14ac:dyDescent="0.5">
      <c r="S158" s="37">
        <f t="shared" si="5"/>
        <v>338.27633420562165</v>
      </c>
      <c r="U158" s="26">
        <f t="shared" si="4"/>
        <v>18</v>
      </c>
    </row>
    <row r="159" spans="19:21" ht="14.65" thickBot="1" x14ac:dyDescent="0.5">
      <c r="S159" s="37">
        <f t="shared" si="5"/>
        <v>341.65909754767785</v>
      </c>
      <c r="U159" s="26">
        <f t="shared" si="4"/>
        <v>18</v>
      </c>
    </row>
    <row r="160" spans="19:21" ht="14.65" thickBot="1" x14ac:dyDescent="0.5">
      <c r="S160" s="37">
        <f t="shared" si="5"/>
        <v>345.07568852315461</v>
      </c>
      <c r="U160" s="26">
        <f t="shared" si="4"/>
        <v>18</v>
      </c>
    </row>
    <row r="161" spans="19:21" ht="14.65" thickBot="1" x14ac:dyDescent="0.5">
      <c r="S161" s="37">
        <f t="shared" si="5"/>
        <v>348.52644540838617</v>
      </c>
      <c r="U161" s="26">
        <f t="shared" si="4"/>
        <v>18</v>
      </c>
    </row>
    <row r="162" spans="19:21" ht="14.65" thickBot="1" x14ac:dyDescent="0.5">
      <c r="S162" s="37">
        <f t="shared" si="5"/>
        <v>352.01170986247001</v>
      </c>
      <c r="U162" s="26">
        <f t="shared" si="4"/>
        <v>18</v>
      </c>
    </row>
    <row r="163" spans="19:21" ht="14.65" thickBot="1" x14ac:dyDescent="0.5">
      <c r="S163" s="37">
        <f t="shared" si="5"/>
        <v>355.53182696109474</v>
      </c>
      <c r="U163" s="26">
        <f t="shared" si="4"/>
        <v>18</v>
      </c>
    </row>
    <row r="164" spans="19:21" ht="14.65" thickBot="1" x14ac:dyDescent="0.5">
      <c r="S164" s="37">
        <f t="shared" si="5"/>
        <v>359.08714523070569</v>
      </c>
      <c r="U164" s="26">
        <f t="shared" si="4"/>
        <v>18</v>
      </c>
    </row>
    <row r="165" spans="19:21" ht="14.65" thickBot="1" x14ac:dyDescent="0.5">
      <c r="S165" s="37">
        <f t="shared" si="5"/>
        <v>362.67801668301274</v>
      </c>
      <c r="U165" s="26">
        <f t="shared" si="4"/>
        <v>18</v>
      </c>
    </row>
    <row r="166" spans="19:21" ht="14.65" thickBot="1" x14ac:dyDescent="0.5">
      <c r="S166" s="37">
        <f t="shared" si="5"/>
        <v>366.30479684984289</v>
      </c>
      <c r="U166" s="26">
        <f t="shared" si="4"/>
        <v>18</v>
      </c>
    </row>
    <row r="167" spans="19:21" ht="14.65" thickBot="1" x14ac:dyDescent="0.5">
      <c r="S167" s="37">
        <f t="shared" si="5"/>
        <v>369.96784481834129</v>
      </c>
      <c r="U167" s="26">
        <f t="shared" si="4"/>
        <v>18</v>
      </c>
    </row>
    <row r="168" spans="19:21" ht="14.65" thickBot="1" x14ac:dyDescent="0.5">
      <c r="S168" s="37">
        <f t="shared" si="5"/>
        <v>373.66752326652471</v>
      </c>
      <c r="U168" s="26">
        <f t="shared" si="4"/>
        <v>18</v>
      </c>
    </row>
    <row r="169" spans="19:21" ht="14.65" thickBot="1" x14ac:dyDescent="0.5">
      <c r="S169" s="37">
        <f t="shared" si="5"/>
        <v>377.40419849918999</v>
      </c>
      <c r="U169" s="26">
        <f t="shared" si="4"/>
        <v>18</v>
      </c>
    </row>
    <row r="170" spans="19:21" ht="14.65" thickBot="1" x14ac:dyDescent="0.5">
      <c r="S170" s="37">
        <f t="shared" si="5"/>
        <v>381.17824048418191</v>
      </c>
      <c r="U170" s="26">
        <f t="shared" si="4"/>
        <v>18</v>
      </c>
    </row>
    <row r="171" spans="19:21" ht="14.65" thickBot="1" x14ac:dyDescent="0.5">
      <c r="S171" s="37">
        <f t="shared" si="5"/>
        <v>384.99002288902375</v>
      </c>
      <c r="U171" s="26">
        <f t="shared" si="4"/>
        <v>18</v>
      </c>
    </row>
    <row r="172" spans="19:21" ht="14.65" thickBot="1" x14ac:dyDescent="0.5">
      <c r="S172" s="37">
        <f t="shared" si="5"/>
        <v>388.839923117914</v>
      </c>
      <c r="U172" s="26">
        <f t="shared" si="4"/>
        <v>18</v>
      </c>
    </row>
    <row r="173" spans="19:21" ht="14.65" thickBot="1" x14ac:dyDescent="0.5">
      <c r="S173" s="37">
        <f t="shared" si="5"/>
        <v>392.72832234909316</v>
      </c>
      <c r="U173" s="26">
        <f t="shared" si="4"/>
        <v>18</v>
      </c>
    </row>
    <row r="174" spans="19:21" ht="14.65" thickBot="1" x14ac:dyDescent="0.5">
      <c r="S174" s="37">
        <f t="shared" si="5"/>
        <v>396.65560557258408</v>
      </c>
      <c r="U174" s="26">
        <f t="shared" si="4"/>
        <v>18</v>
      </c>
    </row>
    <row r="175" spans="19:21" ht="14.65" thickBot="1" x14ac:dyDescent="0.5">
      <c r="S175" s="37">
        <f t="shared" si="5"/>
        <v>400.62216162830993</v>
      </c>
      <c r="U175" s="26">
        <f t="shared" si="4"/>
        <v>18</v>
      </c>
    </row>
    <row r="176" spans="19:21" ht="14.65" thickBot="1" x14ac:dyDescent="0.5">
      <c r="S176" s="37">
        <f t="shared" si="5"/>
        <v>404.62838324459301</v>
      </c>
      <c r="U176" s="26">
        <f t="shared" si="4"/>
        <v>18</v>
      </c>
    </row>
    <row r="177" spans="19:21" ht="14.65" thickBot="1" x14ac:dyDescent="0.5">
      <c r="S177" s="37">
        <f t="shared" si="5"/>
        <v>408.67466707703892</v>
      </c>
      <c r="U177" s="26">
        <f t="shared" si="4"/>
        <v>18</v>
      </c>
    </row>
    <row r="178" spans="19:21" ht="14.65" thickBot="1" x14ac:dyDescent="0.5">
      <c r="S178" s="37">
        <f t="shared" si="5"/>
        <v>412.76141374780929</v>
      </c>
      <c r="U178" s="26">
        <f t="shared" si="4"/>
        <v>18</v>
      </c>
    </row>
    <row r="179" spans="19:21" ht="14.65" thickBot="1" x14ac:dyDescent="0.5">
      <c r="S179" s="37">
        <f t="shared" si="5"/>
        <v>416.88902788528736</v>
      </c>
      <c r="U179" s="26">
        <f t="shared" si="4"/>
        <v>18</v>
      </c>
    </row>
    <row r="180" spans="19:21" ht="14.65" thickBot="1" x14ac:dyDescent="0.5">
      <c r="S180" s="37">
        <f t="shared" si="5"/>
        <v>421.05791816414023</v>
      </c>
      <c r="U180" s="26">
        <f t="shared" si="4"/>
        <v>18</v>
      </c>
    </row>
    <row r="181" spans="19:21" ht="14.65" thickBot="1" x14ac:dyDescent="0.5">
      <c r="S181" s="37">
        <f t="shared" si="5"/>
        <v>425.26849734578161</v>
      </c>
      <c r="U181" s="26">
        <f t="shared" si="4"/>
        <v>18</v>
      </c>
    </row>
    <row r="182" spans="19:21" ht="14.65" thickBot="1" x14ac:dyDescent="0.5">
      <c r="S182" s="37">
        <f t="shared" si="5"/>
        <v>429.52118231923941</v>
      </c>
      <c r="U182" s="26">
        <f t="shared" si="4"/>
        <v>18</v>
      </c>
    </row>
    <row r="183" spans="19:21" ht="14.65" thickBot="1" x14ac:dyDescent="0.5">
      <c r="S183" s="37">
        <f t="shared" si="5"/>
        <v>433.81639414243182</v>
      </c>
      <c r="U183" s="26">
        <f t="shared" si="4"/>
        <v>18</v>
      </c>
    </row>
    <row r="184" spans="19:21" ht="14.65" thickBot="1" x14ac:dyDescent="0.5">
      <c r="S184" s="37">
        <f t="shared" si="5"/>
        <v>438.15455808385616</v>
      </c>
      <c r="U184" s="26">
        <f t="shared" si="4"/>
        <v>18</v>
      </c>
    </row>
    <row r="185" spans="19:21" ht="14.65" thickBot="1" x14ac:dyDescent="0.5">
      <c r="S185" s="37">
        <f t="shared" si="5"/>
        <v>442.53610366469474</v>
      </c>
      <c r="U185" s="26">
        <f t="shared" si="4"/>
        <v>18</v>
      </c>
    </row>
    <row r="186" spans="19:21" ht="14.65" thickBot="1" x14ac:dyDescent="0.5">
      <c r="S186" s="37">
        <f t="shared" si="5"/>
        <v>446.9614647013417</v>
      </c>
      <c r="U186" s="26">
        <f t="shared" si="4"/>
        <v>18</v>
      </c>
    </row>
    <row r="187" spans="19:21" ht="14.65" thickBot="1" x14ac:dyDescent="0.5">
      <c r="S187" s="37">
        <f t="shared" si="5"/>
        <v>451.43107934835513</v>
      </c>
      <c r="U187" s="26">
        <f t="shared" si="4"/>
        <v>18</v>
      </c>
    </row>
    <row r="188" spans="19:21" ht="14.65" thickBot="1" x14ac:dyDescent="0.5">
      <c r="S188" s="37">
        <f t="shared" si="5"/>
        <v>455.94539014183869</v>
      </c>
      <c r="U188" s="26">
        <f t="shared" si="4"/>
        <v>18</v>
      </c>
    </row>
    <row r="189" spans="19:21" ht="14.65" thickBot="1" x14ac:dyDescent="0.5">
      <c r="S189" s="37">
        <f t="shared" si="5"/>
        <v>460.50484404325709</v>
      </c>
      <c r="U189" s="26">
        <f t="shared" si="4"/>
        <v>18</v>
      </c>
    </row>
    <row r="190" spans="19:21" ht="14.65" thickBot="1" x14ac:dyDescent="0.5">
      <c r="S190" s="37">
        <f t="shared" si="5"/>
        <v>465.10989248368969</v>
      </c>
      <c r="U190" s="26">
        <f t="shared" si="4"/>
        <v>18</v>
      </c>
    </row>
    <row r="191" spans="19:21" ht="14.65" thickBot="1" x14ac:dyDescent="0.5">
      <c r="S191" s="37">
        <f t="shared" si="5"/>
        <v>469.76099140852659</v>
      </c>
      <c r="U191" s="26">
        <f t="shared" si="4"/>
        <v>18</v>
      </c>
    </row>
    <row r="192" spans="19:21" ht="14.65" thickBot="1" x14ac:dyDescent="0.5">
      <c r="S192" s="37">
        <f t="shared" si="5"/>
        <v>474.45860132261186</v>
      </c>
      <c r="U192" s="26">
        <f t="shared" si="4"/>
        <v>18</v>
      </c>
    </row>
    <row r="193" spans="19:21" ht="14.65" thickBot="1" x14ac:dyDescent="0.5">
      <c r="S193" s="37">
        <f t="shared" si="5"/>
        <v>479.20318733583798</v>
      </c>
      <c r="U193" s="26">
        <f t="shared" si="4"/>
        <v>18</v>
      </c>
    </row>
    <row r="194" spans="19:21" ht="14.65" thickBot="1" x14ac:dyDescent="0.5">
      <c r="S194" s="37">
        <f t="shared" si="5"/>
        <v>483.99521920919636</v>
      </c>
      <c r="U194" s="26">
        <f t="shared" si="4"/>
        <v>18</v>
      </c>
    </row>
    <row r="195" spans="19:21" ht="14.65" thickBot="1" x14ac:dyDescent="0.5">
      <c r="S195" s="37">
        <f t="shared" si="5"/>
        <v>488.83517140128833</v>
      </c>
      <c r="U195" s="26">
        <f t="shared" si="4"/>
        <v>18</v>
      </c>
    </row>
    <row r="196" spans="19:21" ht="14.65" thickBot="1" x14ac:dyDescent="0.5">
      <c r="S196" s="37">
        <f t="shared" si="5"/>
        <v>493.72352311530125</v>
      </c>
      <c r="U196" s="26">
        <f t="shared" si="4"/>
        <v>18</v>
      </c>
    </row>
    <row r="197" spans="19:21" ht="14.65" thickBot="1" x14ac:dyDescent="0.5">
      <c r="S197" s="37">
        <f t="shared" si="5"/>
        <v>498.66075834645426</v>
      </c>
      <c r="U197" s="26">
        <f t="shared" si="4"/>
        <v>18</v>
      </c>
    </row>
    <row r="198" spans="19:21" ht="14.65" thickBot="1" x14ac:dyDescent="0.5">
      <c r="S198" s="37">
        <f t="shared" si="5"/>
        <v>503.64736592991881</v>
      </c>
      <c r="U198" s="26">
        <f t="shared" si="4"/>
        <v>18</v>
      </c>
    </row>
    <row r="199" spans="19:21" ht="14.65" thickBot="1" x14ac:dyDescent="0.5">
      <c r="S199" s="37">
        <f t="shared" si="5"/>
        <v>508.683839589218</v>
      </c>
      <c r="U199" s="26">
        <f t="shared" si="4"/>
        <v>18</v>
      </c>
    </row>
    <row r="200" spans="19:21" ht="14.65" thickBot="1" x14ac:dyDescent="0.5">
      <c r="S200" s="37">
        <f t="shared" si="5"/>
        <v>513.77067798511018</v>
      </c>
      <c r="U200" s="26">
        <f t="shared" si="4"/>
        <v>18</v>
      </c>
    </row>
    <row r="201" spans="19:21" ht="14.65" thickBot="1" x14ac:dyDescent="0.5">
      <c r="S201" s="37">
        <f t="shared" si="5"/>
        <v>518.90838476496128</v>
      </c>
      <c r="U201" s="26">
        <f t="shared" si="4"/>
        <v>18</v>
      </c>
    </row>
    <row r="202" spans="19:21" ht="14.65" thickBot="1" x14ac:dyDescent="0.5">
      <c r="S202" s="37">
        <f t="shared" si="5"/>
        <v>524.0974686126109</v>
      </c>
      <c r="U202" s="26">
        <f t="shared" si="4"/>
        <v>18</v>
      </c>
    </row>
    <row r="203" spans="19:21" ht="14.65" thickBot="1" x14ac:dyDescent="0.5">
      <c r="S203" s="37">
        <f t="shared" si="5"/>
        <v>529.33844329873705</v>
      </c>
      <c r="U203" s="26">
        <f t="shared" si="4"/>
        <v>18</v>
      </c>
    </row>
    <row r="204" spans="19:21" ht="14.65" thickBot="1" x14ac:dyDescent="0.5">
      <c r="S204" s="37">
        <f t="shared" si="5"/>
        <v>534.63182773172446</v>
      </c>
      <c r="U204" s="26">
        <f t="shared" si="4"/>
        <v>18</v>
      </c>
    </row>
    <row r="205" spans="19:21" ht="14.65" thickBot="1" x14ac:dyDescent="0.5">
      <c r="S205" s="37">
        <f t="shared" si="5"/>
        <v>539.97814600904167</v>
      </c>
      <c r="U205" s="26">
        <f t="shared" si="4"/>
        <v>18</v>
      </c>
    </row>
    <row r="206" spans="19:21" ht="14.65" thickBot="1" x14ac:dyDescent="0.5">
      <c r="S206" s="37">
        <f t="shared" si="5"/>
        <v>545.37792746913203</v>
      </c>
      <c r="U206" s="26">
        <f t="shared" si="4"/>
        <v>18</v>
      </c>
    </row>
    <row r="207" spans="19:21" ht="14.65" thickBot="1" x14ac:dyDescent="0.5">
      <c r="S207" s="37">
        <f t="shared" si="5"/>
        <v>550.83170674382336</v>
      </c>
      <c r="U207" s="26">
        <f t="shared" si="4"/>
        <v>18</v>
      </c>
    </row>
    <row r="208" spans="19:21" ht="14.65" thickBot="1" x14ac:dyDescent="0.5">
      <c r="S208" s="37">
        <f t="shared" si="5"/>
        <v>556.34002381126163</v>
      </c>
      <c r="U208" s="26">
        <f t="shared" si="4"/>
        <v>18</v>
      </c>
    </row>
    <row r="209" spans="19:21" ht="14.65" thickBot="1" x14ac:dyDescent="0.5">
      <c r="S209" s="37">
        <f t="shared" si="5"/>
        <v>561.90342404937428</v>
      </c>
      <c r="U209" s="26">
        <f t="shared" si="4"/>
        <v>18</v>
      </c>
    </row>
    <row r="210" spans="19:21" ht="14.65" thickBot="1" x14ac:dyDescent="0.5">
      <c r="S210" s="37">
        <f t="shared" si="5"/>
        <v>567.52245828986804</v>
      </c>
      <c r="U210" s="26">
        <f t="shared" si="4"/>
        <v>18</v>
      </c>
    </row>
    <row r="211" spans="19:21" ht="14.65" thickBot="1" x14ac:dyDescent="0.5">
      <c r="S211" s="37">
        <f t="shared" si="5"/>
        <v>573.19768287276668</v>
      </c>
      <c r="U211" s="26">
        <f t="shared" ref="U211:U274" si="6">IF(S211&lt;$D$7,-$D$9+$D$10,MIN(S211-$D$7-$D$9+$D$10,($D$8-$D$7)-$D$9+$D$10))</f>
        <v>18</v>
      </c>
    </row>
    <row r="212" spans="19:21" ht="14.65" thickBot="1" x14ac:dyDescent="0.5">
      <c r="S212" s="37">
        <f t="shared" ref="S212:S275" si="7">S211*(1.01)</f>
        <v>578.9296597014943</v>
      </c>
      <c r="U212" s="26">
        <f t="shared" si="6"/>
        <v>18</v>
      </c>
    </row>
    <row r="213" spans="19:21" ht="14.65" thickBot="1" x14ac:dyDescent="0.5">
      <c r="S213" s="37">
        <f t="shared" si="7"/>
        <v>584.71895629850928</v>
      </c>
      <c r="U213" s="26">
        <f t="shared" si="6"/>
        <v>18</v>
      </c>
    </row>
    <row r="214" spans="19:21" ht="14.65" thickBot="1" x14ac:dyDescent="0.5">
      <c r="S214" s="37">
        <f t="shared" si="7"/>
        <v>590.56614586149442</v>
      </c>
      <c r="U214" s="26">
        <f t="shared" si="6"/>
        <v>18</v>
      </c>
    </row>
    <row r="215" spans="19:21" ht="14.65" thickBot="1" x14ac:dyDescent="0.5">
      <c r="S215" s="37">
        <f t="shared" si="7"/>
        <v>596.47180732010941</v>
      </c>
      <c r="U215" s="26">
        <f t="shared" si="6"/>
        <v>18</v>
      </c>
    </row>
    <row r="216" spans="19:21" ht="14.65" thickBot="1" x14ac:dyDescent="0.5">
      <c r="S216" s="37">
        <f t="shared" si="7"/>
        <v>602.43652539331049</v>
      </c>
      <c r="U216" s="26">
        <f t="shared" si="6"/>
        <v>18</v>
      </c>
    </row>
    <row r="217" spans="19:21" ht="14.65" thickBot="1" x14ac:dyDescent="0.5">
      <c r="S217" s="37">
        <f t="shared" si="7"/>
        <v>608.46089064724356</v>
      </c>
      <c r="U217" s="26">
        <f t="shared" si="6"/>
        <v>18</v>
      </c>
    </row>
    <row r="218" spans="19:21" ht="14.65" thickBot="1" x14ac:dyDescent="0.5">
      <c r="S218" s="37">
        <f t="shared" si="7"/>
        <v>614.54549955371601</v>
      </c>
      <c r="U218" s="26">
        <f t="shared" si="6"/>
        <v>18</v>
      </c>
    </row>
    <row r="219" spans="19:21" ht="14.65" thickBot="1" x14ac:dyDescent="0.5">
      <c r="S219" s="37">
        <f t="shared" si="7"/>
        <v>620.69095454925321</v>
      </c>
      <c r="U219" s="26">
        <f t="shared" si="6"/>
        <v>18</v>
      </c>
    </row>
    <row r="220" spans="19:21" ht="14.65" thickBot="1" x14ac:dyDescent="0.5">
      <c r="S220" s="37">
        <f t="shared" si="7"/>
        <v>626.89786409474573</v>
      </c>
      <c r="U220" s="26">
        <f t="shared" si="6"/>
        <v>18</v>
      </c>
    </row>
    <row r="221" spans="19:21" ht="14.65" thickBot="1" x14ac:dyDescent="0.5">
      <c r="S221" s="37">
        <f t="shared" si="7"/>
        <v>633.16684273569319</v>
      </c>
      <c r="U221" s="26">
        <f t="shared" si="6"/>
        <v>18</v>
      </c>
    </row>
    <row r="222" spans="19:21" ht="14.65" thickBot="1" x14ac:dyDescent="0.5">
      <c r="S222" s="37">
        <f t="shared" si="7"/>
        <v>639.49851116305013</v>
      </c>
      <c r="U222" s="26">
        <f t="shared" si="6"/>
        <v>18</v>
      </c>
    </row>
    <row r="223" spans="19:21" ht="14.65" thickBot="1" x14ac:dyDescent="0.5">
      <c r="S223" s="37">
        <f t="shared" si="7"/>
        <v>645.89349627468061</v>
      </c>
      <c r="U223" s="26">
        <f t="shared" si="6"/>
        <v>18</v>
      </c>
    </row>
    <row r="224" spans="19:21" ht="14.65" thickBot="1" x14ac:dyDescent="0.5">
      <c r="S224" s="37">
        <f t="shared" si="7"/>
        <v>652.35243123742748</v>
      </c>
      <c r="U224" s="26">
        <f t="shared" si="6"/>
        <v>18</v>
      </c>
    </row>
    <row r="225" spans="19:21" ht="14.65" thickBot="1" x14ac:dyDescent="0.5">
      <c r="S225" s="37">
        <f t="shared" si="7"/>
        <v>658.8759555498018</v>
      </c>
      <c r="U225" s="26">
        <f t="shared" si="6"/>
        <v>18</v>
      </c>
    </row>
    <row r="226" spans="19:21" ht="14.65" thickBot="1" x14ac:dyDescent="0.5">
      <c r="S226" s="37">
        <f t="shared" si="7"/>
        <v>665.46471510529977</v>
      </c>
      <c r="U226" s="26">
        <f t="shared" si="6"/>
        <v>18</v>
      </c>
    </row>
    <row r="227" spans="19:21" ht="14.65" thickBot="1" x14ac:dyDescent="0.5">
      <c r="S227" s="37">
        <f t="shared" si="7"/>
        <v>672.11936225635282</v>
      </c>
      <c r="U227" s="26">
        <f t="shared" si="6"/>
        <v>18</v>
      </c>
    </row>
    <row r="228" spans="19:21" ht="14.65" thickBot="1" x14ac:dyDescent="0.5">
      <c r="S228" s="37">
        <f t="shared" si="7"/>
        <v>678.84055587891635</v>
      </c>
      <c r="U228" s="26">
        <f t="shared" si="6"/>
        <v>18</v>
      </c>
    </row>
    <row r="229" spans="19:21" ht="14.65" thickBot="1" x14ac:dyDescent="0.5">
      <c r="S229" s="37">
        <f t="shared" si="7"/>
        <v>685.62896143770547</v>
      </c>
      <c r="U229" s="26">
        <f t="shared" si="6"/>
        <v>18</v>
      </c>
    </row>
    <row r="230" spans="19:21" ht="14.65" thickBot="1" x14ac:dyDescent="0.5">
      <c r="S230" s="37">
        <f t="shared" si="7"/>
        <v>692.4852510520825</v>
      </c>
      <c r="U230" s="26">
        <f t="shared" si="6"/>
        <v>18</v>
      </c>
    </row>
    <row r="231" spans="19:21" ht="14.65" thickBot="1" x14ac:dyDescent="0.5">
      <c r="S231" s="37">
        <f t="shared" si="7"/>
        <v>699.41010356260335</v>
      </c>
      <c r="U231" s="26">
        <f t="shared" si="6"/>
        <v>18</v>
      </c>
    </row>
    <row r="232" spans="19:21" ht="14.65" thickBot="1" x14ac:dyDescent="0.5">
      <c r="S232" s="37">
        <f t="shared" si="7"/>
        <v>706.4042045982294</v>
      </c>
      <c r="U232" s="26">
        <f t="shared" si="6"/>
        <v>18</v>
      </c>
    </row>
    <row r="233" spans="19:21" ht="14.65" thickBot="1" x14ac:dyDescent="0.5">
      <c r="S233" s="37">
        <f t="shared" si="7"/>
        <v>713.46824664421172</v>
      </c>
      <c r="U233" s="26">
        <f t="shared" si="6"/>
        <v>18</v>
      </c>
    </row>
    <row r="234" spans="19:21" ht="14.65" thickBot="1" x14ac:dyDescent="0.5">
      <c r="S234" s="37">
        <f t="shared" si="7"/>
        <v>720.6029291106538</v>
      </c>
      <c r="U234" s="26">
        <f t="shared" si="6"/>
        <v>18</v>
      </c>
    </row>
    <row r="235" spans="19:21" ht="14.65" thickBot="1" x14ac:dyDescent="0.5">
      <c r="S235" s="37">
        <f t="shared" si="7"/>
        <v>727.80895840176038</v>
      </c>
      <c r="U235" s="26">
        <f t="shared" si="6"/>
        <v>18</v>
      </c>
    </row>
    <row r="236" spans="19:21" ht="14.65" thickBot="1" x14ac:dyDescent="0.5">
      <c r="S236" s="37">
        <f t="shared" si="7"/>
        <v>735.08704798577799</v>
      </c>
      <c r="U236" s="26">
        <f t="shared" si="6"/>
        <v>18</v>
      </c>
    </row>
    <row r="237" spans="19:21" ht="14.65" thickBot="1" x14ac:dyDescent="0.5">
      <c r="S237" s="37">
        <f t="shared" si="7"/>
        <v>742.43791846563579</v>
      </c>
      <c r="U237" s="26">
        <f t="shared" si="6"/>
        <v>18</v>
      </c>
    </row>
    <row r="238" spans="19:21" ht="14.65" thickBot="1" x14ac:dyDescent="0.5">
      <c r="S238" s="37">
        <f t="shared" si="7"/>
        <v>749.86229765029213</v>
      </c>
      <c r="U238" s="26">
        <f t="shared" si="6"/>
        <v>18</v>
      </c>
    </row>
    <row r="239" spans="19:21" ht="14.65" thickBot="1" x14ac:dyDescent="0.5">
      <c r="S239" s="37">
        <f t="shared" si="7"/>
        <v>757.36092062679506</v>
      </c>
      <c r="U239" s="26">
        <f t="shared" si="6"/>
        <v>18</v>
      </c>
    </row>
    <row r="240" spans="19:21" ht="14.65" thickBot="1" x14ac:dyDescent="0.5">
      <c r="S240" s="37">
        <f t="shared" si="7"/>
        <v>764.93452983306304</v>
      </c>
      <c r="U240" s="26">
        <f t="shared" si="6"/>
        <v>18</v>
      </c>
    </row>
    <row r="241" spans="19:21" ht="14.65" thickBot="1" x14ac:dyDescent="0.5">
      <c r="S241" s="37">
        <f t="shared" si="7"/>
        <v>772.58387513139371</v>
      </c>
      <c r="U241" s="26">
        <f t="shared" si="6"/>
        <v>18</v>
      </c>
    </row>
    <row r="242" spans="19:21" ht="14.65" thickBot="1" x14ac:dyDescent="0.5">
      <c r="S242" s="37">
        <f t="shared" si="7"/>
        <v>780.30971388270768</v>
      </c>
      <c r="U242" s="26">
        <f t="shared" si="6"/>
        <v>18</v>
      </c>
    </row>
    <row r="243" spans="19:21" ht="14.65" thickBot="1" x14ac:dyDescent="0.5">
      <c r="S243" s="37">
        <f t="shared" si="7"/>
        <v>788.11281102153475</v>
      </c>
      <c r="U243" s="26">
        <f t="shared" si="6"/>
        <v>18</v>
      </c>
    </row>
    <row r="244" spans="19:21" ht="14.65" thickBot="1" x14ac:dyDescent="0.5">
      <c r="S244" s="37">
        <f t="shared" si="7"/>
        <v>795.99393913175015</v>
      </c>
      <c r="U244" s="26">
        <f t="shared" si="6"/>
        <v>18</v>
      </c>
    </row>
    <row r="245" spans="19:21" ht="14.65" thickBot="1" x14ac:dyDescent="0.5">
      <c r="S245" s="37">
        <f t="shared" si="7"/>
        <v>803.95387852306771</v>
      </c>
      <c r="U245" s="26">
        <f t="shared" si="6"/>
        <v>18</v>
      </c>
    </row>
    <row r="246" spans="19:21" ht="14.65" thickBot="1" x14ac:dyDescent="0.5">
      <c r="S246" s="37">
        <f t="shared" si="7"/>
        <v>811.99341730829838</v>
      </c>
      <c r="U246" s="26">
        <f t="shared" si="6"/>
        <v>18</v>
      </c>
    </row>
    <row r="247" spans="19:21" ht="14.65" thickBot="1" x14ac:dyDescent="0.5">
      <c r="S247" s="37">
        <f t="shared" si="7"/>
        <v>820.11335148138141</v>
      </c>
      <c r="U247" s="26">
        <f t="shared" si="6"/>
        <v>18</v>
      </c>
    </row>
    <row r="248" spans="19:21" ht="14.65" thickBot="1" x14ac:dyDescent="0.5">
      <c r="S248" s="37">
        <f t="shared" si="7"/>
        <v>828.31448499619523</v>
      </c>
      <c r="U248" s="26">
        <f t="shared" si="6"/>
        <v>18</v>
      </c>
    </row>
    <row r="249" spans="19:21" ht="14.65" thickBot="1" x14ac:dyDescent="0.5">
      <c r="S249" s="37">
        <f t="shared" si="7"/>
        <v>836.59762984615725</v>
      </c>
      <c r="U249" s="26">
        <f t="shared" si="6"/>
        <v>18</v>
      </c>
    </row>
    <row r="250" spans="19:21" ht="14.65" thickBot="1" x14ac:dyDescent="0.5">
      <c r="S250" s="37">
        <f t="shared" si="7"/>
        <v>844.96360614461878</v>
      </c>
      <c r="U250" s="26">
        <f t="shared" si="6"/>
        <v>18</v>
      </c>
    </row>
    <row r="251" spans="19:21" ht="14.65" thickBot="1" x14ac:dyDescent="0.5">
      <c r="S251" s="37">
        <f t="shared" si="7"/>
        <v>853.41324220606498</v>
      </c>
      <c r="U251" s="26">
        <f t="shared" si="6"/>
        <v>18</v>
      </c>
    </row>
    <row r="252" spans="19:21" ht="14.65" thickBot="1" x14ac:dyDescent="0.5">
      <c r="S252" s="37">
        <f t="shared" si="7"/>
        <v>861.94737462812566</v>
      </c>
      <c r="U252" s="26">
        <f t="shared" si="6"/>
        <v>18</v>
      </c>
    </row>
    <row r="253" spans="19:21" ht="14.65" thickBot="1" x14ac:dyDescent="0.5">
      <c r="S253" s="37">
        <f t="shared" si="7"/>
        <v>870.56684837440696</v>
      </c>
      <c r="U253" s="26">
        <f t="shared" si="6"/>
        <v>18</v>
      </c>
    </row>
    <row r="254" spans="19:21" ht="14.65" thickBot="1" x14ac:dyDescent="0.5">
      <c r="S254" s="37">
        <f t="shared" si="7"/>
        <v>879.27251685815099</v>
      </c>
      <c r="U254" s="26">
        <f t="shared" si="6"/>
        <v>18</v>
      </c>
    </row>
    <row r="255" spans="19:21" ht="14.65" thickBot="1" x14ac:dyDescent="0.5">
      <c r="S255" s="37">
        <f t="shared" si="7"/>
        <v>888.06524202673256</v>
      </c>
      <c r="U255" s="26">
        <f t="shared" si="6"/>
        <v>18</v>
      </c>
    </row>
    <row r="256" spans="19:21" ht="14.65" thickBot="1" x14ac:dyDescent="0.5">
      <c r="S256" s="37">
        <f t="shared" si="7"/>
        <v>896.94589444699989</v>
      </c>
      <c r="U256" s="26">
        <f t="shared" si="6"/>
        <v>18</v>
      </c>
    </row>
    <row r="257" spans="19:21" ht="14.65" thickBot="1" x14ac:dyDescent="0.5">
      <c r="S257" s="37">
        <f t="shared" si="7"/>
        <v>905.91535339146992</v>
      </c>
      <c r="U257" s="26">
        <f t="shared" si="6"/>
        <v>18</v>
      </c>
    </row>
    <row r="258" spans="19:21" ht="14.65" thickBot="1" x14ac:dyDescent="0.5">
      <c r="S258" s="37">
        <f t="shared" si="7"/>
        <v>914.97450692538462</v>
      </c>
      <c r="U258" s="26">
        <f t="shared" si="6"/>
        <v>18</v>
      </c>
    </row>
    <row r="259" spans="19:21" ht="14.65" thickBot="1" x14ac:dyDescent="0.5">
      <c r="S259" s="37">
        <f t="shared" si="7"/>
        <v>924.12425199463848</v>
      </c>
      <c r="U259" s="26">
        <f t="shared" si="6"/>
        <v>18</v>
      </c>
    </row>
    <row r="260" spans="19:21" ht="14.65" thickBot="1" x14ac:dyDescent="0.5">
      <c r="S260" s="37">
        <f t="shared" si="7"/>
        <v>933.36549451458484</v>
      </c>
      <c r="U260" s="26">
        <f t="shared" si="6"/>
        <v>18</v>
      </c>
    </row>
    <row r="261" spans="19:21" ht="14.65" thickBot="1" x14ac:dyDescent="0.5">
      <c r="S261" s="37">
        <f t="shared" si="7"/>
        <v>942.69914945973073</v>
      </c>
      <c r="U261" s="26">
        <f t="shared" si="6"/>
        <v>18</v>
      </c>
    </row>
    <row r="262" spans="19:21" ht="14.65" thickBot="1" x14ac:dyDescent="0.5">
      <c r="S262" s="37">
        <f t="shared" si="7"/>
        <v>952.12614095432809</v>
      </c>
      <c r="U262" s="26">
        <f t="shared" si="6"/>
        <v>18</v>
      </c>
    </row>
    <row r="263" spans="19:21" ht="14.65" thickBot="1" x14ac:dyDescent="0.5">
      <c r="S263" s="37">
        <f t="shared" si="7"/>
        <v>961.64740236387138</v>
      </c>
      <c r="U263" s="26">
        <f t="shared" si="6"/>
        <v>18</v>
      </c>
    </row>
    <row r="264" spans="19:21" ht="14.65" thickBot="1" x14ac:dyDescent="0.5">
      <c r="S264" s="37">
        <f t="shared" si="7"/>
        <v>971.26387638751009</v>
      </c>
      <c r="U264" s="26">
        <f t="shared" si="6"/>
        <v>18</v>
      </c>
    </row>
    <row r="265" spans="19:21" ht="14.65" thickBot="1" x14ac:dyDescent="0.5">
      <c r="S265" s="37">
        <f t="shared" si="7"/>
        <v>980.97651515138523</v>
      </c>
      <c r="U265" s="26">
        <f t="shared" si="6"/>
        <v>18</v>
      </c>
    </row>
    <row r="266" spans="19:21" ht="14.65" thickBot="1" x14ac:dyDescent="0.5">
      <c r="S266" s="37">
        <f t="shared" si="7"/>
        <v>990.78628030289906</v>
      </c>
      <c r="U266" s="26">
        <f t="shared" si="6"/>
        <v>18</v>
      </c>
    </row>
    <row r="267" spans="19:21" ht="14.65" thickBot="1" x14ac:dyDescent="0.5">
      <c r="S267" s="37">
        <f t="shared" si="7"/>
        <v>1000.6941431059281</v>
      </c>
      <c r="U267" s="26">
        <f t="shared" si="6"/>
        <v>18</v>
      </c>
    </row>
    <row r="268" spans="19:21" ht="14.65" thickBot="1" x14ac:dyDescent="0.5">
      <c r="S268" s="37">
        <f t="shared" si="7"/>
        <v>1010.7010845369874</v>
      </c>
      <c r="U268" s="26">
        <f t="shared" si="6"/>
        <v>18</v>
      </c>
    </row>
    <row r="269" spans="19:21" ht="14.65" thickBot="1" x14ac:dyDescent="0.5">
      <c r="S269" s="37">
        <f t="shared" si="7"/>
        <v>1020.8080953823574</v>
      </c>
      <c r="U269" s="26">
        <f t="shared" si="6"/>
        <v>18</v>
      </c>
    </row>
    <row r="270" spans="19:21" ht="14.65" thickBot="1" x14ac:dyDescent="0.5">
      <c r="S270" s="37">
        <f t="shared" si="7"/>
        <v>1031.0161763361809</v>
      </c>
      <c r="U270" s="26">
        <f t="shared" si="6"/>
        <v>18</v>
      </c>
    </row>
    <row r="271" spans="19:21" ht="14.65" thickBot="1" x14ac:dyDescent="0.5">
      <c r="S271" s="37">
        <f t="shared" si="7"/>
        <v>1041.3263380995427</v>
      </c>
      <c r="U271" s="26">
        <f t="shared" si="6"/>
        <v>18</v>
      </c>
    </row>
    <row r="272" spans="19:21" ht="14.65" thickBot="1" x14ac:dyDescent="0.5">
      <c r="S272" s="37">
        <f t="shared" si="7"/>
        <v>1051.7396014805381</v>
      </c>
      <c r="U272" s="26">
        <f t="shared" si="6"/>
        <v>18</v>
      </c>
    </row>
    <row r="273" spans="19:21" ht="14.65" thickBot="1" x14ac:dyDescent="0.5">
      <c r="S273" s="37">
        <f t="shared" si="7"/>
        <v>1062.2569974953435</v>
      </c>
      <c r="U273" s="26">
        <f t="shared" si="6"/>
        <v>18</v>
      </c>
    </row>
    <row r="274" spans="19:21" ht="14.65" thickBot="1" x14ac:dyDescent="0.5">
      <c r="S274" s="37">
        <f t="shared" si="7"/>
        <v>1072.8795674702969</v>
      </c>
      <c r="U274" s="26">
        <f t="shared" si="6"/>
        <v>18</v>
      </c>
    </row>
    <row r="275" spans="19:21" ht="14.65" thickBot="1" x14ac:dyDescent="0.5">
      <c r="S275" s="37">
        <f t="shared" si="7"/>
        <v>1083.6083631449999</v>
      </c>
      <c r="U275" s="26">
        <f t="shared" ref="U275:U338" si="8">IF(S275&lt;$D$7,-$D$9+$D$10,MIN(S275-$D$7-$D$9+$D$10,($D$8-$D$7)-$D$9+$D$10))</f>
        <v>18</v>
      </c>
    </row>
    <row r="276" spans="19:21" ht="14.65" thickBot="1" x14ac:dyDescent="0.5">
      <c r="S276" s="37">
        <f t="shared" ref="S276:S339" si="9">S275*(1.01)</f>
        <v>1094.4444467764499</v>
      </c>
      <c r="U276" s="26">
        <f t="shared" si="8"/>
        <v>18</v>
      </c>
    </row>
    <row r="277" spans="19:21" ht="14.65" thickBot="1" x14ac:dyDescent="0.5">
      <c r="S277" s="37">
        <f t="shared" si="9"/>
        <v>1105.3888912442144</v>
      </c>
      <c r="U277" s="26">
        <f t="shared" si="8"/>
        <v>18</v>
      </c>
    </row>
    <row r="278" spans="19:21" ht="14.65" thickBot="1" x14ac:dyDescent="0.5">
      <c r="S278" s="37">
        <f t="shared" si="9"/>
        <v>1116.4427801566565</v>
      </c>
      <c r="U278" s="26">
        <f t="shared" si="8"/>
        <v>18</v>
      </c>
    </row>
    <row r="279" spans="19:21" ht="14.65" thickBot="1" x14ac:dyDescent="0.5">
      <c r="S279" s="37">
        <f t="shared" si="9"/>
        <v>1127.6072079582229</v>
      </c>
      <c r="U279" s="26">
        <f t="shared" si="8"/>
        <v>18</v>
      </c>
    </row>
    <row r="280" spans="19:21" ht="14.65" thickBot="1" x14ac:dyDescent="0.5">
      <c r="S280" s="37">
        <f t="shared" si="9"/>
        <v>1138.8832800378052</v>
      </c>
      <c r="U280" s="26">
        <f t="shared" si="8"/>
        <v>18</v>
      </c>
    </row>
    <row r="281" spans="19:21" ht="14.65" thickBot="1" x14ac:dyDescent="0.5">
      <c r="S281" s="37">
        <f t="shared" si="9"/>
        <v>1150.2721128381834</v>
      </c>
      <c r="U281" s="26">
        <f t="shared" si="8"/>
        <v>18</v>
      </c>
    </row>
    <row r="282" spans="19:21" ht="14.65" thickBot="1" x14ac:dyDescent="0.5">
      <c r="S282" s="37">
        <f t="shared" si="9"/>
        <v>1161.7748339665652</v>
      </c>
      <c r="U282" s="26">
        <f t="shared" si="8"/>
        <v>18</v>
      </c>
    </row>
    <row r="283" spans="19:21" ht="14.65" thickBot="1" x14ac:dyDescent="0.5">
      <c r="S283" s="37">
        <f t="shared" si="9"/>
        <v>1173.3925823062309</v>
      </c>
      <c r="U283" s="26">
        <f t="shared" si="8"/>
        <v>18</v>
      </c>
    </row>
    <row r="284" spans="19:21" ht="14.65" thickBot="1" x14ac:dyDescent="0.5">
      <c r="S284" s="37">
        <f t="shared" si="9"/>
        <v>1185.1265081292931</v>
      </c>
      <c r="U284" s="26">
        <f t="shared" si="8"/>
        <v>18</v>
      </c>
    </row>
    <row r="285" spans="19:21" ht="14.65" thickBot="1" x14ac:dyDescent="0.5">
      <c r="S285" s="37">
        <f t="shared" si="9"/>
        <v>1196.9777732105861</v>
      </c>
      <c r="U285" s="26">
        <f t="shared" si="8"/>
        <v>18</v>
      </c>
    </row>
    <row r="286" spans="19:21" ht="14.65" thickBot="1" x14ac:dyDescent="0.5">
      <c r="S286" s="37">
        <f t="shared" si="9"/>
        <v>1208.947550942692</v>
      </c>
      <c r="U286" s="26">
        <f t="shared" si="8"/>
        <v>18</v>
      </c>
    </row>
    <row r="287" spans="19:21" ht="14.65" thickBot="1" x14ac:dyDescent="0.5">
      <c r="S287" s="37">
        <f t="shared" si="9"/>
        <v>1221.0370264521189</v>
      </c>
      <c r="U287" s="26">
        <f t="shared" si="8"/>
        <v>18</v>
      </c>
    </row>
    <row r="288" spans="19:21" ht="14.65" thickBot="1" x14ac:dyDescent="0.5">
      <c r="S288" s="37">
        <f t="shared" si="9"/>
        <v>1233.24739671664</v>
      </c>
      <c r="U288" s="26">
        <f t="shared" si="8"/>
        <v>18</v>
      </c>
    </row>
    <row r="289" spans="19:21" ht="14.65" thickBot="1" x14ac:dyDescent="0.5">
      <c r="S289" s="37">
        <f t="shared" si="9"/>
        <v>1245.5798706838063</v>
      </c>
      <c r="U289" s="26">
        <f t="shared" si="8"/>
        <v>18</v>
      </c>
    </row>
    <row r="290" spans="19:21" ht="14.65" thickBot="1" x14ac:dyDescent="0.5">
      <c r="S290" s="37">
        <f t="shared" si="9"/>
        <v>1258.0356693906444</v>
      </c>
      <c r="U290" s="26">
        <f t="shared" si="8"/>
        <v>18</v>
      </c>
    </row>
    <row r="291" spans="19:21" ht="14.65" thickBot="1" x14ac:dyDescent="0.5">
      <c r="S291" s="37">
        <f t="shared" si="9"/>
        <v>1270.6160260845509</v>
      </c>
      <c r="U291" s="26">
        <f t="shared" si="8"/>
        <v>18</v>
      </c>
    </row>
    <row r="292" spans="19:21" ht="14.65" thickBot="1" x14ac:dyDescent="0.5">
      <c r="S292" s="37">
        <f t="shared" si="9"/>
        <v>1283.3221863453964</v>
      </c>
      <c r="U292" s="26">
        <f t="shared" si="8"/>
        <v>18</v>
      </c>
    </row>
    <row r="293" spans="19:21" ht="14.65" thickBot="1" x14ac:dyDescent="0.5">
      <c r="S293" s="37">
        <f t="shared" si="9"/>
        <v>1296.1554082088503</v>
      </c>
      <c r="U293" s="26">
        <f t="shared" si="8"/>
        <v>18</v>
      </c>
    </row>
    <row r="294" spans="19:21" ht="14.65" thickBot="1" x14ac:dyDescent="0.5">
      <c r="S294" s="37">
        <f t="shared" si="9"/>
        <v>1309.1169622909388</v>
      </c>
      <c r="U294" s="26">
        <f t="shared" si="8"/>
        <v>18</v>
      </c>
    </row>
    <row r="295" spans="19:21" ht="14.65" thickBot="1" x14ac:dyDescent="0.5">
      <c r="S295" s="37">
        <f t="shared" si="9"/>
        <v>1322.2081319138481</v>
      </c>
      <c r="U295" s="26">
        <f t="shared" si="8"/>
        <v>18</v>
      </c>
    </row>
    <row r="296" spans="19:21" ht="14.65" thickBot="1" x14ac:dyDescent="0.5">
      <c r="S296" s="37">
        <f t="shared" si="9"/>
        <v>1335.4302132329865</v>
      </c>
      <c r="U296" s="26">
        <f t="shared" si="8"/>
        <v>18</v>
      </c>
    </row>
    <row r="297" spans="19:21" ht="14.65" thickBot="1" x14ac:dyDescent="0.5">
      <c r="S297" s="37">
        <f t="shared" si="9"/>
        <v>1348.7845153653163</v>
      </c>
      <c r="U297" s="26">
        <f t="shared" si="8"/>
        <v>18</v>
      </c>
    </row>
    <row r="298" spans="19:21" ht="14.65" thickBot="1" x14ac:dyDescent="0.5">
      <c r="S298" s="37">
        <f t="shared" si="9"/>
        <v>1362.2723605189694</v>
      </c>
      <c r="U298" s="26">
        <f t="shared" si="8"/>
        <v>18</v>
      </c>
    </row>
    <row r="299" spans="19:21" ht="14.65" thickBot="1" x14ac:dyDescent="0.5">
      <c r="S299" s="37">
        <f t="shared" si="9"/>
        <v>1375.8950841241592</v>
      </c>
      <c r="U299" s="26">
        <f t="shared" si="8"/>
        <v>18</v>
      </c>
    </row>
    <row r="300" spans="19:21" ht="14.65" thickBot="1" x14ac:dyDescent="0.5">
      <c r="S300" s="37">
        <f t="shared" si="9"/>
        <v>1389.6540349654008</v>
      </c>
      <c r="U300" s="26">
        <f t="shared" si="8"/>
        <v>18</v>
      </c>
    </row>
    <row r="301" spans="19:21" ht="14.65" thickBot="1" x14ac:dyDescent="0.5">
      <c r="S301" s="37">
        <f t="shared" si="9"/>
        <v>1403.5505753150549</v>
      </c>
      <c r="U301" s="26">
        <f t="shared" si="8"/>
        <v>18</v>
      </c>
    </row>
    <row r="302" spans="19:21" ht="14.65" thickBot="1" x14ac:dyDescent="0.5">
      <c r="S302" s="37">
        <f t="shared" si="9"/>
        <v>1417.5860810682054</v>
      </c>
      <c r="U302" s="26">
        <f t="shared" si="8"/>
        <v>18</v>
      </c>
    </row>
    <row r="303" spans="19:21" ht="14.65" thickBot="1" x14ac:dyDescent="0.5">
      <c r="S303" s="37">
        <f t="shared" si="9"/>
        <v>1431.7619418788875</v>
      </c>
      <c r="U303" s="26">
        <f t="shared" si="8"/>
        <v>18</v>
      </c>
    </row>
    <row r="304" spans="19:21" ht="14.65" thickBot="1" x14ac:dyDescent="0.5">
      <c r="S304" s="37">
        <f t="shared" si="9"/>
        <v>1446.0795612976763</v>
      </c>
      <c r="U304" s="26">
        <f t="shared" si="8"/>
        <v>18</v>
      </c>
    </row>
    <row r="305" spans="19:21" ht="14.65" thickBot="1" x14ac:dyDescent="0.5">
      <c r="S305" s="37">
        <f t="shared" si="9"/>
        <v>1460.5403569106531</v>
      </c>
      <c r="U305" s="26">
        <f t="shared" si="8"/>
        <v>18</v>
      </c>
    </row>
    <row r="306" spans="19:21" ht="14.65" thickBot="1" x14ac:dyDescent="0.5">
      <c r="S306" s="37">
        <f t="shared" si="9"/>
        <v>1475.1457604797597</v>
      </c>
      <c r="U306" s="26">
        <f t="shared" si="8"/>
        <v>18</v>
      </c>
    </row>
    <row r="307" spans="19:21" ht="14.65" thickBot="1" x14ac:dyDescent="0.5">
      <c r="S307" s="37">
        <f t="shared" si="9"/>
        <v>1489.8972180845574</v>
      </c>
      <c r="U307" s="26">
        <f t="shared" si="8"/>
        <v>18</v>
      </c>
    </row>
    <row r="308" spans="19:21" ht="14.65" thickBot="1" x14ac:dyDescent="0.5">
      <c r="S308" s="37">
        <f t="shared" si="9"/>
        <v>1504.7961902654029</v>
      </c>
      <c r="U308" s="26">
        <f t="shared" si="8"/>
        <v>18</v>
      </c>
    </row>
    <row r="309" spans="19:21" ht="14.65" thickBot="1" x14ac:dyDescent="0.5">
      <c r="S309" s="37">
        <f t="shared" si="9"/>
        <v>1519.844152168057</v>
      </c>
      <c r="U309" s="26">
        <f t="shared" si="8"/>
        <v>18</v>
      </c>
    </row>
    <row r="310" spans="19:21" ht="14.65" thickBot="1" x14ac:dyDescent="0.5">
      <c r="S310" s="37">
        <f t="shared" si="9"/>
        <v>1535.0425936897375</v>
      </c>
      <c r="U310" s="26">
        <f t="shared" si="8"/>
        <v>18</v>
      </c>
    </row>
    <row r="311" spans="19:21" ht="14.65" thickBot="1" x14ac:dyDescent="0.5">
      <c r="S311" s="37">
        <f t="shared" si="9"/>
        <v>1550.3930196266349</v>
      </c>
      <c r="U311" s="26">
        <f t="shared" si="8"/>
        <v>18</v>
      </c>
    </row>
    <row r="312" spans="19:21" ht="14.65" thickBot="1" x14ac:dyDescent="0.5">
      <c r="S312" s="37">
        <f t="shared" si="9"/>
        <v>1565.8969498229012</v>
      </c>
      <c r="U312" s="26">
        <f t="shared" si="8"/>
        <v>18</v>
      </c>
    </row>
    <row r="313" spans="19:21" ht="14.65" thickBot="1" x14ac:dyDescent="0.5">
      <c r="S313" s="37">
        <f t="shared" si="9"/>
        <v>1581.5559193211302</v>
      </c>
      <c r="U313" s="26">
        <f t="shared" si="8"/>
        <v>18</v>
      </c>
    </row>
    <row r="314" spans="19:21" ht="14.65" thickBot="1" x14ac:dyDescent="0.5">
      <c r="S314" s="37">
        <f t="shared" si="9"/>
        <v>1597.3714785143416</v>
      </c>
      <c r="U314" s="26">
        <f t="shared" si="8"/>
        <v>18</v>
      </c>
    </row>
    <row r="315" spans="19:21" ht="14.65" thickBot="1" x14ac:dyDescent="0.5">
      <c r="S315" s="37">
        <f t="shared" si="9"/>
        <v>1613.3451932994849</v>
      </c>
      <c r="U315" s="26">
        <f t="shared" si="8"/>
        <v>18</v>
      </c>
    </row>
    <row r="316" spans="19:21" ht="14.65" thickBot="1" x14ac:dyDescent="0.5">
      <c r="S316" s="37">
        <f t="shared" si="9"/>
        <v>1629.4786452324797</v>
      </c>
      <c r="U316" s="26">
        <f t="shared" si="8"/>
        <v>18</v>
      </c>
    </row>
    <row r="317" spans="19:21" ht="14.65" thickBot="1" x14ac:dyDescent="0.5">
      <c r="S317" s="37">
        <f t="shared" si="9"/>
        <v>1645.7734316848046</v>
      </c>
      <c r="U317" s="26">
        <f t="shared" si="8"/>
        <v>18</v>
      </c>
    </row>
    <row r="318" spans="19:21" ht="14.65" thickBot="1" x14ac:dyDescent="0.5">
      <c r="S318" s="37">
        <f t="shared" si="9"/>
        <v>1662.2311660016526</v>
      </c>
      <c r="U318" s="26">
        <f t="shared" si="8"/>
        <v>18</v>
      </c>
    </row>
    <row r="319" spans="19:21" ht="14.65" thickBot="1" x14ac:dyDescent="0.5">
      <c r="S319" s="37">
        <f t="shared" si="9"/>
        <v>1678.8534776616691</v>
      </c>
      <c r="U319" s="26">
        <f t="shared" si="8"/>
        <v>18</v>
      </c>
    </row>
    <row r="320" spans="19:21" ht="14.65" thickBot="1" x14ac:dyDescent="0.5">
      <c r="S320" s="37">
        <f t="shared" si="9"/>
        <v>1695.6420124382857</v>
      </c>
      <c r="U320" s="26">
        <f t="shared" si="8"/>
        <v>18</v>
      </c>
    </row>
    <row r="321" spans="19:21" ht="14.65" thickBot="1" x14ac:dyDescent="0.5">
      <c r="S321" s="37">
        <f t="shared" si="9"/>
        <v>1712.5984325626687</v>
      </c>
      <c r="U321" s="26">
        <f t="shared" si="8"/>
        <v>18</v>
      </c>
    </row>
    <row r="322" spans="19:21" ht="14.65" thickBot="1" x14ac:dyDescent="0.5">
      <c r="S322" s="37">
        <f t="shared" si="9"/>
        <v>1729.7244168882953</v>
      </c>
      <c r="U322" s="26">
        <f t="shared" si="8"/>
        <v>18</v>
      </c>
    </row>
    <row r="323" spans="19:21" ht="14.65" thickBot="1" x14ac:dyDescent="0.5">
      <c r="S323" s="37">
        <f t="shared" si="9"/>
        <v>1747.0216610571783</v>
      </c>
      <c r="U323" s="26">
        <f t="shared" si="8"/>
        <v>18</v>
      </c>
    </row>
    <row r="324" spans="19:21" ht="14.65" thickBot="1" x14ac:dyDescent="0.5">
      <c r="S324" s="37">
        <f t="shared" si="9"/>
        <v>1764.49187766775</v>
      </c>
      <c r="U324" s="26">
        <f t="shared" si="8"/>
        <v>18</v>
      </c>
    </row>
    <row r="325" spans="19:21" ht="14.65" thickBot="1" x14ac:dyDescent="0.5">
      <c r="S325" s="37">
        <f t="shared" si="9"/>
        <v>1782.1367964444275</v>
      </c>
      <c r="U325" s="26">
        <f t="shared" si="8"/>
        <v>18</v>
      </c>
    </row>
    <row r="326" spans="19:21" ht="14.65" thickBot="1" x14ac:dyDescent="0.5">
      <c r="S326" s="37">
        <f t="shared" si="9"/>
        <v>1799.9581644088719</v>
      </c>
      <c r="U326" s="26">
        <f t="shared" si="8"/>
        <v>18</v>
      </c>
    </row>
    <row r="327" spans="19:21" ht="14.65" thickBot="1" x14ac:dyDescent="0.5">
      <c r="S327" s="37">
        <f t="shared" si="9"/>
        <v>1817.9577460529606</v>
      </c>
      <c r="U327" s="26">
        <f t="shared" si="8"/>
        <v>18</v>
      </c>
    </row>
    <row r="328" spans="19:21" ht="14.65" thickBot="1" x14ac:dyDescent="0.5">
      <c r="S328" s="37">
        <f t="shared" si="9"/>
        <v>1836.1373235134902</v>
      </c>
      <c r="U328" s="26">
        <f t="shared" si="8"/>
        <v>18</v>
      </c>
    </row>
    <row r="329" spans="19:21" ht="14.65" thickBot="1" x14ac:dyDescent="0.5">
      <c r="S329" s="37">
        <f t="shared" si="9"/>
        <v>1854.498696748625</v>
      </c>
      <c r="U329" s="26">
        <f t="shared" si="8"/>
        <v>18</v>
      </c>
    </row>
    <row r="330" spans="19:21" ht="14.65" thickBot="1" x14ac:dyDescent="0.5">
      <c r="S330" s="37">
        <f t="shared" si="9"/>
        <v>1873.0436837161112</v>
      </c>
      <c r="U330" s="26">
        <f t="shared" si="8"/>
        <v>18</v>
      </c>
    </row>
    <row r="331" spans="19:21" ht="14.65" thickBot="1" x14ac:dyDescent="0.5">
      <c r="S331" s="37">
        <f t="shared" si="9"/>
        <v>1891.7741205532723</v>
      </c>
      <c r="U331" s="26">
        <f t="shared" si="8"/>
        <v>18</v>
      </c>
    </row>
    <row r="332" spans="19:21" ht="14.65" thickBot="1" x14ac:dyDescent="0.5">
      <c r="S332" s="37">
        <f t="shared" si="9"/>
        <v>1910.6918617588051</v>
      </c>
      <c r="U332" s="26">
        <f t="shared" si="8"/>
        <v>18</v>
      </c>
    </row>
    <row r="333" spans="19:21" ht="14.65" thickBot="1" x14ac:dyDescent="0.5">
      <c r="S333" s="37">
        <f t="shared" si="9"/>
        <v>1929.7987803763931</v>
      </c>
      <c r="U333" s="26">
        <f t="shared" si="8"/>
        <v>18</v>
      </c>
    </row>
    <row r="334" spans="19:21" ht="14.65" thickBot="1" x14ac:dyDescent="0.5">
      <c r="S334" s="37">
        <f t="shared" si="9"/>
        <v>1949.0967681801571</v>
      </c>
      <c r="U334" s="26">
        <f t="shared" si="8"/>
        <v>18</v>
      </c>
    </row>
    <row r="335" spans="19:21" ht="14.65" thickBot="1" x14ac:dyDescent="0.5">
      <c r="S335" s="37">
        <f t="shared" si="9"/>
        <v>1968.5877358619587</v>
      </c>
      <c r="U335" s="26">
        <f t="shared" si="8"/>
        <v>18</v>
      </c>
    </row>
    <row r="336" spans="19:21" ht="14.65" thickBot="1" x14ac:dyDescent="0.5">
      <c r="S336" s="37">
        <f t="shared" si="9"/>
        <v>1988.2736132205782</v>
      </c>
      <c r="U336" s="26">
        <f t="shared" si="8"/>
        <v>18</v>
      </c>
    </row>
    <row r="337" spans="19:21" ht="14.65" thickBot="1" x14ac:dyDescent="0.5">
      <c r="S337" s="37">
        <f t="shared" si="9"/>
        <v>2008.156349352784</v>
      </c>
      <c r="U337" s="26">
        <f t="shared" si="8"/>
        <v>18</v>
      </c>
    </row>
    <row r="338" spans="19:21" ht="14.65" thickBot="1" x14ac:dyDescent="0.5">
      <c r="S338" s="37">
        <f t="shared" si="9"/>
        <v>2028.2379128463119</v>
      </c>
      <c r="U338" s="26">
        <f t="shared" si="8"/>
        <v>18</v>
      </c>
    </row>
    <row r="339" spans="19:21" ht="14.65" thickBot="1" x14ac:dyDescent="0.5">
      <c r="S339" s="37">
        <f t="shared" si="9"/>
        <v>2048.5202919747749</v>
      </c>
      <c r="U339" s="26">
        <f t="shared" ref="U339:U402" si="10">IF(S339&lt;$D$7,-$D$9+$D$10,MIN(S339-$D$7-$D$9+$D$10,($D$8-$D$7)-$D$9+$D$10))</f>
        <v>18</v>
      </c>
    </row>
    <row r="340" spans="19:21" ht="14.65" thickBot="1" x14ac:dyDescent="0.5">
      <c r="S340" s="37">
        <f t="shared" ref="S340:S403" si="11">S339*(1.01)</f>
        <v>2069.0054948945226</v>
      </c>
      <c r="U340" s="26">
        <f t="shared" si="10"/>
        <v>18</v>
      </c>
    </row>
    <row r="341" spans="19:21" ht="14.65" thickBot="1" x14ac:dyDescent="0.5">
      <c r="S341" s="37">
        <f t="shared" si="11"/>
        <v>2089.6955498434677</v>
      </c>
      <c r="U341" s="26">
        <f t="shared" si="10"/>
        <v>18</v>
      </c>
    </row>
    <row r="342" spans="19:21" ht="14.65" thickBot="1" x14ac:dyDescent="0.5">
      <c r="S342" s="37">
        <f t="shared" si="11"/>
        <v>2110.5925053419023</v>
      </c>
      <c r="U342" s="26">
        <f t="shared" si="10"/>
        <v>18</v>
      </c>
    </row>
    <row r="343" spans="19:21" ht="14.65" thickBot="1" x14ac:dyDescent="0.5">
      <c r="S343" s="37">
        <f t="shared" si="11"/>
        <v>2131.6984303953213</v>
      </c>
      <c r="U343" s="26">
        <f t="shared" si="10"/>
        <v>18</v>
      </c>
    </row>
    <row r="344" spans="19:21" ht="14.65" thickBot="1" x14ac:dyDescent="0.5">
      <c r="S344" s="37">
        <f t="shared" si="11"/>
        <v>2153.0154146992745</v>
      </c>
      <c r="U344" s="26">
        <f t="shared" si="10"/>
        <v>18</v>
      </c>
    </row>
    <row r="345" spans="19:21" ht="14.65" thickBot="1" x14ac:dyDescent="0.5">
      <c r="S345" s="37">
        <f t="shared" si="11"/>
        <v>2174.5455688462671</v>
      </c>
      <c r="U345" s="26">
        <f t="shared" si="10"/>
        <v>18</v>
      </c>
    </row>
    <row r="346" spans="19:21" ht="14.65" thickBot="1" x14ac:dyDescent="0.5">
      <c r="S346" s="37">
        <f t="shared" si="11"/>
        <v>2196.2910245347298</v>
      </c>
      <c r="U346" s="26">
        <f t="shared" si="10"/>
        <v>18</v>
      </c>
    </row>
    <row r="347" spans="19:21" ht="14.65" thickBot="1" x14ac:dyDescent="0.5">
      <c r="S347" s="37">
        <f t="shared" si="11"/>
        <v>2218.2539347800771</v>
      </c>
      <c r="U347" s="26">
        <f t="shared" si="10"/>
        <v>18</v>
      </c>
    </row>
    <row r="348" spans="19:21" ht="14.65" thickBot="1" x14ac:dyDescent="0.5">
      <c r="S348" s="37">
        <f t="shared" si="11"/>
        <v>2240.4364741278778</v>
      </c>
      <c r="U348" s="26">
        <f t="shared" si="10"/>
        <v>18</v>
      </c>
    </row>
    <row r="349" spans="19:21" ht="14.65" thickBot="1" x14ac:dyDescent="0.5">
      <c r="S349" s="37">
        <f t="shared" si="11"/>
        <v>2262.8408388691564</v>
      </c>
      <c r="U349" s="26">
        <f t="shared" si="10"/>
        <v>18</v>
      </c>
    </row>
    <row r="350" spans="19:21" ht="14.65" thickBot="1" x14ac:dyDescent="0.5">
      <c r="S350" s="37">
        <f t="shared" si="11"/>
        <v>2285.4692472578481</v>
      </c>
      <c r="U350" s="26">
        <f t="shared" si="10"/>
        <v>18</v>
      </c>
    </row>
    <row r="351" spans="19:21" ht="14.65" thickBot="1" x14ac:dyDescent="0.5">
      <c r="S351" s="37">
        <f t="shared" si="11"/>
        <v>2308.3239397304264</v>
      </c>
      <c r="U351" s="26">
        <f t="shared" si="10"/>
        <v>18</v>
      </c>
    </row>
    <row r="352" spans="19:21" ht="14.65" thickBot="1" x14ac:dyDescent="0.5">
      <c r="S352" s="37">
        <f t="shared" si="11"/>
        <v>2331.4071791277306</v>
      </c>
      <c r="U352" s="26">
        <f t="shared" si="10"/>
        <v>18</v>
      </c>
    </row>
    <row r="353" spans="19:21" ht="14.65" thickBot="1" x14ac:dyDescent="0.5">
      <c r="S353" s="37">
        <f t="shared" si="11"/>
        <v>2354.7212509190081</v>
      </c>
      <c r="U353" s="26">
        <f t="shared" si="10"/>
        <v>18</v>
      </c>
    </row>
    <row r="354" spans="19:21" ht="14.65" thickBot="1" x14ac:dyDescent="0.5">
      <c r="S354" s="37">
        <f t="shared" si="11"/>
        <v>2378.2684634281982</v>
      </c>
      <c r="U354" s="26">
        <f t="shared" si="10"/>
        <v>18</v>
      </c>
    </row>
    <row r="355" spans="19:21" ht="14.65" thickBot="1" x14ac:dyDescent="0.5">
      <c r="S355" s="37">
        <f t="shared" si="11"/>
        <v>2402.05114806248</v>
      </c>
      <c r="U355" s="26">
        <f t="shared" si="10"/>
        <v>18</v>
      </c>
    </row>
    <row r="356" spans="19:21" ht="14.65" thickBot="1" x14ac:dyDescent="0.5">
      <c r="S356" s="37">
        <f t="shared" si="11"/>
        <v>2426.0716595431049</v>
      </c>
      <c r="U356" s="26">
        <f t="shared" si="10"/>
        <v>18</v>
      </c>
    </row>
    <row r="357" spans="19:21" ht="14.65" thickBot="1" x14ac:dyDescent="0.5">
      <c r="S357" s="37">
        <f t="shared" si="11"/>
        <v>2450.3323761385359</v>
      </c>
      <c r="U357" s="26">
        <f t="shared" si="10"/>
        <v>18</v>
      </c>
    </row>
    <row r="358" spans="19:21" ht="14.65" thickBot="1" x14ac:dyDescent="0.5">
      <c r="S358" s="37">
        <f t="shared" si="11"/>
        <v>2474.8356998999211</v>
      </c>
      <c r="U358" s="26">
        <f t="shared" si="10"/>
        <v>18</v>
      </c>
    </row>
    <row r="359" spans="19:21" ht="14.65" thickBot="1" x14ac:dyDescent="0.5">
      <c r="S359" s="37">
        <f t="shared" si="11"/>
        <v>2499.5840568989202</v>
      </c>
      <c r="U359" s="26">
        <f t="shared" si="10"/>
        <v>18</v>
      </c>
    </row>
    <row r="360" spans="19:21" ht="14.65" thickBot="1" x14ac:dyDescent="0.5">
      <c r="S360" s="37">
        <f t="shared" si="11"/>
        <v>2524.5798974679092</v>
      </c>
      <c r="U360" s="26">
        <f t="shared" si="10"/>
        <v>18</v>
      </c>
    </row>
    <row r="361" spans="19:21" ht="14.65" thickBot="1" x14ac:dyDescent="0.5">
      <c r="S361" s="37">
        <f t="shared" si="11"/>
        <v>2549.8256964425882</v>
      </c>
      <c r="U361" s="26">
        <f t="shared" si="10"/>
        <v>18</v>
      </c>
    </row>
    <row r="362" spans="19:21" ht="14.65" thickBot="1" x14ac:dyDescent="0.5">
      <c r="S362" s="37">
        <f t="shared" si="11"/>
        <v>2575.323953407014</v>
      </c>
      <c r="U362" s="26">
        <f t="shared" si="10"/>
        <v>18</v>
      </c>
    </row>
    <row r="363" spans="19:21" ht="14.65" thickBot="1" x14ac:dyDescent="0.5">
      <c r="S363" s="37">
        <f t="shared" si="11"/>
        <v>2601.0771929410839</v>
      </c>
      <c r="U363" s="26">
        <f t="shared" si="10"/>
        <v>18</v>
      </c>
    </row>
    <row r="364" spans="19:21" ht="14.65" thickBot="1" x14ac:dyDescent="0.5">
      <c r="S364" s="37">
        <f t="shared" si="11"/>
        <v>2627.0879648704949</v>
      </c>
      <c r="U364" s="26">
        <f t="shared" si="10"/>
        <v>18</v>
      </c>
    </row>
    <row r="365" spans="19:21" ht="14.65" thickBot="1" x14ac:dyDescent="0.5">
      <c r="S365" s="37">
        <f t="shared" si="11"/>
        <v>2653.3588445191999</v>
      </c>
      <c r="U365" s="26">
        <f t="shared" si="10"/>
        <v>18</v>
      </c>
    </row>
    <row r="366" spans="19:21" ht="14.65" thickBot="1" x14ac:dyDescent="0.5">
      <c r="S366" s="37">
        <f t="shared" si="11"/>
        <v>2679.8924329643919</v>
      </c>
      <c r="U366" s="26">
        <f t="shared" si="10"/>
        <v>18</v>
      </c>
    </row>
    <row r="367" spans="19:21" ht="14.65" thickBot="1" x14ac:dyDescent="0.5">
      <c r="S367" s="37">
        <f t="shared" si="11"/>
        <v>2706.6913572940357</v>
      </c>
      <c r="U367" s="26">
        <f t="shared" si="10"/>
        <v>18</v>
      </c>
    </row>
    <row r="368" spans="19:21" ht="14.65" thickBot="1" x14ac:dyDescent="0.5">
      <c r="S368" s="37">
        <f t="shared" si="11"/>
        <v>2733.7582708669761</v>
      </c>
      <c r="U368" s="26">
        <f t="shared" si="10"/>
        <v>18</v>
      </c>
    </row>
    <row r="369" spans="19:21" ht="14.65" thickBot="1" x14ac:dyDescent="0.5">
      <c r="S369" s="37">
        <f t="shared" si="11"/>
        <v>2761.0958535756458</v>
      </c>
      <c r="U369" s="26">
        <f t="shared" si="10"/>
        <v>18</v>
      </c>
    </row>
    <row r="370" spans="19:21" ht="14.65" thickBot="1" x14ac:dyDescent="0.5">
      <c r="S370" s="37">
        <f t="shared" si="11"/>
        <v>2788.7068121114025</v>
      </c>
      <c r="U370" s="26">
        <f t="shared" si="10"/>
        <v>18</v>
      </c>
    </row>
    <row r="371" spans="19:21" ht="14.65" thickBot="1" x14ac:dyDescent="0.5">
      <c r="S371" s="37">
        <f t="shared" si="11"/>
        <v>2816.5938802325168</v>
      </c>
      <c r="U371" s="26">
        <f t="shared" si="10"/>
        <v>18</v>
      </c>
    </row>
    <row r="372" spans="19:21" ht="14.65" thickBot="1" x14ac:dyDescent="0.5">
      <c r="S372" s="37">
        <f t="shared" si="11"/>
        <v>2844.7598190348422</v>
      </c>
      <c r="U372" s="26">
        <f t="shared" si="10"/>
        <v>18</v>
      </c>
    </row>
    <row r="373" spans="19:21" ht="14.65" thickBot="1" x14ac:dyDescent="0.5">
      <c r="S373" s="37">
        <f t="shared" si="11"/>
        <v>2873.2074172251905</v>
      </c>
      <c r="U373" s="26">
        <f t="shared" si="10"/>
        <v>18</v>
      </c>
    </row>
    <row r="374" spans="19:21" ht="14.65" thickBot="1" x14ac:dyDescent="0.5">
      <c r="S374" s="37">
        <f t="shared" si="11"/>
        <v>2901.9394913974425</v>
      </c>
      <c r="U374" s="26">
        <f t="shared" si="10"/>
        <v>18</v>
      </c>
    </row>
    <row r="375" spans="19:21" ht="14.65" thickBot="1" x14ac:dyDescent="0.5">
      <c r="S375" s="37">
        <f t="shared" si="11"/>
        <v>2930.9588863114168</v>
      </c>
      <c r="U375" s="26">
        <f t="shared" si="10"/>
        <v>18</v>
      </c>
    </row>
    <row r="376" spans="19:21" ht="14.65" thickBot="1" x14ac:dyDescent="0.5">
      <c r="S376" s="37">
        <f t="shared" si="11"/>
        <v>2960.268475174531</v>
      </c>
      <c r="U376" s="26">
        <f t="shared" si="10"/>
        <v>18</v>
      </c>
    </row>
    <row r="377" spans="19:21" ht="14.65" thickBot="1" x14ac:dyDescent="0.5">
      <c r="S377" s="37">
        <f t="shared" si="11"/>
        <v>2989.8711599262765</v>
      </c>
      <c r="U377" s="26">
        <f t="shared" si="10"/>
        <v>18</v>
      </c>
    </row>
    <row r="378" spans="19:21" ht="14.65" thickBot="1" x14ac:dyDescent="0.5">
      <c r="S378" s="37">
        <f t="shared" si="11"/>
        <v>3019.7698715255392</v>
      </c>
      <c r="U378" s="26">
        <f t="shared" si="10"/>
        <v>18</v>
      </c>
    </row>
    <row r="379" spans="19:21" ht="14.65" thickBot="1" x14ac:dyDescent="0.5">
      <c r="S379" s="37">
        <f t="shared" si="11"/>
        <v>3049.9675702407944</v>
      </c>
      <c r="U379" s="26">
        <f t="shared" si="10"/>
        <v>18</v>
      </c>
    </row>
    <row r="380" spans="19:21" ht="14.65" thickBot="1" x14ac:dyDescent="0.5">
      <c r="S380" s="37">
        <f t="shared" si="11"/>
        <v>3080.4672459432022</v>
      </c>
      <c r="U380" s="26">
        <f t="shared" si="10"/>
        <v>18</v>
      </c>
    </row>
    <row r="381" spans="19:21" ht="14.65" thickBot="1" x14ac:dyDescent="0.5">
      <c r="S381" s="37">
        <f t="shared" si="11"/>
        <v>3111.2719184026341</v>
      </c>
      <c r="U381" s="26">
        <f t="shared" si="10"/>
        <v>18</v>
      </c>
    </row>
    <row r="382" spans="19:21" ht="14.65" thickBot="1" x14ac:dyDescent="0.5">
      <c r="S382" s="37">
        <f t="shared" si="11"/>
        <v>3142.3846375866606</v>
      </c>
      <c r="U382" s="26">
        <f t="shared" si="10"/>
        <v>18</v>
      </c>
    </row>
    <row r="383" spans="19:21" ht="14.65" thickBot="1" x14ac:dyDescent="0.5">
      <c r="S383" s="37">
        <f t="shared" si="11"/>
        <v>3173.8084839625271</v>
      </c>
      <c r="U383" s="26">
        <f t="shared" si="10"/>
        <v>18</v>
      </c>
    </row>
    <row r="384" spans="19:21" ht="14.65" thickBot="1" x14ac:dyDescent="0.5">
      <c r="S384" s="37">
        <f t="shared" si="11"/>
        <v>3205.5465688021523</v>
      </c>
      <c r="U384" s="26">
        <f t="shared" si="10"/>
        <v>18</v>
      </c>
    </row>
    <row r="385" spans="19:21" ht="14.65" thickBot="1" x14ac:dyDescent="0.5">
      <c r="S385" s="37">
        <f t="shared" si="11"/>
        <v>3237.602034490174</v>
      </c>
      <c r="U385" s="26">
        <f t="shared" si="10"/>
        <v>18</v>
      </c>
    </row>
    <row r="386" spans="19:21" ht="14.65" thickBot="1" x14ac:dyDescent="0.5">
      <c r="S386" s="37">
        <f t="shared" si="11"/>
        <v>3269.9780548350759</v>
      </c>
      <c r="U386" s="26">
        <f t="shared" si="10"/>
        <v>18</v>
      </c>
    </row>
    <row r="387" spans="19:21" ht="14.65" thickBot="1" x14ac:dyDescent="0.5">
      <c r="S387" s="37">
        <f t="shared" si="11"/>
        <v>3302.6778353834266</v>
      </c>
      <c r="U387" s="26">
        <f t="shared" si="10"/>
        <v>18</v>
      </c>
    </row>
    <row r="388" spans="19:21" ht="14.65" thickBot="1" x14ac:dyDescent="0.5">
      <c r="S388" s="37">
        <f t="shared" si="11"/>
        <v>3335.7046137372608</v>
      </c>
      <c r="U388" s="26">
        <f t="shared" si="10"/>
        <v>18</v>
      </c>
    </row>
    <row r="389" spans="19:21" ht="14.65" thickBot="1" x14ac:dyDescent="0.5">
      <c r="S389" s="37">
        <f t="shared" si="11"/>
        <v>3369.0616598746333</v>
      </c>
      <c r="U389" s="26">
        <f t="shared" si="10"/>
        <v>18</v>
      </c>
    </row>
    <row r="390" spans="19:21" ht="14.65" thickBot="1" x14ac:dyDescent="0.5">
      <c r="S390" s="37">
        <f t="shared" si="11"/>
        <v>3402.7522764733794</v>
      </c>
      <c r="U390" s="26">
        <f t="shared" si="10"/>
        <v>18</v>
      </c>
    </row>
    <row r="391" spans="19:21" ht="14.65" thickBot="1" x14ac:dyDescent="0.5">
      <c r="S391" s="37">
        <f t="shared" si="11"/>
        <v>3436.7797992381134</v>
      </c>
      <c r="U391" s="26">
        <f t="shared" si="10"/>
        <v>18</v>
      </c>
    </row>
    <row r="392" spans="19:21" ht="14.65" thickBot="1" x14ac:dyDescent="0.5">
      <c r="S392" s="37">
        <f t="shared" si="11"/>
        <v>3471.1475972304947</v>
      </c>
      <c r="U392" s="26">
        <f t="shared" si="10"/>
        <v>18</v>
      </c>
    </row>
    <row r="393" spans="19:21" ht="14.65" thickBot="1" x14ac:dyDescent="0.5">
      <c r="S393" s="37">
        <f t="shared" si="11"/>
        <v>3505.8590732027997</v>
      </c>
      <c r="U393" s="26">
        <f t="shared" si="10"/>
        <v>18</v>
      </c>
    </row>
    <row r="394" spans="19:21" ht="14.65" thickBot="1" x14ac:dyDescent="0.5">
      <c r="S394" s="37">
        <f t="shared" si="11"/>
        <v>3540.9176639348275</v>
      </c>
      <c r="U394" s="26">
        <f t="shared" si="10"/>
        <v>18</v>
      </c>
    </row>
    <row r="395" spans="19:21" ht="14.65" thickBot="1" x14ac:dyDescent="0.5">
      <c r="S395" s="37">
        <f t="shared" si="11"/>
        <v>3576.326840574176</v>
      </c>
      <c r="U395" s="26">
        <f t="shared" si="10"/>
        <v>18</v>
      </c>
    </row>
    <row r="396" spans="19:21" ht="14.65" thickBot="1" x14ac:dyDescent="0.5">
      <c r="S396" s="37">
        <f t="shared" si="11"/>
        <v>3612.0901089799177</v>
      </c>
      <c r="U396" s="26">
        <f t="shared" si="10"/>
        <v>18</v>
      </c>
    </row>
    <row r="397" spans="19:21" ht="14.65" thickBot="1" x14ac:dyDescent="0.5">
      <c r="S397" s="37">
        <f t="shared" si="11"/>
        <v>3648.2110100697168</v>
      </c>
      <c r="U397" s="26">
        <f t="shared" si="10"/>
        <v>18</v>
      </c>
    </row>
    <row r="398" spans="19:21" ht="14.65" thickBot="1" x14ac:dyDescent="0.5">
      <c r="S398" s="37">
        <f t="shared" si="11"/>
        <v>3684.6931201704142</v>
      </c>
      <c r="U398" s="26">
        <f t="shared" si="10"/>
        <v>18</v>
      </c>
    </row>
    <row r="399" spans="19:21" ht="14.65" thickBot="1" x14ac:dyDescent="0.5">
      <c r="S399" s="37">
        <f t="shared" si="11"/>
        <v>3721.5400513721183</v>
      </c>
      <c r="U399" s="26">
        <f t="shared" si="10"/>
        <v>18</v>
      </c>
    </row>
    <row r="400" spans="19:21" ht="14.65" thickBot="1" x14ac:dyDescent="0.5">
      <c r="S400" s="37">
        <f t="shared" si="11"/>
        <v>3758.7554518858396</v>
      </c>
      <c r="U400" s="26">
        <f t="shared" si="10"/>
        <v>18</v>
      </c>
    </row>
    <row r="401" spans="19:21" ht="14.65" thickBot="1" x14ac:dyDescent="0.5">
      <c r="S401" s="37">
        <f t="shared" si="11"/>
        <v>3796.3430064046979</v>
      </c>
      <c r="U401" s="26">
        <f t="shared" si="10"/>
        <v>18</v>
      </c>
    </row>
    <row r="402" spans="19:21" ht="14.65" thickBot="1" x14ac:dyDescent="0.5">
      <c r="S402" s="37">
        <f t="shared" si="11"/>
        <v>3834.3064364687448</v>
      </c>
      <c r="U402" s="26">
        <f t="shared" si="10"/>
        <v>18</v>
      </c>
    </row>
    <row r="403" spans="19:21" ht="14.65" thickBot="1" x14ac:dyDescent="0.5">
      <c r="S403" s="37">
        <f t="shared" si="11"/>
        <v>3872.6495008334323</v>
      </c>
      <c r="U403" s="26">
        <f t="shared" ref="U403:U466" si="12">IF(S403&lt;$D$7,-$D$9+$D$10,MIN(S403-$D$7-$D$9+$D$10,($D$8-$D$7)-$D$9+$D$10))</f>
        <v>18</v>
      </c>
    </row>
    <row r="404" spans="19:21" ht="14.65" thickBot="1" x14ac:dyDescent="0.5">
      <c r="S404" s="37">
        <f t="shared" ref="S404:S467" si="13">S403*(1.01)</f>
        <v>3911.3759958417668</v>
      </c>
      <c r="U404" s="26">
        <f t="shared" si="12"/>
        <v>18</v>
      </c>
    </row>
    <row r="405" spans="19:21" ht="14.65" thickBot="1" x14ac:dyDescent="0.5">
      <c r="S405" s="37">
        <f t="shared" si="13"/>
        <v>3950.4897558001844</v>
      </c>
      <c r="U405" s="26">
        <f t="shared" si="12"/>
        <v>18</v>
      </c>
    </row>
    <row r="406" spans="19:21" ht="14.65" thickBot="1" x14ac:dyDescent="0.5">
      <c r="S406" s="37">
        <f t="shared" si="13"/>
        <v>3989.9946533581865</v>
      </c>
      <c r="U406" s="26">
        <f t="shared" si="12"/>
        <v>18</v>
      </c>
    </row>
    <row r="407" spans="19:21" ht="14.65" thickBot="1" x14ac:dyDescent="0.5">
      <c r="S407" s="37">
        <f t="shared" si="13"/>
        <v>4029.8945998917684</v>
      </c>
      <c r="U407" s="26">
        <f t="shared" si="12"/>
        <v>18</v>
      </c>
    </row>
    <row r="408" spans="19:21" ht="14.65" thickBot="1" x14ac:dyDescent="0.5">
      <c r="S408" s="37">
        <f t="shared" si="13"/>
        <v>4070.193545890686</v>
      </c>
      <c r="U408" s="26">
        <f t="shared" si="12"/>
        <v>18</v>
      </c>
    </row>
    <row r="409" spans="19:21" ht="14.65" thickBot="1" x14ac:dyDescent="0.5">
      <c r="S409" s="37">
        <f t="shared" si="13"/>
        <v>4110.895481349593</v>
      </c>
      <c r="U409" s="26">
        <f t="shared" si="12"/>
        <v>18</v>
      </c>
    </row>
    <row r="410" spans="19:21" ht="14.65" thickBot="1" x14ac:dyDescent="0.5">
      <c r="S410" s="37">
        <f t="shared" si="13"/>
        <v>4152.0044361630889</v>
      </c>
      <c r="U410" s="26">
        <f t="shared" si="12"/>
        <v>18</v>
      </c>
    </row>
    <row r="411" spans="19:21" ht="14.65" thickBot="1" x14ac:dyDescent="0.5">
      <c r="S411" s="37">
        <f t="shared" si="13"/>
        <v>4193.5244805247203</v>
      </c>
      <c r="U411" s="26">
        <f t="shared" si="12"/>
        <v>18</v>
      </c>
    </row>
    <row r="412" spans="19:21" ht="14.65" thickBot="1" x14ac:dyDescent="0.5">
      <c r="S412" s="37">
        <f t="shared" si="13"/>
        <v>4235.4597253299671</v>
      </c>
      <c r="U412" s="26">
        <f t="shared" si="12"/>
        <v>18</v>
      </c>
    </row>
    <row r="413" spans="19:21" ht="14.65" thickBot="1" x14ac:dyDescent="0.5">
      <c r="S413" s="37">
        <f t="shared" si="13"/>
        <v>4277.8143225832664</v>
      </c>
      <c r="U413" s="26">
        <f t="shared" si="12"/>
        <v>18</v>
      </c>
    </row>
    <row r="414" spans="19:21" ht="14.65" thickBot="1" x14ac:dyDescent="0.5">
      <c r="S414" s="37">
        <f t="shared" si="13"/>
        <v>4320.5924658090989</v>
      </c>
      <c r="U414" s="26">
        <f t="shared" si="12"/>
        <v>18</v>
      </c>
    </row>
    <row r="415" spans="19:21" ht="14.65" thickBot="1" x14ac:dyDescent="0.5">
      <c r="S415" s="37">
        <f t="shared" si="13"/>
        <v>4363.7983904671901</v>
      </c>
      <c r="U415" s="26">
        <f t="shared" si="12"/>
        <v>18</v>
      </c>
    </row>
    <row r="416" spans="19:21" ht="14.65" thickBot="1" x14ac:dyDescent="0.5">
      <c r="S416" s="37">
        <f t="shared" si="13"/>
        <v>4407.4363743718623</v>
      </c>
      <c r="U416" s="26">
        <f t="shared" si="12"/>
        <v>18</v>
      </c>
    </row>
    <row r="417" spans="19:21" ht="14.65" thickBot="1" x14ac:dyDescent="0.5">
      <c r="S417" s="37">
        <f t="shared" si="13"/>
        <v>4451.5107381155813</v>
      </c>
      <c r="U417" s="26">
        <f t="shared" si="12"/>
        <v>18</v>
      </c>
    </row>
    <row r="418" spans="19:21" ht="14.65" thickBot="1" x14ac:dyDescent="0.5">
      <c r="S418" s="37">
        <f t="shared" si="13"/>
        <v>4496.025845496737</v>
      </c>
      <c r="U418" s="26">
        <f t="shared" si="12"/>
        <v>18</v>
      </c>
    </row>
    <row r="419" spans="19:21" ht="14.65" thickBot="1" x14ac:dyDescent="0.5">
      <c r="S419" s="37">
        <f t="shared" si="13"/>
        <v>4540.9861039517045</v>
      </c>
      <c r="U419" s="26">
        <f t="shared" si="12"/>
        <v>18</v>
      </c>
    </row>
    <row r="420" spans="19:21" ht="14.65" thickBot="1" x14ac:dyDescent="0.5">
      <c r="S420" s="37">
        <f t="shared" si="13"/>
        <v>4586.3959649912213</v>
      </c>
      <c r="U420" s="26">
        <f t="shared" si="12"/>
        <v>18</v>
      </c>
    </row>
    <row r="421" spans="19:21" ht="14.65" thickBot="1" x14ac:dyDescent="0.5">
      <c r="S421" s="37">
        <f t="shared" si="13"/>
        <v>4632.2599246411337</v>
      </c>
      <c r="U421" s="26">
        <f t="shared" si="12"/>
        <v>18</v>
      </c>
    </row>
    <row r="422" spans="19:21" ht="14.65" thickBot="1" x14ac:dyDescent="0.5">
      <c r="S422" s="37">
        <f t="shared" si="13"/>
        <v>4678.582523887545</v>
      </c>
      <c r="U422" s="26">
        <f t="shared" si="12"/>
        <v>18</v>
      </c>
    </row>
    <row r="423" spans="19:21" ht="14.65" thickBot="1" x14ac:dyDescent="0.5">
      <c r="S423" s="37">
        <f t="shared" si="13"/>
        <v>4725.3683491264201</v>
      </c>
      <c r="U423" s="26">
        <f t="shared" si="12"/>
        <v>18</v>
      </c>
    </row>
    <row r="424" spans="19:21" ht="14.65" thickBot="1" x14ac:dyDescent="0.5">
      <c r="S424" s="37">
        <f t="shared" si="13"/>
        <v>4772.6220326176845</v>
      </c>
      <c r="U424" s="26">
        <f t="shared" si="12"/>
        <v>18</v>
      </c>
    </row>
    <row r="425" spans="19:21" ht="14.65" thickBot="1" x14ac:dyDescent="0.5">
      <c r="S425" s="37">
        <f t="shared" si="13"/>
        <v>4820.3482529438616</v>
      </c>
      <c r="U425" s="26">
        <f t="shared" si="12"/>
        <v>18</v>
      </c>
    </row>
    <row r="426" spans="19:21" ht="14.65" thickBot="1" x14ac:dyDescent="0.5">
      <c r="S426" s="37">
        <f t="shared" si="13"/>
        <v>4868.5517354733001</v>
      </c>
      <c r="U426" s="26">
        <f t="shared" si="12"/>
        <v>18</v>
      </c>
    </row>
    <row r="427" spans="19:21" ht="14.65" thickBot="1" x14ac:dyDescent="0.5">
      <c r="S427" s="37">
        <f t="shared" si="13"/>
        <v>4917.237252828033</v>
      </c>
      <c r="U427" s="26">
        <f t="shared" si="12"/>
        <v>18</v>
      </c>
    </row>
    <row r="428" spans="19:21" ht="14.65" thickBot="1" x14ac:dyDescent="0.5">
      <c r="S428" s="37">
        <f t="shared" si="13"/>
        <v>4966.409625356313</v>
      </c>
      <c r="U428" s="26">
        <f t="shared" si="12"/>
        <v>18</v>
      </c>
    </row>
    <row r="429" spans="19:21" ht="14.65" thickBot="1" x14ac:dyDescent="0.5">
      <c r="S429" s="37">
        <f t="shared" si="13"/>
        <v>5016.073721609876</v>
      </c>
      <c r="U429" s="26">
        <f t="shared" si="12"/>
        <v>18</v>
      </c>
    </row>
    <row r="430" spans="19:21" ht="14.65" thickBot="1" x14ac:dyDescent="0.5">
      <c r="S430" s="37">
        <f t="shared" si="13"/>
        <v>5066.2344588259748</v>
      </c>
      <c r="U430" s="26">
        <f t="shared" si="12"/>
        <v>18</v>
      </c>
    </row>
    <row r="431" spans="19:21" ht="14.65" thickBot="1" x14ac:dyDescent="0.5">
      <c r="S431" s="37">
        <f t="shared" si="13"/>
        <v>5116.8968034142345</v>
      </c>
      <c r="U431" s="26">
        <f t="shared" si="12"/>
        <v>18</v>
      </c>
    </row>
    <row r="432" spans="19:21" ht="14.65" thickBot="1" x14ac:dyDescent="0.5">
      <c r="S432" s="37">
        <f t="shared" si="13"/>
        <v>5168.0657714483768</v>
      </c>
      <c r="U432" s="26">
        <f t="shared" si="12"/>
        <v>18</v>
      </c>
    </row>
    <row r="433" spans="19:21" ht="14.65" thickBot="1" x14ac:dyDescent="0.5">
      <c r="S433" s="37">
        <f t="shared" si="13"/>
        <v>5219.7464291628603</v>
      </c>
      <c r="U433" s="26">
        <f t="shared" si="12"/>
        <v>18</v>
      </c>
    </row>
    <row r="434" spans="19:21" ht="14.65" thickBot="1" x14ac:dyDescent="0.5">
      <c r="S434" s="37">
        <f t="shared" si="13"/>
        <v>5271.9438934544887</v>
      </c>
      <c r="U434" s="26">
        <f t="shared" si="12"/>
        <v>18</v>
      </c>
    </row>
    <row r="435" spans="19:21" ht="14.65" thickBot="1" x14ac:dyDescent="0.5">
      <c r="S435" s="37">
        <f t="shared" si="13"/>
        <v>5324.6633323890337</v>
      </c>
      <c r="U435" s="26">
        <f t="shared" si="12"/>
        <v>18</v>
      </c>
    </row>
    <row r="436" spans="19:21" ht="14.65" thickBot="1" x14ac:dyDescent="0.5">
      <c r="S436" s="37">
        <f t="shared" si="13"/>
        <v>5377.9099657129245</v>
      </c>
      <c r="U436" s="26">
        <f t="shared" si="12"/>
        <v>18</v>
      </c>
    </row>
    <row r="437" spans="19:21" ht="14.65" thickBot="1" x14ac:dyDescent="0.5">
      <c r="S437" s="37">
        <f t="shared" si="13"/>
        <v>5431.6890653700539</v>
      </c>
      <c r="U437" s="26">
        <f t="shared" si="12"/>
        <v>18</v>
      </c>
    </row>
    <row r="438" spans="19:21" ht="14.65" thickBot="1" x14ac:dyDescent="0.5">
      <c r="S438" s="37">
        <f t="shared" si="13"/>
        <v>5486.0059560237542</v>
      </c>
      <c r="U438" s="26">
        <f t="shared" si="12"/>
        <v>18</v>
      </c>
    </row>
    <row r="439" spans="19:21" ht="14.65" thickBot="1" x14ac:dyDescent="0.5">
      <c r="S439" s="37">
        <f t="shared" si="13"/>
        <v>5540.8660155839916</v>
      </c>
      <c r="U439" s="26">
        <f t="shared" si="12"/>
        <v>18</v>
      </c>
    </row>
    <row r="440" spans="19:21" ht="14.65" thickBot="1" x14ac:dyDescent="0.5">
      <c r="S440" s="37">
        <f t="shared" si="13"/>
        <v>5596.2746757398318</v>
      </c>
      <c r="U440" s="26">
        <f t="shared" si="12"/>
        <v>18</v>
      </c>
    </row>
    <row r="441" spans="19:21" ht="14.65" thickBot="1" x14ac:dyDescent="0.5">
      <c r="S441" s="37">
        <f t="shared" si="13"/>
        <v>5652.23742249723</v>
      </c>
      <c r="U441" s="26">
        <f t="shared" si="12"/>
        <v>18</v>
      </c>
    </row>
    <row r="442" spans="19:21" ht="14.65" thickBot="1" x14ac:dyDescent="0.5">
      <c r="S442" s="37">
        <f t="shared" si="13"/>
        <v>5708.7597967222027</v>
      </c>
      <c r="U442" s="26">
        <f t="shared" si="12"/>
        <v>18</v>
      </c>
    </row>
    <row r="443" spans="19:21" ht="14.65" thickBot="1" x14ac:dyDescent="0.5">
      <c r="S443" s="37">
        <f t="shared" si="13"/>
        <v>5765.8473946894246</v>
      </c>
      <c r="U443" s="26">
        <f t="shared" si="12"/>
        <v>18</v>
      </c>
    </row>
    <row r="444" spans="19:21" ht="14.65" thickBot="1" x14ac:dyDescent="0.5">
      <c r="S444" s="37">
        <f t="shared" si="13"/>
        <v>5823.5058686363191</v>
      </c>
      <c r="U444" s="26">
        <f t="shared" si="12"/>
        <v>18</v>
      </c>
    </row>
    <row r="445" spans="19:21" ht="14.65" thickBot="1" x14ac:dyDescent="0.5">
      <c r="S445" s="37">
        <f t="shared" si="13"/>
        <v>5881.7409273226822</v>
      </c>
      <c r="U445" s="26">
        <f t="shared" si="12"/>
        <v>18</v>
      </c>
    </row>
    <row r="446" spans="19:21" ht="14.65" thickBot="1" x14ac:dyDescent="0.5">
      <c r="S446" s="37">
        <f t="shared" si="13"/>
        <v>5940.5583365959092</v>
      </c>
      <c r="U446" s="26">
        <f t="shared" si="12"/>
        <v>18</v>
      </c>
    </row>
    <row r="447" spans="19:21" ht="14.65" thickBot="1" x14ac:dyDescent="0.5">
      <c r="S447" s="37">
        <f t="shared" si="13"/>
        <v>5999.9639199618687</v>
      </c>
      <c r="U447" s="26">
        <f t="shared" si="12"/>
        <v>18</v>
      </c>
    </row>
    <row r="448" spans="19:21" ht="14.65" thickBot="1" x14ac:dyDescent="0.5">
      <c r="S448" s="37">
        <f t="shared" si="13"/>
        <v>6059.963559161487</v>
      </c>
      <c r="U448" s="26">
        <f t="shared" si="12"/>
        <v>18</v>
      </c>
    </row>
    <row r="449" spans="19:21" ht="14.65" thickBot="1" x14ac:dyDescent="0.5">
      <c r="S449" s="37">
        <f t="shared" si="13"/>
        <v>6120.5631947531019</v>
      </c>
      <c r="U449" s="26">
        <f t="shared" si="12"/>
        <v>18</v>
      </c>
    </row>
    <row r="450" spans="19:21" ht="14.65" thickBot="1" x14ac:dyDescent="0.5">
      <c r="S450" s="37">
        <f t="shared" si="13"/>
        <v>6181.7688267006333</v>
      </c>
      <c r="U450" s="26">
        <f t="shared" si="12"/>
        <v>18</v>
      </c>
    </row>
    <row r="451" spans="19:21" ht="14.65" thickBot="1" x14ac:dyDescent="0.5">
      <c r="S451" s="37">
        <f t="shared" si="13"/>
        <v>6243.5865149676401</v>
      </c>
      <c r="U451" s="26">
        <f t="shared" si="12"/>
        <v>18</v>
      </c>
    </row>
    <row r="452" spans="19:21" ht="14.65" thickBot="1" x14ac:dyDescent="0.5">
      <c r="S452" s="37">
        <f t="shared" si="13"/>
        <v>6306.022380117317</v>
      </c>
      <c r="U452" s="26">
        <f t="shared" si="12"/>
        <v>18</v>
      </c>
    </row>
    <row r="453" spans="19:21" ht="14.65" thickBot="1" x14ac:dyDescent="0.5">
      <c r="S453" s="37">
        <f t="shared" si="13"/>
        <v>6369.0826039184903</v>
      </c>
      <c r="U453" s="26">
        <f t="shared" si="12"/>
        <v>18</v>
      </c>
    </row>
    <row r="454" spans="19:21" ht="14.65" thickBot="1" x14ac:dyDescent="0.5">
      <c r="S454" s="37">
        <f t="shared" si="13"/>
        <v>6432.773429957675</v>
      </c>
      <c r="U454" s="26">
        <f t="shared" si="12"/>
        <v>18</v>
      </c>
    </row>
    <row r="455" spans="19:21" ht="14.65" thickBot="1" x14ac:dyDescent="0.5">
      <c r="S455" s="37">
        <f t="shared" si="13"/>
        <v>6497.1011642572521</v>
      </c>
      <c r="U455" s="26">
        <f t="shared" si="12"/>
        <v>18</v>
      </c>
    </row>
    <row r="456" spans="19:21" ht="14.65" thickBot="1" x14ac:dyDescent="0.5">
      <c r="S456" s="37">
        <f t="shared" si="13"/>
        <v>6562.0721758998243</v>
      </c>
      <c r="U456" s="26">
        <f t="shared" si="12"/>
        <v>18</v>
      </c>
    </row>
    <row r="457" spans="19:21" ht="14.65" thickBot="1" x14ac:dyDescent="0.5">
      <c r="S457" s="37">
        <f t="shared" si="13"/>
        <v>6627.6928976588224</v>
      </c>
      <c r="U457" s="26">
        <f t="shared" si="12"/>
        <v>18</v>
      </c>
    </row>
    <row r="458" spans="19:21" ht="14.65" thickBot="1" x14ac:dyDescent="0.5">
      <c r="S458" s="37">
        <f t="shared" si="13"/>
        <v>6693.9698266354108</v>
      </c>
      <c r="U458" s="26">
        <f t="shared" si="12"/>
        <v>18</v>
      </c>
    </row>
    <row r="459" spans="19:21" ht="14.65" thickBot="1" x14ac:dyDescent="0.5">
      <c r="S459" s="37">
        <f t="shared" si="13"/>
        <v>6760.9095249017646</v>
      </c>
      <c r="U459" s="26">
        <f t="shared" si="12"/>
        <v>18</v>
      </c>
    </row>
    <row r="460" spans="19:21" ht="14.65" thickBot="1" x14ac:dyDescent="0.5">
      <c r="S460" s="37">
        <f t="shared" si="13"/>
        <v>6828.5186201507822</v>
      </c>
      <c r="U460" s="26">
        <f t="shared" si="12"/>
        <v>18</v>
      </c>
    </row>
    <row r="461" spans="19:21" ht="14.65" thickBot="1" x14ac:dyDescent="0.5">
      <c r="S461" s="37">
        <f t="shared" si="13"/>
        <v>6896.8038063522899</v>
      </c>
      <c r="U461" s="26">
        <f t="shared" si="12"/>
        <v>18</v>
      </c>
    </row>
    <row r="462" spans="19:21" ht="14.65" thickBot="1" x14ac:dyDescent="0.5">
      <c r="S462" s="37">
        <f t="shared" si="13"/>
        <v>6965.7718444158127</v>
      </c>
      <c r="U462" s="26">
        <f t="shared" si="12"/>
        <v>18</v>
      </c>
    </row>
    <row r="463" spans="19:21" ht="14.65" thickBot="1" x14ac:dyDescent="0.5">
      <c r="S463" s="37">
        <f t="shared" si="13"/>
        <v>7035.4295628599712</v>
      </c>
      <c r="U463" s="26">
        <f t="shared" si="12"/>
        <v>18</v>
      </c>
    </row>
    <row r="464" spans="19:21" ht="14.65" thickBot="1" x14ac:dyDescent="0.5">
      <c r="S464" s="37">
        <f t="shared" si="13"/>
        <v>7105.7838584885712</v>
      </c>
      <c r="U464" s="26">
        <f t="shared" si="12"/>
        <v>18</v>
      </c>
    </row>
    <row r="465" spans="19:21" ht="14.65" thickBot="1" x14ac:dyDescent="0.5">
      <c r="S465" s="37">
        <f t="shared" si="13"/>
        <v>7176.841697073457</v>
      </c>
      <c r="U465" s="26">
        <f t="shared" si="12"/>
        <v>18</v>
      </c>
    </row>
    <row r="466" spans="19:21" ht="14.65" thickBot="1" x14ac:dyDescent="0.5">
      <c r="S466" s="37">
        <f t="shared" si="13"/>
        <v>7248.6101140441915</v>
      </c>
      <c r="U466" s="26">
        <f t="shared" si="12"/>
        <v>18</v>
      </c>
    </row>
    <row r="467" spans="19:21" ht="14.65" thickBot="1" x14ac:dyDescent="0.5">
      <c r="S467" s="37">
        <f t="shared" si="13"/>
        <v>7321.0962151846334</v>
      </c>
      <c r="U467" s="26">
        <f t="shared" ref="U467:U530" si="14">IF(S467&lt;$D$7,-$D$9+$D$10,MIN(S467-$D$7-$D$9+$D$10,($D$8-$D$7)-$D$9+$D$10))</f>
        <v>18</v>
      </c>
    </row>
    <row r="468" spans="19:21" ht="14.65" thickBot="1" x14ac:dyDescent="0.5">
      <c r="S468" s="37">
        <f t="shared" ref="S468:S531" si="15">S467*(1.01)</f>
        <v>7394.30717733648</v>
      </c>
      <c r="U468" s="26">
        <f t="shared" si="14"/>
        <v>18</v>
      </c>
    </row>
    <row r="469" spans="19:21" ht="14.65" thickBot="1" x14ac:dyDescent="0.5">
      <c r="S469" s="37">
        <f t="shared" si="15"/>
        <v>7468.2502491098448</v>
      </c>
      <c r="U469" s="26">
        <f t="shared" si="14"/>
        <v>18</v>
      </c>
    </row>
    <row r="470" spans="19:21" ht="14.65" thickBot="1" x14ac:dyDescent="0.5">
      <c r="S470" s="37">
        <f t="shared" si="15"/>
        <v>7542.9327516009434</v>
      </c>
      <c r="U470" s="26">
        <f t="shared" si="14"/>
        <v>18</v>
      </c>
    </row>
    <row r="471" spans="19:21" ht="14.65" thickBot="1" x14ac:dyDescent="0.5">
      <c r="S471" s="37">
        <f t="shared" si="15"/>
        <v>7618.3620791169533</v>
      </c>
      <c r="U471" s="26">
        <f t="shared" si="14"/>
        <v>18</v>
      </c>
    </row>
    <row r="472" spans="19:21" ht="14.65" thickBot="1" x14ac:dyDescent="0.5">
      <c r="S472" s="37">
        <f t="shared" si="15"/>
        <v>7694.5456999081225</v>
      </c>
      <c r="U472" s="26">
        <f t="shared" si="14"/>
        <v>18</v>
      </c>
    </row>
    <row r="473" spans="19:21" ht="14.65" thickBot="1" x14ac:dyDescent="0.5">
      <c r="S473" s="37">
        <f t="shared" si="15"/>
        <v>7771.4911569072037</v>
      </c>
      <c r="U473" s="26">
        <f t="shared" si="14"/>
        <v>18</v>
      </c>
    </row>
    <row r="474" spans="19:21" ht="14.65" thickBot="1" x14ac:dyDescent="0.5">
      <c r="S474" s="37">
        <f t="shared" si="15"/>
        <v>7849.2060684762755</v>
      </c>
      <c r="U474" s="26">
        <f t="shared" si="14"/>
        <v>18</v>
      </c>
    </row>
    <row r="475" spans="19:21" ht="14.65" thickBot="1" x14ac:dyDescent="0.5">
      <c r="S475" s="37">
        <f t="shared" si="15"/>
        <v>7927.6981291610382</v>
      </c>
      <c r="U475" s="26">
        <f t="shared" si="14"/>
        <v>18</v>
      </c>
    </row>
    <row r="476" spans="19:21" ht="14.65" thickBot="1" x14ac:dyDescent="0.5">
      <c r="S476" s="37">
        <f t="shared" si="15"/>
        <v>8006.9751104526486</v>
      </c>
      <c r="U476" s="26">
        <f t="shared" si="14"/>
        <v>18</v>
      </c>
    </row>
    <row r="477" spans="19:21" ht="14.65" thickBot="1" x14ac:dyDescent="0.5">
      <c r="S477" s="37">
        <f t="shared" si="15"/>
        <v>8087.044861557175</v>
      </c>
      <c r="U477" s="26">
        <f t="shared" si="14"/>
        <v>18</v>
      </c>
    </row>
    <row r="478" spans="19:21" ht="14.65" thickBot="1" x14ac:dyDescent="0.5">
      <c r="S478" s="37">
        <f t="shared" si="15"/>
        <v>8167.915310172747</v>
      </c>
      <c r="U478" s="26">
        <f t="shared" si="14"/>
        <v>18</v>
      </c>
    </row>
    <row r="479" spans="19:21" ht="14.65" thickBot="1" x14ac:dyDescent="0.5">
      <c r="S479" s="37">
        <f t="shared" si="15"/>
        <v>8249.594463274474</v>
      </c>
      <c r="U479" s="26">
        <f t="shared" si="14"/>
        <v>18</v>
      </c>
    </row>
    <row r="480" spans="19:21" ht="14.65" thickBot="1" x14ac:dyDescent="0.5">
      <c r="S480" s="37">
        <f t="shared" si="15"/>
        <v>8332.0904079072188</v>
      </c>
      <c r="U480" s="26">
        <f t="shared" si="14"/>
        <v>18</v>
      </c>
    </row>
    <row r="481" spans="19:21" ht="14.65" thickBot="1" x14ac:dyDescent="0.5">
      <c r="S481" s="37">
        <f t="shared" si="15"/>
        <v>8415.4113119862905</v>
      </c>
      <c r="U481" s="26">
        <f t="shared" si="14"/>
        <v>18</v>
      </c>
    </row>
    <row r="482" spans="19:21" ht="14.65" thickBot="1" x14ac:dyDescent="0.5">
      <c r="S482" s="37">
        <f t="shared" si="15"/>
        <v>8499.5654251061533</v>
      </c>
      <c r="U482" s="26">
        <f t="shared" si="14"/>
        <v>18</v>
      </c>
    </row>
    <row r="483" spans="19:21" ht="14.65" thickBot="1" x14ac:dyDescent="0.5">
      <c r="S483" s="37">
        <f t="shared" si="15"/>
        <v>8584.5610793572141</v>
      </c>
      <c r="U483" s="26">
        <f t="shared" si="14"/>
        <v>18</v>
      </c>
    </row>
    <row r="484" spans="19:21" ht="14.65" thickBot="1" x14ac:dyDescent="0.5">
      <c r="S484" s="37">
        <f t="shared" si="15"/>
        <v>8670.4066901507867</v>
      </c>
      <c r="U484" s="26">
        <f t="shared" si="14"/>
        <v>18</v>
      </c>
    </row>
    <row r="485" spans="19:21" ht="14.65" thickBot="1" x14ac:dyDescent="0.5">
      <c r="S485" s="37">
        <f t="shared" si="15"/>
        <v>8757.1107570522945</v>
      </c>
      <c r="U485" s="26">
        <f t="shared" si="14"/>
        <v>18</v>
      </c>
    </row>
    <row r="486" spans="19:21" ht="14.65" thickBot="1" x14ac:dyDescent="0.5">
      <c r="S486" s="37">
        <f t="shared" si="15"/>
        <v>8844.6818646228166</v>
      </c>
      <c r="U486" s="26">
        <f t="shared" si="14"/>
        <v>18</v>
      </c>
    </row>
    <row r="487" spans="19:21" ht="14.65" thickBot="1" x14ac:dyDescent="0.5">
      <c r="S487" s="37">
        <f t="shared" si="15"/>
        <v>8933.1286832690457</v>
      </c>
      <c r="U487" s="26">
        <f t="shared" si="14"/>
        <v>18</v>
      </c>
    </row>
    <row r="488" spans="19:21" ht="14.65" thickBot="1" x14ac:dyDescent="0.5">
      <c r="S488" s="37">
        <f t="shared" si="15"/>
        <v>9022.459970101736</v>
      </c>
      <c r="U488" s="26">
        <f t="shared" si="14"/>
        <v>18</v>
      </c>
    </row>
    <row r="489" spans="19:21" ht="14.65" thickBot="1" x14ac:dyDescent="0.5">
      <c r="S489" s="37">
        <f t="shared" si="15"/>
        <v>9112.6845698027537</v>
      </c>
      <c r="U489" s="26">
        <f t="shared" si="14"/>
        <v>18</v>
      </c>
    </row>
    <row r="490" spans="19:21" ht="14.65" thickBot="1" x14ac:dyDescent="0.5">
      <c r="S490" s="37">
        <f t="shared" si="15"/>
        <v>9203.8114155007806</v>
      </c>
      <c r="U490" s="26">
        <f t="shared" si="14"/>
        <v>18</v>
      </c>
    </row>
    <row r="491" spans="19:21" ht="14.65" thickBot="1" x14ac:dyDescent="0.5">
      <c r="S491" s="37">
        <f t="shared" si="15"/>
        <v>9295.8495296557885</v>
      </c>
      <c r="U491" s="26">
        <f t="shared" si="14"/>
        <v>18</v>
      </c>
    </row>
    <row r="492" spans="19:21" ht="14.65" thickBot="1" x14ac:dyDescent="0.5">
      <c r="S492" s="37">
        <f t="shared" si="15"/>
        <v>9388.8080249523464</v>
      </c>
      <c r="U492" s="26">
        <f t="shared" si="14"/>
        <v>18</v>
      </c>
    </row>
    <row r="493" spans="19:21" ht="14.65" thickBot="1" x14ac:dyDescent="0.5">
      <c r="S493" s="37">
        <f t="shared" si="15"/>
        <v>9482.6961052018705</v>
      </c>
      <c r="U493" s="26">
        <f t="shared" si="14"/>
        <v>18</v>
      </c>
    </row>
    <row r="494" spans="19:21" ht="14.65" thickBot="1" x14ac:dyDescent="0.5">
      <c r="S494" s="37">
        <f t="shared" si="15"/>
        <v>9577.5230662538888</v>
      </c>
      <c r="U494" s="26">
        <f t="shared" si="14"/>
        <v>18</v>
      </c>
    </row>
    <row r="495" spans="19:21" ht="14.65" thickBot="1" x14ac:dyDescent="0.5">
      <c r="S495" s="37">
        <f t="shared" si="15"/>
        <v>9673.2982969164277</v>
      </c>
      <c r="U495" s="26">
        <f t="shared" si="14"/>
        <v>18</v>
      </c>
    </row>
    <row r="496" spans="19:21" ht="14.65" thickBot="1" x14ac:dyDescent="0.5">
      <c r="S496" s="37">
        <f t="shared" si="15"/>
        <v>9770.0312798855921</v>
      </c>
      <c r="U496" s="26">
        <f t="shared" si="14"/>
        <v>18</v>
      </c>
    </row>
    <row r="497" spans="19:21" ht="14.65" thickBot="1" x14ac:dyDescent="0.5">
      <c r="S497" s="37">
        <f t="shared" si="15"/>
        <v>9867.7315926844476</v>
      </c>
      <c r="U497" s="26">
        <f t="shared" si="14"/>
        <v>18</v>
      </c>
    </row>
    <row r="498" spans="19:21" ht="14.65" thickBot="1" x14ac:dyDescent="0.5">
      <c r="S498" s="37">
        <f t="shared" si="15"/>
        <v>9966.4089086112926</v>
      </c>
      <c r="U498" s="26">
        <f t="shared" si="14"/>
        <v>18</v>
      </c>
    </row>
    <row r="499" spans="19:21" ht="14.65" thickBot="1" x14ac:dyDescent="0.5">
      <c r="S499" s="37">
        <f t="shared" si="15"/>
        <v>10066.072997697405</v>
      </c>
      <c r="U499" s="26">
        <f t="shared" si="14"/>
        <v>18</v>
      </c>
    </row>
    <row r="500" spans="19:21" ht="14.65" thickBot="1" x14ac:dyDescent="0.5">
      <c r="S500" s="37">
        <f t="shared" si="15"/>
        <v>10166.73372767438</v>
      </c>
      <c r="U500" s="26">
        <f t="shared" si="14"/>
        <v>18</v>
      </c>
    </row>
    <row r="501" spans="19:21" ht="14.65" thickBot="1" x14ac:dyDescent="0.5">
      <c r="S501" s="37">
        <f t="shared" si="15"/>
        <v>10268.401064951124</v>
      </c>
      <c r="U501" s="26">
        <f t="shared" si="14"/>
        <v>18</v>
      </c>
    </row>
    <row r="502" spans="19:21" ht="14.65" thickBot="1" x14ac:dyDescent="0.5">
      <c r="S502" s="37">
        <f t="shared" si="15"/>
        <v>10371.085075600635</v>
      </c>
      <c r="U502" s="26">
        <f t="shared" si="14"/>
        <v>18</v>
      </c>
    </row>
    <row r="503" spans="19:21" ht="14.65" thickBot="1" x14ac:dyDescent="0.5">
      <c r="S503" s="37">
        <f t="shared" si="15"/>
        <v>10474.795926356641</v>
      </c>
      <c r="U503" s="26">
        <f t="shared" si="14"/>
        <v>18</v>
      </c>
    </row>
    <row r="504" spans="19:21" ht="14.65" thickBot="1" x14ac:dyDescent="0.5">
      <c r="S504" s="37">
        <f t="shared" si="15"/>
        <v>10579.543885620207</v>
      </c>
      <c r="U504" s="26">
        <f t="shared" si="14"/>
        <v>18</v>
      </c>
    </row>
    <row r="505" spans="19:21" ht="14.65" thickBot="1" x14ac:dyDescent="0.5">
      <c r="S505" s="37">
        <f t="shared" si="15"/>
        <v>10685.33932447641</v>
      </c>
      <c r="U505" s="26">
        <f t="shared" si="14"/>
        <v>18</v>
      </c>
    </row>
    <row r="506" spans="19:21" ht="14.65" thickBot="1" x14ac:dyDescent="0.5">
      <c r="S506" s="37">
        <f t="shared" si="15"/>
        <v>10792.192717721175</v>
      </c>
      <c r="U506" s="26">
        <f t="shared" si="14"/>
        <v>18</v>
      </c>
    </row>
    <row r="507" spans="19:21" ht="14.65" thickBot="1" x14ac:dyDescent="0.5">
      <c r="S507" s="37">
        <f t="shared" si="15"/>
        <v>10900.114644898387</v>
      </c>
      <c r="U507" s="26">
        <f t="shared" si="14"/>
        <v>18</v>
      </c>
    </row>
    <row r="508" spans="19:21" ht="14.65" thickBot="1" x14ac:dyDescent="0.5">
      <c r="S508" s="37">
        <f t="shared" si="15"/>
        <v>11009.115791347371</v>
      </c>
      <c r="U508" s="26">
        <f t="shared" si="14"/>
        <v>18</v>
      </c>
    </row>
    <row r="509" spans="19:21" ht="14.65" thickBot="1" x14ac:dyDescent="0.5">
      <c r="S509" s="37">
        <f t="shared" si="15"/>
        <v>11119.206949260844</v>
      </c>
      <c r="U509" s="26">
        <f t="shared" si="14"/>
        <v>18</v>
      </c>
    </row>
    <row r="510" spans="19:21" ht="14.65" thickBot="1" x14ac:dyDescent="0.5">
      <c r="S510" s="37">
        <f t="shared" si="15"/>
        <v>11230.399018753453</v>
      </c>
      <c r="U510" s="26">
        <f t="shared" si="14"/>
        <v>18</v>
      </c>
    </row>
    <row r="511" spans="19:21" ht="14.65" thickBot="1" x14ac:dyDescent="0.5">
      <c r="S511" s="37">
        <f t="shared" si="15"/>
        <v>11342.703008940987</v>
      </c>
      <c r="U511" s="26">
        <f t="shared" si="14"/>
        <v>18</v>
      </c>
    </row>
    <row r="512" spans="19:21" ht="14.65" thickBot="1" x14ac:dyDescent="0.5">
      <c r="S512" s="37">
        <f t="shared" si="15"/>
        <v>11456.130039030397</v>
      </c>
      <c r="U512" s="26">
        <f t="shared" si="14"/>
        <v>18</v>
      </c>
    </row>
    <row r="513" spans="19:21" ht="14.65" thickBot="1" x14ac:dyDescent="0.5">
      <c r="S513" s="37">
        <f t="shared" si="15"/>
        <v>11570.6913394207</v>
      </c>
      <c r="U513" s="26">
        <f t="shared" si="14"/>
        <v>18</v>
      </c>
    </row>
    <row r="514" spans="19:21" ht="14.65" thickBot="1" x14ac:dyDescent="0.5">
      <c r="S514" s="37">
        <f t="shared" si="15"/>
        <v>11686.398252814908</v>
      </c>
      <c r="U514" s="26">
        <f t="shared" si="14"/>
        <v>18</v>
      </c>
    </row>
    <row r="515" spans="19:21" ht="14.65" thickBot="1" x14ac:dyDescent="0.5">
      <c r="S515" s="37">
        <f t="shared" si="15"/>
        <v>11803.262235343058</v>
      </c>
      <c r="U515" s="26">
        <f t="shared" si="14"/>
        <v>18</v>
      </c>
    </row>
    <row r="516" spans="19:21" ht="14.65" thickBot="1" x14ac:dyDescent="0.5">
      <c r="S516" s="37">
        <f t="shared" si="15"/>
        <v>11921.294857696488</v>
      </c>
      <c r="U516" s="26">
        <f t="shared" si="14"/>
        <v>18</v>
      </c>
    </row>
    <row r="517" spans="19:21" ht="14.65" thickBot="1" x14ac:dyDescent="0.5">
      <c r="S517" s="37">
        <f t="shared" si="15"/>
        <v>12040.507806273454</v>
      </c>
      <c r="U517" s="26">
        <f t="shared" si="14"/>
        <v>18</v>
      </c>
    </row>
    <row r="518" spans="19:21" ht="14.65" thickBot="1" x14ac:dyDescent="0.5">
      <c r="S518" s="37">
        <f t="shared" si="15"/>
        <v>12160.912884336189</v>
      </c>
      <c r="U518" s="26">
        <f t="shared" si="14"/>
        <v>18</v>
      </c>
    </row>
    <row r="519" spans="19:21" ht="14.65" thickBot="1" x14ac:dyDescent="0.5">
      <c r="S519" s="37">
        <f t="shared" si="15"/>
        <v>12282.52201317955</v>
      </c>
      <c r="U519" s="26">
        <f t="shared" si="14"/>
        <v>18</v>
      </c>
    </row>
    <row r="520" spans="19:21" ht="14.65" thickBot="1" x14ac:dyDescent="0.5">
      <c r="S520" s="37">
        <f t="shared" si="15"/>
        <v>12405.347233311346</v>
      </c>
      <c r="U520" s="26">
        <f t="shared" si="14"/>
        <v>18</v>
      </c>
    </row>
    <row r="521" spans="19:21" ht="14.65" thickBot="1" x14ac:dyDescent="0.5">
      <c r="S521" s="37">
        <f t="shared" si="15"/>
        <v>12529.400705644459</v>
      </c>
      <c r="U521" s="26">
        <f t="shared" si="14"/>
        <v>18</v>
      </c>
    </row>
    <row r="522" spans="19:21" ht="14.65" thickBot="1" x14ac:dyDescent="0.5">
      <c r="S522" s="37">
        <f t="shared" si="15"/>
        <v>12654.694712700904</v>
      </c>
      <c r="U522" s="26">
        <f t="shared" si="14"/>
        <v>18</v>
      </c>
    </row>
    <row r="523" spans="19:21" ht="14.65" thickBot="1" x14ac:dyDescent="0.5">
      <c r="S523" s="37">
        <f t="shared" si="15"/>
        <v>12781.241659827914</v>
      </c>
      <c r="U523" s="26">
        <f t="shared" si="14"/>
        <v>18</v>
      </c>
    </row>
    <row r="524" spans="19:21" ht="14.65" thickBot="1" x14ac:dyDescent="0.5">
      <c r="S524" s="37">
        <f t="shared" si="15"/>
        <v>12909.054076426193</v>
      </c>
      <c r="U524" s="26">
        <f t="shared" si="14"/>
        <v>18</v>
      </c>
    </row>
    <row r="525" spans="19:21" ht="14.65" thickBot="1" x14ac:dyDescent="0.5">
      <c r="S525" s="37">
        <f t="shared" si="15"/>
        <v>13038.144617190455</v>
      </c>
      <c r="U525" s="26">
        <f t="shared" si="14"/>
        <v>18</v>
      </c>
    </row>
    <row r="526" spans="19:21" ht="14.65" thickBot="1" x14ac:dyDescent="0.5">
      <c r="S526" s="37">
        <f t="shared" si="15"/>
        <v>13168.52606336236</v>
      </c>
      <c r="U526" s="26">
        <f t="shared" si="14"/>
        <v>18</v>
      </c>
    </row>
    <row r="527" spans="19:21" ht="14.65" thickBot="1" x14ac:dyDescent="0.5">
      <c r="S527" s="37">
        <f t="shared" si="15"/>
        <v>13300.211323995984</v>
      </c>
      <c r="U527" s="26">
        <f t="shared" si="14"/>
        <v>18</v>
      </c>
    </row>
    <row r="528" spans="19:21" ht="14.65" thickBot="1" x14ac:dyDescent="0.5">
      <c r="S528" s="37">
        <f t="shared" si="15"/>
        <v>13433.213437235943</v>
      </c>
      <c r="U528" s="26">
        <f t="shared" si="14"/>
        <v>18</v>
      </c>
    </row>
    <row r="529" spans="19:21" ht="14.65" thickBot="1" x14ac:dyDescent="0.5">
      <c r="S529" s="37">
        <f t="shared" si="15"/>
        <v>13567.545571608303</v>
      </c>
      <c r="U529" s="26">
        <f t="shared" si="14"/>
        <v>18</v>
      </c>
    </row>
    <row r="530" spans="19:21" ht="14.65" thickBot="1" x14ac:dyDescent="0.5">
      <c r="S530" s="37">
        <f t="shared" si="15"/>
        <v>13703.221027324387</v>
      </c>
      <c r="U530" s="26">
        <f t="shared" si="14"/>
        <v>18</v>
      </c>
    </row>
    <row r="531" spans="19:21" ht="14.65" thickBot="1" x14ac:dyDescent="0.5">
      <c r="S531" s="37">
        <f t="shared" si="15"/>
        <v>13840.253237597632</v>
      </c>
      <c r="U531" s="26">
        <f t="shared" ref="U531:U594" si="16">IF(S531&lt;$D$7,-$D$9+$D$10,MIN(S531-$D$7-$D$9+$D$10,($D$8-$D$7)-$D$9+$D$10))</f>
        <v>18</v>
      </c>
    </row>
    <row r="532" spans="19:21" ht="14.65" thickBot="1" x14ac:dyDescent="0.5">
      <c r="S532" s="37">
        <f t="shared" ref="S532:S595" si="17">S531*(1.01)</f>
        <v>13978.655769973608</v>
      </c>
      <c r="U532" s="26">
        <f t="shared" si="16"/>
        <v>18</v>
      </c>
    </row>
    <row r="533" spans="19:21" ht="14.65" thickBot="1" x14ac:dyDescent="0.5">
      <c r="S533" s="37">
        <f t="shared" si="17"/>
        <v>14118.442327673343</v>
      </c>
      <c r="U533" s="26">
        <f t="shared" si="16"/>
        <v>18</v>
      </c>
    </row>
    <row r="534" spans="19:21" ht="14.65" thickBot="1" x14ac:dyDescent="0.5">
      <c r="S534" s="37">
        <f t="shared" si="17"/>
        <v>14259.626750950078</v>
      </c>
      <c r="U534" s="26">
        <f t="shared" si="16"/>
        <v>18</v>
      </c>
    </row>
    <row r="535" spans="19:21" ht="14.65" thickBot="1" x14ac:dyDescent="0.5">
      <c r="S535" s="37">
        <f t="shared" si="17"/>
        <v>14402.223018459579</v>
      </c>
      <c r="U535" s="26">
        <f t="shared" si="16"/>
        <v>18</v>
      </c>
    </row>
    <row r="536" spans="19:21" ht="14.65" thickBot="1" x14ac:dyDescent="0.5">
      <c r="S536" s="37">
        <f t="shared" si="17"/>
        <v>14546.245248644174</v>
      </c>
      <c r="U536" s="26">
        <f t="shared" si="16"/>
        <v>18</v>
      </c>
    </row>
    <row r="537" spans="19:21" ht="14.65" thickBot="1" x14ac:dyDescent="0.5">
      <c r="S537" s="37">
        <f t="shared" si="17"/>
        <v>14691.707701130616</v>
      </c>
      <c r="U537" s="26">
        <f t="shared" si="16"/>
        <v>18</v>
      </c>
    </row>
    <row r="538" spans="19:21" ht="14.65" thickBot="1" x14ac:dyDescent="0.5">
      <c r="S538" s="37">
        <f t="shared" si="17"/>
        <v>14838.624778141922</v>
      </c>
      <c r="U538" s="26">
        <f t="shared" si="16"/>
        <v>18</v>
      </c>
    </row>
    <row r="539" spans="19:21" ht="14.65" thickBot="1" x14ac:dyDescent="0.5">
      <c r="S539" s="37">
        <f t="shared" si="17"/>
        <v>14987.011025923342</v>
      </c>
      <c r="U539" s="26">
        <f t="shared" si="16"/>
        <v>18</v>
      </c>
    </row>
    <row r="540" spans="19:21" ht="14.65" thickBot="1" x14ac:dyDescent="0.5">
      <c r="S540" s="37">
        <f t="shared" si="17"/>
        <v>15136.881136182576</v>
      </c>
      <c r="U540" s="26">
        <f t="shared" si="16"/>
        <v>18</v>
      </c>
    </row>
    <row r="541" spans="19:21" ht="14.65" thickBot="1" x14ac:dyDescent="0.5">
      <c r="S541" s="37">
        <f t="shared" si="17"/>
        <v>15288.249947544402</v>
      </c>
      <c r="U541" s="26">
        <f t="shared" si="16"/>
        <v>18</v>
      </c>
    </row>
    <row r="542" spans="19:21" ht="14.65" thickBot="1" x14ac:dyDescent="0.5">
      <c r="S542" s="37">
        <f t="shared" si="17"/>
        <v>15441.132447019847</v>
      </c>
      <c r="U542" s="26">
        <f t="shared" si="16"/>
        <v>18</v>
      </c>
    </row>
    <row r="543" spans="19:21" ht="14.65" thickBot="1" x14ac:dyDescent="0.5">
      <c r="S543" s="37">
        <f t="shared" si="17"/>
        <v>15595.543771490045</v>
      </c>
      <c r="U543" s="26">
        <f t="shared" si="16"/>
        <v>18</v>
      </c>
    </row>
    <row r="544" spans="19:21" ht="14.65" thickBot="1" x14ac:dyDescent="0.5">
      <c r="S544" s="37">
        <f t="shared" si="17"/>
        <v>15751.499209204945</v>
      </c>
      <c r="U544" s="26">
        <f t="shared" si="16"/>
        <v>18</v>
      </c>
    </row>
    <row r="545" spans="19:21" ht="14.65" thickBot="1" x14ac:dyDescent="0.5">
      <c r="S545" s="37">
        <f t="shared" si="17"/>
        <v>15909.014201296995</v>
      </c>
      <c r="U545" s="26">
        <f t="shared" si="16"/>
        <v>18</v>
      </c>
    </row>
    <row r="546" spans="19:21" ht="14.65" thickBot="1" x14ac:dyDescent="0.5">
      <c r="S546" s="37">
        <f t="shared" si="17"/>
        <v>16068.104343309966</v>
      </c>
      <c r="U546" s="26">
        <f t="shared" si="16"/>
        <v>18</v>
      </c>
    </row>
    <row r="547" spans="19:21" ht="14.65" thickBot="1" x14ac:dyDescent="0.5">
      <c r="S547" s="37">
        <f t="shared" si="17"/>
        <v>16228.785386743066</v>
      </c>
      <c r="U547" s="26">
        <f t="shared" si="16"/>
        <v>18</v>
      </c>
    </row>
    <row r="548" spans="19:21" ht="14.65" thickBot="1" x14ac:dyDescent="0.5">
      <c r="S548" s="37">
        <f t="shared" si="17"/>
        <v>16391.073240610498</v>
      </c>
      <c r="U548" s="26">
        <f t="shared" si="16"/>
        <v>18</v>
      </c>
    </row>
    <row r="549" spans="19:21" ht="14.65" thickBot="1" x14ac:dyDescent="0.5">
      <c r="S549" s="37">
        <f t="shared" si="17"/>
        <v>16554.983973016602</v>
      </c>
      <c r="U549" s="26">
        <f t="shared" si="16"/>
        <v>18</v>
      </c>
    </row>
    <row r="550" spans="19:21" ht="14.65" thickBot="1" x14ac:dyDescent="0.5">
      <c r="S550" s="37">
        <f t="shared" si="17"/>
        <v>16720.533812746769</v>
      </c>
      <c r="U550" s="26">
        <f t="shared" si="16"/>
        <v>18</v>
      </c>
    </row>
    <row r="551" spans="19:21" ht="14.65" thickBot="1" x14ac:dyDescent="0.5">
      <c r="S551" s="37">
        <f t="shared" si="17"/>
        <v>16887.739150874237</v>
      </c>
      <c r="U551" s="26">
        <f t="shared" si="16"/>
        <v>18</v>
      </c>
    </row>
    <row r="552" spans="19:21" ht="14.65" thickBot="1" x14ac:dyDescent="0.5">
      <c r="S552" s="37">
        <f t="shared" si="17"/>
        <v>17056.616542382981</v>
      </c>
      <c r="U552" s="26">
        <f t="shared" si="16"/>
        <v>18</v>
      </c>
    </row>
    <row r="553" spans="19:21" ht="14.65" thickBot="1" x14ac:dyDescent="0.5">
      <c r="S553" s="37">
        <f t="shared" si="17"/>
        <v>17227.182707806809</v>
      </c>
      <c r="U553" s="26">
        <f t="shared" si="16"/>
        <v>18</v>
      </c>
    </row>
    <row r="554" spans="19:21" ht="14.65" thickBot="1" x14ac:dyDescent="0.5">
      <c r="S554" s="37">
        <f t="shared" si="17"/>
        <v>17399.454534884877</v>
      </c>
      <c r="U554" s="26">
        <f t="shared" si="16"/>
        <v>18</v>
      </c>
    </row>
    <row r="555" spans="19:21" ht="14.65" thickBot="1" x14ac:dyDescent="0.5">
      <c r="S555" s="37">
        <f t="shared" si="17"/>
        <v>17573.449080233724</v>
      </c>
      <c r="U555" s="26">
        <f t="shared" si="16"/>
        <v>18</v>
      </c>
    </row>
    <row r="556" spans="19:21" ht="14.65" thickBot="1" x14ac:dyDescent="0.5">
      <c r="S556" s="37">
        <f t="shared" si="17"/>
        <v>17749.183571036061</v>
      </c>
      <c r="U556" s="26">
        <f t="shared" si="16"/>
        <v>18</v>
      </c>
    </row>
    <row r="557" spans="19:21" ht="14.65" thickBot="1" x14ac:dyDescent="0.5">
      <c r="S557" s="37">
        <f t="shared" si="17"/>
        <v>17926.675406746421</v>
      </c>
      <c r="U557" s="26">
        <f t="shared" si="16"/>
        <v>18</v>
      </c>
    </row>
    <row r="558" spans="19:21" ht="14.65" thickBot="1" x14ac:dyDescent="0.5">
      <c r="S558" s="37">
        <f t="shared" si="17"/>
        <v>18105.942160813884</v>
      </c>
      <c r="U558" s="26">
        <f t="shared" si="16"/>
        <v>18</v>
      </c>
    </row>
    <row r="559" spans="19:21" ht="14.65" thickBot="1" x14ac:dyDescent="0.5">
      <c r="S559" s="37">
        <f t="shared" si="17"/>
        <v>18287.001582422021</v>
      </c>
      <c r="U559" s="26">
        <f t="shared" si="16"/>
        <v>18</v>
      </c>
    </row>
    <row r="560" spans="19:21" ht="14.65" thickBot="1" x14ac:dyDescent="0.5">
      <c r="S560" s="37">
        <f t="shared" si="17"/>
        <v>18469.871598246242</v>
      </c>
      <c r="U560" s="26">
        <f t="shared" si="16"/>
        <v>18</v>
      </c>
    </row>
    <row r="561" spans="19:21" ht="14.65" thickBot="1" x14ac:dyDescent="0.5">
      <c r="S561" s="37">
        <f t="shared" si="17"/>
        <v>18654.570314228706</v>
      </c>
      <c r="U561" s="26">
        <f t="shared" si="16"/>
        <v>18</v>
      </c>
    </row>
    <row r="562" spans="19:21" ht="14.65" thickBot="1" x14ac:dyDescent="0.5">
      <c r="S562" s="37">
        <f t="shared" si="17"/>
        <v>18841.116017370994</v>
      </c>
      <c r="U562" s="26">
        <f t="shared" si="16"/>
        <v>18</v>
      </c>
    </row>
    <row r="563" spans="19:21" ht="14.65" thickBot="1" x14ac:dyDescent="0.5">
      <c r="S563" s="37">
        <f t="shared" si="17"/>
        <v>19029.527177544704</v>
      </c>
      <c r="U563" s="26">
        <f t="shared" si="16"/>
        <v>18</v>
      </c>
    </row>
    <row r="564" spans="19:21" ht="14.65" thickBot="1" x14ac:dyDescent="0.5">
      <c r="S564" s="37">
        <f t="shared" si="17"/>
        <v>19219.822449320152</v>
      </c>
      <c r="U564" s="26">
        <f t="shared" si="16"/>
        <v>18</v>
      </c>
    </row>
    <row r="565" spans="19:21" ht="14.65" thickBot="1" x14ac:dyDescent="0.5">
      <c r="S565" s="37">
        <f t="shared" si="17"/>
        <v>19412.020673813353</v>
      </c>
      <c r="U565" s="26">
        <f t="shared" si="16"/>
        <v>18</v>
      </c>
    </row>
    <row r="566" spans="19:21" ht="14.65" thickBot="1" x14ac:dyDescent="0.5">
      <c r="S566" s="37">
        <f t="shared" si="17"/>
        <v>19606.140880551487</v>
      </c>
      <c r="U566" s="26">
        <f t="shared" si="16"/>
        <v>18</v>
      </c>
    </row>
    <row r="567" spans="19:21" ht="14.65" thickBot="1" x14ac:dyDescent="0.5">
      <c r="S567" s="37">
        <f t="shared" si="17"/>
        <v>19802.202289357003</v>
      </c>
      <c r="U567" s="26">
        <f t="shared" si="16"/>
        <v>18</v>
      </c>
    </row>
    <row r="568" spans="19:21" ht="14.65" thickBot="1" x14ac:dyDescent="0.5">
      <c r="S568" s="37">
        <f t="shared" si="17"/>
        <v>20000.224312250572</v>
      </c>
      <c r="U568" s="26">
        <f t="shared" si="16"/>
        <v>18</v>
      </c>
    </row>
    <row r="569" spans="19:21" ht="14.65" thickBot="1" x14ac:dyDescent="0.5">
      <c r="S569" s="37">
        <f t="shared" si="17"/>
        <v>20200.226555373076</v>
      </c>
      <c r="U569" s="26">
        <f t="shared" si="16"/>
        <v>18</v>
      </c>
    </row>
    <row r="570" spans="19:21" ht="14.65" thickBot="1" x14ac:dyDescent="0.5">
      <c r="S570" s="37">
        <f t="shared" si="17"/>
        <v>20402.228820926808</v>
      </c>
      <c r="U570" s="26">
        <f t="shared" si="16"/>
        <v>18</v>
      </c>
    </row>
    <row r="571" spans="19:21" ht="14.65" thickBot="1" x14ac:dyDescent="0.5">
      <c r="S571" s="37">
        <f t="shared" si="17"/>
        <v>20606.251109136076</v>
      </c>
      <c r="U571" s="26">
        <f t="shared" si="16"/>
        <v>18</v>
      </c>
    </row>
    <row r="572" spans="19:21" ht="14.65" thickBot="1" x14ac:dyDescent="0.5">
      <c r="S572" s="37">
        <f t="shared" si="17"/>
        <v>20812.313620227436</v>
      </c>
      <c r="U572" s="26">
        <f t="shared" si="16"/>
        <v>18</v>
      </c>
    </row>
    <row r="573" spans="19:21" ht="14.65" thickBot="1" x14ac:dyDescent="0.5">
      <c r="S573" s="37">
        <f t="shared" si="17"/>
        <v>21020.43675642971</v>
      </c>
      <c r="U573" s="26">
        <f t="shared" si="16"/>
        <v>18</v>
      </c>
    </row>
    <row r="574" spans="19:21" ht="14.65" thickBot="1" x14ac:dyDescent="0.5">
      <c r="S574" s="37">
        <f t="shared" si="17"/>
        <v>21230.641123994006</v>
      </c>
      <c r="U574" s="26">
        <f t="shared" si="16"/>
        <v>18</v>
      </c>
    </row>
    <row r="575" spans="19:21" ht="14.65" thickBot="1" x14ac:dyDescent="0.5">
      <c r="S575" s="37">
        <f t="shared" si="17"/>
        <v>21442.947535233947</v>
      </c>
      <c r="U575" s="26">
        <f t="shared" si="16"/>
        <v>18</v>
      </c>
    </row>
    <row r="576" spans="19:21" ht="14.65" thickBot="1" x14ac:dyDescent="0.5">
      <c r="S576" s="37">
        <f t="shared" si="17"/>
        <v>21657.377010586286</v>
      </c>
      <c r="U576" s="26">
        <f t="shared" si="16"/>
        <v>18</v>
      </c>
    </row>
    <row r="577" spans="19:21" ht="14.65" thickBot="1" x14ac:dyDescent="0.5">
      <c r="S577" s="37">
        <f t="shared" si="17"/>
        <v>21873.95078069215</v>
      </c>
      <c r="U577" s="26">
        <f t="shared" si="16"/>
        <v>18</v>
      </c>
    </row>
    <row r="578" spans="19:21" ht="14.65" thickBot="1" x14ac:dyDescent="0.5">
      <c r="S578" s="37">
        <f t="shared" si="17"/>
        <v>22092.69028849907</v>
      </c>
      <c r="U578" s="26">
        <f t="shared" si="16"/>
        <v>18</v>
      </c>
    </row>
    <row r="579" spans="19:21" ht="14.65" thickBot="1" x14ac:dyDescent="0.5">
      <c r="S579" s="37">
        <f t="shared" si="17"/>
        <v>22313.617191384063</v>
      </c>
      <c r="U579" s="26">
        <f t="shared" si="16"/>
        <v>18</v>
      </c>
    </row>
    <row r="580" spans="19:21" ht="14.65" thickBot="1" x14ac:dyDescent="0.5">
      <c r="S580" s="37">
        <f t="shared" si="17"/>
        <v>22536.753363297903</v>
      </c>
      <c r="U580" s="26">
        <f t="shared" si="16"/>
        <v>18</v>
      </c>
    </row>
    <row r="581" spans="19:21" ht="14.65" thickBot="1" x14ac:dyDescent="0.5">
      <c r="S581" s="37">
        <f t="shared" si="17"/>
        <v>22762.120896930883</v>
      </c>
      <c r="U581" s="26">
        <f t="shared" si="16"/>
        <v>18</v>
      </c>
    </row>
    <row r="582" spans="19:21" ht="14.65" thickBot="1" x14ac:dyDescent="0.5">
      <c r="S582" s="37">
        <f t="shared" si="17"/>
        <v>22989.742105900194</v>
      </c>
      <c r="U582" s="26">
        <f t="shared" si="16"/>
        <v>18</v>
      </c>
    </row>
    <row r="583" spans="19:21" ht="14.65" thickBot="1" x14ac:dyDescent="0.5">
      <c r="S583" s="37">
        <f t="shared" si="17"/>
        <v>23219.639526959196</v>
      </c>
      <c r="U583" s="26">
        <f t="shared" si="16"/>
        <v>18</v>
      </c>
    </row>
    <row r="584" spans="19:21" ht="14.65" thickBot="1" x14ac:dyDescent="0.5">
      <c r="S584" s="37">
        <f t="shared" si="17"/>
        <v>23451.835922228787</v>
      </c>
      <c r="U584" s="26">
        <f t="shared" si="16"/>
        <v>18</v>
      </c>
    </row>
    <row r="585" spans="19:21" ht="14.65" thickBot="1" x14ac:dyDescent="0.5">
      <c r="S585" s="37">
        <f t="shared" si="17"/>
        <v>23686.354281451077</v>
      </c>
      <c r="U585" s="26">
        <f t="shared" si="16"/>
        <v>18</v>
      </c>
    </row>
    <row r="586" spans="19:21" ht="14.65" thickBot="1" x14ac:dyDescent="0.5">
      <c r="S586" s="37">
        <f t="shared" si="17"/>
        <v>23923.217824265586</v>
      </c>
      <c r="U586" s="26">
        <f t="shared" si="16"/>
        <v>18</v>
      </c>
    </row>
    <row r="587" spans="19:21" ht="14.65" thickBot="1" x14ac:dyDescent="0.5">
      <c r="S587" s="37">
        <f t="shared" si="17"/>
        <v>24162.450002508242</v>
      </c>
      <c r="U587" s="26">
        <f t="shared" si="16"/>
        <v>18</v>
      </c>
    </row>
    <row r="588" spans="19:21" ht="14.65" thickBot="1" x14ac:dyDescent="0.5">
      <c r="S588" s="37">
        <f t="shared" si="17"/>
        <v>24404.074502533324</v>
      </c>
      <c r="U588" s="26">
        <f t="shared" si="16"/>
        <v>18</v>
      </c>
    </row>
    <row r="589" spans="19:21" ht="14.65" thickBot="1" x14ac:dyDescent="0.5">
      <c r="S589" s="37">
        <f t="shared" si="17"/>
        <v>24648.115247558657</v>
      </c>
      <c r="U589" s="26">
        <f t="shared" si="16"/>
        <v>18</v>
      </c>
    </row>
    <row r="590" spans="19:21" ht="14.65" thickBot="1" x14ac:dyDescent="0.5">
      <c r="S590" s="37">
        <f t="shared" si="17"/>
        <v>24894.596400034243</v>
      </c>
      <c r="U590" s="26">
        <f t="shared" si="16"/>
        <v>18</v>
      </c>
    </row>
    <row r="591" spans="19:21" ht="14.65" thickBot="1" x14ac:dyDescent="0.5">
      <c r="S591" s="37">
        <f t="shared" si="17"/>
        <v>25143.542364034587</v>
      </c>
      <c r="U591" s="26">
        <f t="shared" si="16"/>
        <v>18</v>
      </c>
    </row>
    <row r="592" spans="19:21" ht="14.65" thickBot="1" x14ac:dyDescent="0.5">
      <c r="S592" s="37">
        <f t="shared" si="17"/>
        <v>25394.977787674932</v>
      </c>
      <c r="U592" s="26">
        <f t="shared" si="16"/>
        <v>18</v>
      </c>
    </row>
    <row r="593" spans="19:21" ht="14.65" thickBot="1" x14ac:dyDescent="0.5">
      <c r="S593" s="37">
        <f t="shared" si="17"/>
        <v>25648.927565551683</v>
      </c>
      <c r="U593" s="26">
        <f t="shared" si="16"/>
        <v>18</v>
      </c>
    </row>
    <row r="594" spans="19:21" ht="14.65" thickBot="1" x14ac:dyDescent="0.5">
      <c r="S594" s="37">
        <f t="shared" si="17"/>
        <v>25905.416841207199</v>
      </c>
      <c r="U594" s="26">
        <f t="shared" si="16"/>
        <v>18</v>
      </c>
    </row>
    <row r="595" spans="19:21" ht="14.65" thickBot="1" x14ac:dyDescent="0.5">
      <c r="S595" s="37">
        <f t="shared" si="17"/>
        <v>26164.471009619272</v>
      </c>
      <c r="U595" s="26">
        <f t="shared" ref="U595:U658" si="18">IF(S595&lt;$D$7,-$D$9+$D$10,MIN(S595-$D$7-$D$9+$D$10,($D$8-$D$7)-$D$9+$D$10))</f>
        <v>18</v>
      </c>
    </row>
    <row r="596" spans="19:21" ht="14.65" thickBot="1" x14ac:dyDescent="0.5">
      <c r="S596" s="37">
        <f t="shared" ref="S596:S659" si="19">S595*(1.01)</f>
        <v>26426.115719715464</v>
      </c>
      <c r="U596" s="26">
        <f t="shared" si="18"/>
        <v>18</v>
      </c>
    </row>
    <row r="597" spans="19:21" ht="14.65" thickBot="1" x14ac:dyDescent="0.5">
      <c r="S597" s="37">
        <f t="shared" si="19"/>
        <v>26690.376876912618</v>
      </c>
      <c r="U597" s="26">
        <f t="shared" si="18"/>
        <v>18</v>
      </c>
    </row>
    <row r="598" spans="19:21" ht="14.65" thickBot="1" x14ac:dyDescent="0.5">
      <c r="S598" s="37">
        <f t="shared" si="19"/>
        <v>26957.280645681745</v>
      </c>
      <c r="U598" s="26">
        <f t="shared" si="18"/>
        <v>18</v>
      </c>
    </row>
    <row r="599" spans="19:21" ht="14.65" thickBot="1" x14ac:dyDescent="0.5">
      <c r="S599" s="37">
        <f t="shared" si="19"/>
        <v>27226.853452138563</v>
      </c>
      <c r="U599" s="26">
        <f t="shared" si="18"/>
        <v>18</v>
      </c>
    </row>
    <row r="600" spans="19:21" ht="14.65" thickBot="1" x14ac:dyDescent="0.5">
      <c r="S600" s="37">
        <f t="shared" si="19"/>
        <v>27499.121986659949</v>
      </c>
      <c r="U600" s="26">
        <f t="shared" si="18"/>
        <v>18</v>
      </c>
    </row>
    <row r="601" spans="19:21" ht="14.65" thickBot="1" x14ac:dyDescent="0.5">
      <c r="S601" s="37">
        <f t="shared" si="19"/>
        <v>27774.113206526548</v>
      </c>
      <c r="U601" s="26">
        <f t="shared" si="18"/>
        <v>18</v>
      </c>
    </row>
    <row r="602" spans="19:21" ht="14.65" thickBot="1" x14ac:dyDescent="0.5">
      <c r="S602" s="37">
        <f t="shared" si="19"/>
        <v>28051.854338591813</v>
      </c>
      <c r="U602" s="26">
        <f t="shared" si="18"/>
        <v>18</v>
      </c>
    </row>
    <row r="603" spans="19:21" ht="14.65" thickBot="1" x14ac:dyDescent="0.5">
      <c r="S603" s="37">
        <f t="shared" si="19"/>
        <v>28332.372881977732</v>
      </c>
      <c r="U603" s="26">
        <f t="shared" si="18"/>
        <v>18</v>
      </c>
    </row>
    <row r="604" spans="19:21" ht="14.65" thickBot="1" x14ac:dyDescent="0.5">
      <c r="S604" s="37">
        <f t="shared" si="19"/>
        <v>28615.696610797509</v>
      </c>
      <c r="U604" s="26">
        <f t="shared" si="18"/>
        <v>18</v>
      </c>
    </row>
    <row r="605" spans="19:21" ht="14.65" thickBot="1" x14ac:dyDescent="0.5">
      <c r="S605" s="37">
        <f t="shared" si="19"/>
        <v>28901.853576905483</v>
      </c>
      <c r="U605" s="26">
        <f t="shared" si="18"/>
        <v>18</v>
      </c>
    </row>
    <row r="606" spans="19:21" ht="14.65" thickBot="1" x14ac:dyDescent="0.5">
      <c r="S606" s="37">
        <f t="shared" si="19"/>
        <v>29190.872112674537</v>
      </c>
      <c r="U606" s="26">
        <f t="shared" si="18"/>
        <v>18</v>
      </c>
    </row>
    <row r="607" spans="19:21" ht="14.65" thickBot="1" x14ac:dyDescent="0.5">
      <c r="S607" s="37">
        <f t="shared" si="19"/>
        <v>29482.780833801284</v>
      </c>
      <c r="U607" s="26">
        <f t="shared" si="18"/>
        <v>18</v>
      </c>
    </row>
    <row r="608" spans="19:21" ht="14.65" thickBot="1" x14ac:dyDescent="0.5">
      <c r="S608" s="37">
        <f t="shared" si="19"/>
        <v>29777.608642139297</v>
      </c>
      <c r="U608" s="26">
        <f t="shared" si="18"/>
        <v>18</v>
      </c>
    </row>
    <row r="609" spans="19:21" ht="14.65" thickBot="1" x14ac:dyDescent="0.5">
      <c r="S609" s="37">
        <f t="shared" si="19"/>
        <v>30075.38472856069</v>
      </c>
      <c r="U609" s="26">
        <f t="shared" si="18"/>
        <v>18</v>
      </c>
    </row>
    <row r="610" spans="19:21" ht="14.65" thickBot="1" x14ac:dyDescent="0.5">
      <c r="S610" s="37">
        <f t="shared" si="19"/>
        <v>30376.138575846297</v>
      </c>
      <c r="U610" s="26">
        <f t="shared" si="18"/>
        <v>18</v>
      </c>
    </row>
    <row r="611" spans="19:21" ht="14.65" thickBot="1" x14ac:dyDescent="0.5">
      <c r="S611" s="37">
        <f t="shared" si="19"/>
        <v>30679.899961604759</v>
      </c>
      <c r="U611" s="26">
        <f t="shared" si="18"/>
        <v>18</v>
      </c>
    </row>
    <row r="612" spans="19:21" ht="14.65" thickBot="1" x14ac:dyDescent="0.5">
      <c r="S612" s="37">
        <f t="shared" si="19"/>
        <v>30986.698961220805</v>
      </c>
      <c r="U612" s="26">
        <f t="shared" si="18"/>
        <v>18</v>
      </c>
    </row>
    <row r="613" spans="19:21" ht="14.65" thickBot="1" x14ac:dyDescent="0.5">
      <c r="S613" s="37">
        <f t="shared" si="19"/>
        <v>31296.565950833014</v>
      </c>
      <c r="U613" s="26">
        <f t="shared" si="18"/>
        <v>18</v>
      </c>
    </row>
    <row r="614" spans="19:21" ht="14.65" thickBot="1" x14ac:dyDescent="0.5">
      <c r="S614" s="37">
        <f t="shared" si="19"/>
        <v>31609.531610341342</v>
      </c>
      <c r="U614" s="26">
        <f t="shared" si="18"/>
        <v>18</v>
      </c>
    </row>
    <row r="615" spans="19:21" ht="14.65" thickBot="1" x14ac:dyDescent="0.5">
      <c r="S615" s="37">
        <f t="shared" si="19"/>
        <v>31925.626926444755</v>
      </c>
      <c r="U615" s="26">
        <f t="shared" si="18"/>
        <v>18</v>
      </c>
    </row>
    <row r="616" spans="19:21" ht="14.65" thickBot="1" x14ac:dyDescent="0.5">
      <c r="S616" s="37">
        <f t="shared" si="19"/>
        <v>32244.883195709201</v>
      </c>
      <c r="U616" s="26">
        <f t="shared" si="18"/>
        <v>18</v>
      </c>
    </row>
    <row r="617" spans="19:21" ht="14.65" thickBot="1" x14ac:dyDescent="0.5">
      <c r="S617" s="37">
        <f t="shared" si="19"/>
        <v>32567.332027666293</v>
      </c>
      <c r="U617" s="26">
        <f t="shared" si="18"/>
        <v>18</v>
      </c>
    </row>
    <row r="618" spans="19:21" ht="14.65" thickBot="1" x14ac:dyDescent="0.5">
      <c r="S618" s="37">
        <f t="shared" si="19"/>
        <v>32893.005347942955</v>
      </c>
      <c r="U618" s="26">
        <f t="shared" si="18"/>
        <v>18</v>
      </c>
    </row>
    <row r="619" spans="19:21" ht="14.65" thickBot="1" x14ac:dyDescent="0.5">
      <c r="S619" s="37">
        <f t="shared" si="19"/>
        <v>33221.935401422386</v>
      </c>
      <c r="U619" s="26">
        <f t="shared" si="18"/>
        <v>18</v>
      </c>
    </row>
    <row r="620" spans="19:21" ht="14.65" thickBot="1" x14ac:dyDescent="0.5">
      <c r="S620" s="37">
        <f t="shared" si="19"/>
        <v>33554.154755436612</v>
      </c>
      <c r="U620" s="26">
        <f t="shared" si="18"/>
        <v>18</v>
      </c>
    </row>
    <row r="621" spans="19:21" ht="14.65" thickBot="1" x14ac:dyDescent="0.5">
      <c r="S621" s="37">
        <f t="shared" si="19"/>
        <v>33889.696302990975</v>
      </c>
      <c r="U621" s="26">
        <f t="shared" si="18"/>
        <v>18</v>
      </c>
    </row>
    <row r="622" spans="19:21" ht="14.65" thickBot="1" x14ac:dyDescent="0.5">
      <c r="S622" s="37">
        <f t="shared" si="19"/>
        <v>34228.593266020885</v>
      </c>
      <c r="U622" s="26">
        <f t="shared" si="18"/>
        <v>18</v>
      </c>
    </row>
    <row r="623" spans="19:21" ht="14.65" thickBot="1" x14ac:dyDescent="0.5">
      <c r="S623" s="37">
        <f t="shared" si="19"/>
        <v>34570.879198681097</v>
      </c>
      <c r="U623" s="26">
        <f t="shared" si="18"/>
        <v>18</v>
      </c>
    </row>
    <row r="624" spans="19:21" ht="14.65" thickBot="1" x14ac:dyDescent="0.5">
      <c r="S624" s="37">
        <f t="shared" si="19"/>
        <v>34916.587990667911</v>
      </c>
      <c r="U624" s="26">
        <f t="shared" si="18"/>
        <v>18</v>
      </c>
    </row>
    <row r="625" spans="19:21" ht="14.65" thickBot="1" x14ac:dyDescent="0.5">
      <c r="S625" s="37">
        <f t="shared" si="19"/>
        <v>35265.75387057459</v>
      </c>
      <c r="U625" s="26">
        <f t="shared" si="18"/>
        <v>18</v>
      </c>
    </row>
    <row r="626" spans="19:21" ht="14.65" thickBot="1" x14ac:dyDescent="0.5">
      <c r="S626" s="37">
        <f t="shared" si="19"/>
        <v>35618.411409280336</v>
      </c>
      <c r="U626" s="26">
        <f t="shared" si="18"/>
        <v>18</v>
      </c>
    </row>
    <row r="627" spans="19:21" ht="14.65" thickBot="1" x14ac:dyDescent="0.5">
      <c r="S627" s="37">
        <f t="shared" si="19"/>
        <v>35974.595523373137</v>
      </c>
      <c r="U627" s="26">
        <f t="shared" si="18"/>
        <v>18</v>
      </c>
    </row>
    <row r="628" spans="19:21" ht="14.65" thickBot="1" x14ac:dyDescent="0.5">
      <c r="S628" s="37">
        <f t="shared" si="19"/>
        <v>36334.341478606868</v>
      </c>
      <c r="U628" s="26">
        <f t="shared" si="18"/>
        <v>18</v>
      </c>
    </row>
    <row r="629" spans="19:21" ht="14.65" thickBot="1" x14ac:dyDescent="0.5">
      <c r="S629" s="37">
        <f t="shared" si="19"/>
        <v>36697.684893392936</v>
      </c>
      <c r="U629" s="26">
        <f t="shared" si="18"/>
        <v>18</v>
      </c>
    </row>
    <row r="630" spans="19:21" ht="14.65" thickBot="1" x14ac:dyDescent="0.5">
      <c r="S630" s="37">
        <f t="shared" si="19"/>
        <v>37064.661742326869</v>
      </c>
      <c r="U630" s="26">
        <f t="shared" si="18"/>
        <v>18</v>
      </c>
    </row>
    <row r="631" spans="19:21" ht="14.65" thickBot="1" x14ac:dyDescent="0.5">
      <c r="S631" s="37">
        <f t="shared" si="19"/>
        <v>37435.308359750139</v>
      </c>
      <c r="U631" s="26">
        <f t="shared" si="18"/>
        <v>18</v>
      </c>
    </row>
    <row r="632" spans="19:21" ht="14.65" thickBot="1" x14ac:dyDescent="0.5">
      <c r="S632" s="37">
        <f t="shared" si="19"/>
        <v>37809.661443347642</v>
      </c>
      <c r="U632" s="26">
        <f t="shared" si="18"/>
        <v>18</v>
      </c>
    </row>
    <row r="633" spans="19:21" ht="14.65" thickBot="1" x14ac:dyDescent="0.5">
      <c r="S633" s="37">
        <f t="shared" si="19"/>
        <v>38187.758057781117</v>
      </c>
      <c r="U633" s="26">
        <f t="shared" si="18"/>
        <v>18</v>
      </c>
    </row>
    <row r="634" spans="19:21" ht="14.65" thickBot="1" x14ac:dyDescent="0.5">
      <c r="S634" s="37">
        <f t="shared" si="19"/>
        <v>38569.63563835893</v>
      </c>
      <c r="U634" s="26">
        <f t="shared" si="18"/>
        <v>18</v>
      </c>
    </row>
    <row r="635" spans="19:21" ht="14.65" thickBot="1" x14ac:dyDescent="0.5">
      <c r="S635" s="37">
        <f t="shared" si="19"/>
        <v>38955.331994742519</v>
      </c>
      <c r="U635" s="26">
        <f t="shared" si="18"/>
        <v>18</v>
      </c>
    </row>
    <row r="636" spans="19:21" ht="14.65" thickBot="1" x14ac:dyDescent="0.5">
      <c r="S636" s="37">
        <f t="shared" si="19"/>
        <v>39344.885314689942</v>
      </c>
      <c r="U636" s="26">
        <f t="shared" si="18"/>
        <v>18</v>
      </c>
    </row>
    <row r="637" spans="19:21" ht="14.65" thickBot="1" x14ac:dyDescent="0.5">
      <c r="S637" s="37">
        <f t="shared" si="19"/>
        <v>39738.334167836845</v>
      </c>
      <c r="U637" s="26">
        <f t="shared" si="18"/>
        <v>18</v>
      </c>
    </row>
    <row r="638" spans="19:21" ht="14.65" thickBot="1" x14ac:dyDescent="0.5">
      <c r="S638" s="37">
        <f t="shared" si="19"/>
        <v>40135.717509515212</v>
      </c>
      <c r="U638" s="26">
        <f t="shared" si="18"/>
        <v>18</v>
      </c>
    </row>
    <row r="639" spans="19:21" ht="14.65" thickBot="1" x14ac:dyDescent="0.5">
      <c r="S639" s="37">
        <f t="shared" si="19"/>
        <v>40537.074684610365</v>
      </c>
      <c r="U639" s="26">
        <f t="shared" si="18"/>
        <v>18</v>
      </c>
    </row>
    <row r="640" spans="19:21" ht="14.65" thickBot="1" x14ac:dyDescent="0.5">
      <c r="S640" s="37">
        <f t="shared" si="19"/>
        <v>40942.445431456472</v>
      </c>
      <c r="U640" s="26">
        <f t="shared" si="18"/>
        <v>18</v>
      </c>
    </row>
    <row r="641" spans="19:21" ht="14.65" thickBot="1" x14ac:dyDescent="0.5">
      <c r="S641" s="37">
        <f t="shared" si="19"/>
        <v>41351.869885771041</v>
      </c>
      <c r="U641" s="26">
        <f t="shared" si="18"/>
        <v>18</v>
      </c>
    </row>
    <row r="642" spans="19:21" ht="14.65" thickBot="1" x14ac:dyDescent="0.5">
      <c r="S642" s="37">
        <f t="shared" si="19"/>
        <v>41765.388584628752</v>
      </c>
      <c r="U642" s="26">
        <f t="shared" si="18"/>
        <v>18</v>
      </c>
    </row>
    <row r="643" spans="19:21" ht="14.65" thickBot="1" x14ac:dyDescent="0.5">
      <c r="S643" s="37">
        <f t="shared" si="19"/>
        <v>42183.04247047504</v>
      </c>
      <c r="U643" s="26">
        <f t="shared" si="18"/>
        <v>18</v>
      </c>
    </row>
    <row r="644" spans="19:21" ht="14.65" thickBot="1" x14ac:dyDescent="0.5">
      <c r="S644" s="37">
        <f t="shared" si="19"/>
        <v>42604.872895179789</v>
      </c>
      <c r="U644" s="26">
        <f t="shared" si="18"/>
        <v>18</v>
      </c>
    </row>
    <row r="645" spans="19:21" ht="14.65" thickBot="1" x14ac:dyDescent="0.5">
      <c r="S645" s="37">
        <f t="shared" si="19"/>
        <v>43030.921624131588</v>
      </c>
      <c r="U645" s="26">
        <f t="shared" si="18"/>
        <v>18</v>
      </c>
    </row>
    <row r="646" spans="19:21" ht="14.65" thickBot="1" x14ac:dyDescent="0.5">
      <c r="S646" s="37">
        <f t="shared" si="19"/>
        <v>43461.230840372904</v>
      </c>
      <c r="U646" s="26">
        <f t="shared" si="18"/>
        <v>18</v>
      </c>
    </row>
    <row r="647" spans="19:21" ht="14.65" thickBot="1" x14ac:dyDescent="0.5">
      <c r="S647" s="37">
        <f t="shared" si="19"/>
        <v>43895.843148776636</v>
      </c>
      <c r="U647" s="26">
        <f t="shared" si="18"/>
        <v>18</v>
      </c>
    </row>
    <row r="648" spans="19:21" ht="14.65" thickBot="1" x14ac:dyDescent="0.5">
      <c r="S648" s="37">
        <f t="shared" si="19"/>
        <v>44334.8015802644</v>
      </c>
      <c r="U648" s="26">
        <f t="shared" si="18"/>
        <v>18</v>
      </c>
    </row>
    <row r="649" spans="19:21" ht="14.65" thickBot="1" x14ac:dyDescent="0.5">
      <c r="S649" s="37">
        <f t="shared" si="19"/>
        <v>44778.149596067044</v>
      </c>
      <c r="U649" s="26">
        <f t="shared" si="18"/>
        <v>18</v>
      </c>
    </row>
    <row r="650" spans="19:21" ht="14.65" thickBot="1" x14ac:dyDescent="0.5">
      <c r="S650" s="37">
        <f t="shared" si="19"/>
        <v>45225.931092027713</v>
      </c>
      <c r="U650" s="26">
        <f t="shared" si="18"/>
        <v>18</v>
      </c>
    </row>
    <row r="651" spans="19:21" ht="14.65" thickBot="1" x14ac:dyDescent="0.5">
      <c r="S651" s="37">
        <f t="shared" si="19"/>
        <v>45678.190402947992</v>
      </c>
      <c r="U651" s="26">
        <f t="shared" si="18"/>
        <v>18</v>
      </c>
    </row>
    <row r="652" spans="19:21" ht="14.65" thickBot="1" x14ac:dyDescent="0.5">
      <c r="S652" s="37">
        <f t="shared" si="19"/>
        <v>46134.97230697747</v>
      </c>
      <c r="U652" s="26">
        <f t="shared" si="18"/>
        <v>18</v>
      </c>
    </row>
    <row r="653" spans="19:21" ht="14.65" thickBot="1" x14ac:dyDescent="0.5">
      <c r="S653" s="37">
        <f t="shared" si="19"/>
        <v>46596.322030047246</v>
      </c>
      <c r="U653" s="26">
        <f t="shared" si="18"/>
        <v>18</v>
      </c>
    </row>
    <row r="654" spans="19:21" ht="14.65" thickBot="1" x14ac:dyDescent="0.5">
      <c r="S654" s="37">
        <f t="shared" si="19"/>
        <v>47062.285250347719</v>
      </c>
      <c r="U654" s="26">
        <f t="shared" si="18"/>
        <v>18</v>
      </c>
    </row>
    <row r="655" spans="19:21" ht="14.65" thickBot="1" x14ac:dyDescent="0.5">
      <c r="S655" s="37">
        <f t="shared" si="19"/>
        <v>47532.908102851194</v>
      </c>
      <c r="U655" s="26">
        <f t="shared" si="18"/>
        <v>18</v>
      </c>
    </row>
    <row r="656" spans="19:21" ht="14.65" thickBot="1" x14ac:dyDescent="0.5">
      <c r="S656" s="37">
        <f t="shared" si="19"/>
        <v>48008.237183879704</v>
      </c>
      <c r="U656" s="26">
        <f t="shared" si="18"/>
        <v>18</v>
      </c>
    </row>
    <row r="657" spans="19:21" ht="14.65" thickBot="1" x14ac:dyDescent="0.5">
      <c r="S657" s="37">
        <f t="shared" si="19"/>
        <v>48488.319555718503</v>
      </c>
      <c r="U657" s="26">
        <f t="shared" si="18"/>
        <v>18</v>
      </c>
    </row>
    <row r="658" spans="19:21" ht="14.65" thickBot="1" x14ac:dyDescent="0.5">
      <c r="S658" s="37">
        <f t="shared" si="19"/>
        <v>48973.20275127569</v>
      </c>
      <c r="U658" s="26">
        <f t="shared" si="18"/>
        <v>18</v>
      </c>
    </row>
    <row r="659" spans="19:21" ht="14.65" thickBot="1" x14ac:dyDescent="0.5">
      <c r="S659" s="37">
        <f t="shared" si="19"/>
        <v>49462.934778788447</v>
      </c>
      <c r="U659" s="26">
        <f t="shared" ref="U659:U722" si="20">IF(S659&lt;$D$7,-$D$9+$D$10,MIN(S659-$D$7-$D$9+$D$10,($D$8-$D$7)-$D$9+$D$10))</f>
        <v>18</v>
      </c>
    </row>
    <row r="660" spans="19:21" ht="14.65" thickBot="1" x14ac:dyDescent="0.5">
      <c r="S660" s="37">
        <f t="shared" ref="S660:S723" si="21">S659*(1.01)</f>
        <v>49957.564126576333</v>
      </c>
      <c r="U660" s="26">
        <f t="shared" si="20"/>
        <v>18</v>
      </c>
    </row>
    <row r="661" spans="19:21" ht="14.65" thickBot="1" x14ac:dyDescent="0.5">
      <c r="S661" s="37">
        <f t="shared" si="21"/>
        <v>50457.139767842098</v>
      </c>
      <c r="U661" s="26">
        <f t="shared" si="20"/>
        <v>18</v>
      </c>
    </row>
    <row r="662" spans="19:21" ht="14.65" thickBot="1" x14ac:dyDescent="0.5">
      <c r="S662" s="37">
        <f t="shared" si="21"/>
        <v>50961.711165520523</v>
      </c>
      <c r="U662" s="26">
        <f t="shared" si="20"/>
        <v>18</v>
      </c>
    </row>
    <row r="663" spans="19:21" ht="14.65" thickBot="1" x14ac:dyDescent="0.5">
      <c r="S663" s="37">
        <f t="shared" si="21"/>
        <v>51471.328277175729</v>
      </c>
      <c r="U663" s="26">
        <f t="shared" si="20"/>
        <v>18</v>
      </c>
    </row>
    <row r="664" spans="19:21" ht="14.65" thickBot="1" x14ac:dyDescent="0.5">
      <c r="S664" s="37">
        <f t="shared" si="21"/>
        <v>51986.041559947487</v>
      </c>
      <c r="U664" s="26">
        <f t="shared" si="20"/>
        <v>18</v>
      </c>
    </row>
    <row r="665" spans="19:21" ht="14.65" thickBot="1" x14ac:dyDescent="0.5">
      <c r="S665" s="37">
        <f t="shared" si="21"/>
        <v>52505.901975546964</v>
      </c>
      <c r="U665" s="26">
        <f t="shared" si="20"/>
        <v>18</v>
      </c>
    </row>
    <row r="666" spans="19:21" ht="14.65" thickBot="1" x14ac:dyDescent="0.5">
      <c r="S666" s="37">
        <f t="shared" si="21"/>
        <v>53030.960995302434</v>
      </c>
      <c r="U666" s="26">
        <f t="shared" si="20"/>
        <v>18</v>
      </c>
    </row>
    <row r="667" spans="19:21" ht="14.65" thickBot="1" x14ac:dyDescent="0.5">
      <c r="S667" s="37">
        <f t="shared" si="21"/>
        <v>53561.270605255457</v>
      </c>
      <c r="U667" s="26">
        <f t="shared" si="20"/>
        <v>18</v>
      </c>
    </row>
    <row r="668" spans="19:21" ht="14.65" thickBot="1" x14ac:dyDescent="0.5">
      <c r="S668" s="37">
        <f t="shared" si="21"/>
        <v>54096.883311308011</v>
      </c>
      <c r="U668" s="26">
        <f t="shared" si="20"/>
        <v>18</v>
      </c>
    </row>
    <row r="669" spans="19:21" ht="14.65" thickBot="1" x14ac:dyDescent="0.5">
      <c r="S669" s="37">
        <f t="shared" si="21"/>
        <v>54637.852144421093</v>
      </c>
      <c r="U669" s="26">
        <f t="shared" si="20"/>
        <v>18</v>
      </c>
    </row>
    <row r="670" spans="19:21" ht="14.65" thickBot="1" x14ac:dyDescent="0.5">
      <c r="S670" s="37">
        <f t="shared" si="21"/>
        <v>55184.230665865303</v>
      </c>
      <c r="U670" s="26">
        <f t="shared" si="20"/>
        <v>18</v>
      </c>
    </row>
    <row r="671" spans="19:21" ht="14.65" thickBot="1" x14ac:dyDescent="0.5">
      <c r="S671" s="37">
        <f t="shared" si="21"/>
        <v>55736.072972523958</v>
      </c>
      <c r="U671" s="26">
        <f t="shared" si="20"/>
        <v>18</v>
      </c>
    </row>
    <row r="672" spans="19:21" ht="14.65" thickBot="1" x14ac:dyDescent="0.5">
      <c r="S672" s="37">
        <f t="shared" si="21"/>
        <v>56293.433702249196</v>
      </c>
      <c r="U672" s="26">
        <f t="shared" si="20"/>
        <v>18</v>
      </c>
    </row>
    <row r="673" spans="19:21" ht="14.65" thickBot="1" x14ac:dyDescent="0.5">
      <c r="S673" s="37">
        <f t="shared" si="21"/>
        <v>56856.368039271692</v>
      </c>
      <c r="U673" s="26">
        <f t="shared" si="20"/>
        <v>18</v>
      </c>
    </row>
    <row r="674" spans="19:21" ht="14.65" thickBot="1" x14ac:dyDescent="0.5">
      <c r="S674" s="37">
        <f t="shared" si="21"/>
        <v>57424.931719664412</v>
      </c>
      <c r="U674" s="26">
        <f t="shared" si="20"/>
        <v>18</v>
      </c>
    </row>
    <row r="675" spans="19:21" ht="14.65" thickBot="1" x14ac:dyDescent="0.5">
      <c r="S675" s="37">
        <f t="shared" si="21"/>
        <v>57999.181036861053</v>
      </c>
      <c r="U675" s="26">
        <f t="shared" si="20"/>
        <v>18</v>
      </c>
    </row>
    <row r="676" spans="19:21" ht="14.65" thickBot="1" x14ac:dyDescent="0.5">
      <c r="S676" s="37">
        <f t="shared" si="21"/>
        <v>58579.172847229667</v>
      </c>
      <c r="U676" s="26">
        <f t="shared" si="20"/>
        <v>18</v>
      </c>
    </row>
    <row r="677" spans="19:21" ht="14.65" thickBot="1" x14ac:dyDescent="0.5">
      <c r="S677" s="37">
        <f t="shared" si="21"/>
        <v>59164.964575701968</v>
      </c>
      <c r="U677" s="26">
        <f t="shared" si="20"/>
        <v>18</v>
      </c>
    </row>
    <row r="678" spans="19:21" ht="14.65" thickBot="1" x14ac:dyDescent="0.5">
      <c r="S678" s="37">
        <f t="shared" si="21"/>
        <v>59756.614221458985</v>
      </c>
      <c r="U678" s="26">
        <f t="shared" si="20"/>
        <v>18</v>
      </c>
    </row>
    <row r="679" spans="19:21" ht="14.65" thickBot="1" x14ac:dyDescent="0.5">
      <c r="S679" s="37">
        <f t="shared" si="21"/>
        <v>60354.180363673579</v>
      </c>
      <c r="U679" s="26">
        <f t="shared" si="20"/>
        <v>18</v>
      </c>
    </row>
    <row r="680" spans="19:21" ht="14.65" thickBot="1" x14ac:dyDescent="0.5">
      <c r="S680" s="37">
        <f t="shared" si="21"/>
        <v>60957.722167310312</v>
      </c>
      <c r="U680" s="26">
        <f t="shared" si="20"/>
        <v>18</v>
      </c>
    </row>
    <row r="681" spans="19:21" ht="14.65" thickBot="1" x14ac:dyDescent="0.5">
      <c r="S681" s="37">
        <f t="shared" si="21"/>
        <v>61567.299388983418</v>
      </c>
      <c r="U681" s="26">
        <f t="shared" si="20"/>
        <v>18</v>
      </c>
    </row>
    <row r="682" spans="19:21" ht="14.65" thickBot="1" x14ac:dyDescent="0.5">
      <c r="S682" s="37">
        <f t="shared" si="21"/>
        <v>62182.972382873253</v>
      </c>
      <c r="U682" s="26">
        <f t="shared" si="20"/>
        <v>18</v>
      </c>
    </row>
    <row r="683" spans="19:21" ht="14.65" thickBot="1" x14ac:dyDescent="0.5">
      <c r="S683" s="37">
        <f t="shared" si="21"/>
        <v>62804.802106701987</v>
      </c>
      <c r="U683" s="26">
        <f t="shared" si="20"/>
        <v>18</v>
      </c>
    </row>
    <row r="684" spans="19:21" ht="14.65" thickBot="1" x14ac:dyDescent="0.5">
      <c r="S684" s="37">
        <f t="shared" si="21"/>
        <v>63432.850127769008</v>
      </c>
      <c r="U684" s="26">
        <f t="shared" si="20"/>
        <v>18</v>
      </c>
    </row>
    <row r="685" spans="19:21" ht="14.65" thickBot="1" x14ac:dyDescent="0.5">
      <c r="S685" s="37">
        <f t="shared" si="21"/>
        <v>64067.178629046699</v>
      </c>
      <c r="U685" s="26">
        <f t="shared" si="20"/>
        <v>18</v>
      </c>
    </row>
    <row r="686" spans="19:21" ht="14.65" thickBot="1" x14ac:dyDescent="0.5">
      <c r="S686" s="37">
        <f t="shared" si="21"/>
        <v>64707.850415337169</v>
      </c>
      <c r="U686" s="26">
        <f t="shared" si="20"/>
        <v>18</v>
      </c>
    </row>
    <row r="687" spans="19:21" ht="14.65" thickBot="1" x14ac:dyDescent="0.5">
      <c r="S687" s="37">
        <f t="shared" si="21"/>
        <v>65354.928919490543</v>
      </c>
      <c r="U687" s="26">
        <f t="shared" si="20"/>
        <v>18</v>
      </c>
    </row>
    <row r="688" spans="19:21" ht="14.65" thickBot="1" x14ac:dyDescent="0.5">
      <c r="S688" s="37">
        <f t="shared" si="21"/>
        <v>66008.478208685454</v>
      </c>
      <c r="U688" s="26">
        <f t="shared" si="20"/>
        <v>18</v>
      </c>
    </row>
    <row r="689" spans="19:21" ht="14.65" thickBot="1" x14ac:dyDescent="0.5">
      <c r="S689" s="37">
        <f t="shared" si="21"/>
        <v>66668.562990772305</v>
      </c>
      <c r="U689" s="26">
        <f t="shared" si="20"/>
        <v>18</v>
      </c>
    </row>
    <row r="690" spans="19:21" ht="14.65" thickBot="1" x14ac:dyDescent="0.5">
      <c r="S690" s="37">
        <f t="shared" si="21"/>
        <v>67335.248620680024</v>
      </c>
      <c r="U690" s="26">
        <f t="shared" si="20"/>
        <v>18</v>
      </c>
    </row>
    <row r="691" spans="19:21" ht="14.65" thickBot="1" x14ac:dyDescent="0.5">
      <c r="S691" s="37">
        <f t="shared" si="21"/>
        <v>68008.601106886825</v>
      </c>
      <c r="U691" s="26">
        <f t="shared" si="20"/>
        <v>18</v>
      </c>
    </row>
    <row r="692" spans="19:21" ht="14.65" thickBot="1" x14ac:dyDescent="0.5">
      <c r="S692" s="37">
        <f t="shared" si="21"/>
        <v>68688.687117955691</v>
      </c>
      <c r="U692" s="26">
        <f t="shared" si="20"/>
        <v>18</v>
      </c>
    </row>
    <row r="693" spans="19:21" ht="14.65" thickBot="1" x14ac:dyDescent="0.5">
      <c r="S693" s="37">
        <f t="shared" si="21"/>
        <v>69375.573989135242</v>
      </c>
      <c r="U693" s="26">
        <f t="shared" si="20"/>
        <v>18</v>
      </c>
    </row>
    <row r="694" spans="19:21" ht="14.65" thickBot="1" x14ac:dyDescent="0.5">
      <c r="S694" s="37">
        <f t="shared" si="21"/>
        <v>70069.329729026591</v>
      </c>
      <c r="U694" s="26">
        <f t="shared" si="20"/>
        <v>18</v>
      </c>
    </row>
    <row r="695" spans="19:21" ht="14.65" thickBot="1" x14ac:dyDescent="0.5">
      <c r="S695" s="37">
        <f t="shared" si="21"/>
        <v>70770.023026316863</v>
      </c>
      <c r="U695" s="26">
        <f t="shared" si="20"/>
        <v>18</v>
      </c>
    </row>
    <row r="696" spans="19:21" ht="14.65" thickBot="1" x14ac:dyDescent="0.5">
      <c r="S696" s="37">
        <f t="shared" si="21"/>
        <v>71477.723256580037</v>
      </c>
      <c r="U696" s="26">
        <f t="shared" si="20"/>
        <v>18</v>
      </c>
    </row>
    <row r="697" spans="19:21" ht="14.65" thickBot="1" x14ac:dyDescent="0.5">
      <c r="S697" s="37">
        <f t="shared" si="21"/>
        <v>72192.500489145837</v>
      </c>
      <c r="U697" s="26">
        <f t="shared" si="20"/>
        <v>18</v>
      </c>
    </row>
    <row r="698" spans="19:21" ht="14.65" thickBot="1" x14ac:dyDescent="0.5">
      <c r="S698" s="37">
        <f t="shared" si="21"/>
        <v>72914.425494037292</v>
      </c>
      <c r="U698" s="26">
        <f t="shared" si="20"/>
        <v>18</v>
      </c>
    </row>
    <row r="699" spans="19:21" ht="14.65" thickBot="1" x14ac:dyDescent="0.5">
      <c r="S699" s="37">
        <f t="shared" si="21"/>
        <v>73643.569748977665</v>
      </c>
      <c r="U699" s="26">
        <f t="shared" si="20"/>
        <v>18</v>
      </c>
    </row>
    <row r="700" spans="19:21" ht="14.65" thickBot="1" x14ac:dyDescent="0.5">
      <c r="S700" s="37">
        <f t="shared" si="21"/>
        <v>74380.005446467447</v>
      </c>
      <c r="U700" s="26">
        <f t="shared" si="20"/>
        <v>18</v>
      </c>
    </row>
    <row r="701" spans="19:21" ht="14.65" thickBot="1" x14ac:dyDescent="0.5">
      <c r="S701" s="37">
        <f t="shared" si="21"/>
        <v>75123.805500932125</v>
      </c>
      <c r="U701" s="26">
        <f t="shared" si="20"/>
        <v>18</v>
      </c>
    </row>
    <row r="702" spans="19:21" ht="14.65" thickBot="1" x14ac:dyDescent="0.5">
      <c r="S702" s="37">
        <f t="shared" si="21"/>
        <v>75875.043555941447</v>
      </c>
      <c r="U702" s="26">
        <f t="shared" si="20"/>
        <v>18</v>
      </c>
    </row>
    <row r="703" spans="19:21" ht="14.65" thickBot="1" x14ac:dyDescent="0.5">
      <c r="S703" s="37">
        <f t="shared" si="21"/>
        <v>76633.793991500861</v>
      </c>
      <c r="U703" s="26">
        <f t="shared" si="20"/>
        <v>18</v>
      </c>
    </row>
    <row r="704" spans="19:21" ht="14.65" thickBot="1" x14ac:dyDescent="0.5">
      <c r="S704" s="37">
        <f t="shared" si="21"/>
        <v>77400.131931415875</v>
      </c>
      <c r="U704" s="26">
        <f t="shared" si="20"/>
        <v>18</v>
      </c>
    </row>
    <row r="705" spans="19:21" ht="14.65" thickBot="1" x14ac:dyDescent="0.5">
      <c r="S705" s="37">
        <f t="shared" si="21"/>
        <v>78174.133250730039</v>
      </c>
      <c r="U705" s="26">
        <f t="shared" si="20"/>
        <v>18</v>
      </c>
    </row>
    <row r="706" spans="19:21" ht="14.65" thickBot="1" x14ac:dyDescent="0.5">
      <c r="S706" s="37">
        <f t="shared" si="21"/>
        <v>78955.874583237339</v>
      </c>
      <c r="U706" s="26">
        <f t="shared" si="20"/>
        <v>18</v>
      </c>
    </row>
    <row r="707" spans="19:21" ht="14.65" thickBot="1" x14ac:dyDescent="0.5">
      <c r="S707" s="37">
        <f t="shared" si="21"/>
        <v>79745.43332906971</v>
      </c>
      <c r="U707" s="26">
        <f t="shared" si="20"/>
        <v>18</v>
      </c>
    </row>
    <row r="708" spans="19:21" ht="14.65" thickBot="1" x14ac:dyDescent="0.5">
      <c r="S708" s="37">
        <f t="shared" si="21"/>
        <v>80542.887662360401</v>
      </c>
      <c r="U708" s="26">
        <f t="shared" si="20"/>
        <v>18</v>
      </c>
    </row>
    <row r="709" spans="19:21" ht="14.65" thickBot="1" x14ac:dyDescent="0.5">
      <c r="S709" s="37">
        <f t="shared" si="21"/>
        <v>81348.316538984</v>
      </c>
      <c r="U709" s="26">
        <f t="shared" si="20"/>
        <v>18</v>
      </c>
    </row>
    <row r="710" spans="19:21" ht="14.65" thickBot="1" x14ac:dyDescent="0.5">
      <c r="S710" s="37">
        <f t="shared" si="21"/>
        <v>82161.799704373843</v>
      </c>
      <c r="U710" s="26">
        <f t="shared" si="20"/>
        <v>18</v>
      </c>
    </row>
    <row r="711" spans="19:21" ht="14.65" thickBot="1" x14ac:dyDescent="0.5">
      <c r="S711" s="37">
        <f t="shared" si="21"/>
        <v>82983.41770141758</v>
      </c>
      <c r="U711" s="26">
        <f t="shared" si="20"/>
        <v>18</v>
      </c>
    </row>
    <row r="712" spans="19:21" ht="14.65" thickBot="1" x14ac:dyDescent="0.5">
      <c r="S712" s="37">
        <f t="shared" si="21"/>
        <v>83813.251878431751</v>
      </c>
      <c r="U712" s="26">
        <f t="shared" si="20"/>
        <v>18</v>
      </c>
    </row>
    <row r="713" spans="19:21" ht="14.65" thickBot="1" x14ac:dyDescent="0.5">
      <c r="S713" s="37">
        <f t="shared" si="21"/>
        <v>84651.384397216068</v>
      </c>
      <c r="U713" s="26">
        <f t="shared" si="20"/>
        <v>18</v>
      </c>
    </row>
    <row r="714" spans="19:21" ht="14.65" thickBot="1" x14ac:dyDescent="0.5">
      <c r="S714" s="37">
        <f t="shared" si="21"/>
        <v>85497.898241188232</v>
      </c>
      <c r="U714" s="26">
        <f t="shared" si="20"/>
        <v>18</v>
      </c>
    </row>
    <row r="715" spans="19:21" ht="14.65" thickBot="1" x14ac:dyDescent="0.5">
      <c r="S715" s="37">
        <f t="shared" si="21"/>
        <v>86352.87722360011</v>
      </c>
      <c r="U715" s="26">
        <f t="shared" si="20"/>
        <v>18</v>
      </c>
    </row>
    <row r="716" spans="19:21" ht="14.65" thickBot="1" x14ac:dyDescent="0.5">
      <c r="S716" s="37">
        <f t="shared" si="21"/>
        <v>87216.405995836118</v>
      </c>
      <c r="U716" s="26">
        <f t="shared" si="20"/>
        <v>18</v>
      </c>
    </row>
    <row r="717" spans="19:21" ht="14.65" thickBot="1" x14ac:dyDescent="0.5">
      <c r="S717" s="37">
        <f t="shared" si="21"/>
        <v>88088.57005579448</v>
      </c>
      <c r="U717" s="26">
        <f t="shared" si="20"/>
        <v>18</v>
      </c>
    </row>
    <row r="718" spans="19:21" ht="14.65" thickBot="1" x14ac:dyDescent="0.5">
      <c r="S718" s="37">
        <f t="shared" si="21"/>
        <v>88969.455756352429</v>
      </c>
      <c r="U718" s="26">
        <f t="shared" si="20"/>
        <v>18</v>
      </c>
    </row>
    <row r="719" spans="19:21" ht="14.65" thickBot="1" x14ac:dyDescent="0.5">
      <c r="S719" s="37">
        <f t="shared" si="21"/>
        <v>89859.150313915947</v>
      </c>
      <c r="U719" s="26">
        <f t="shared" si="20"/>
        <v>18</v>
      </c>
    </row>
    <row r="720" spans="19:21" ht="14.65" thickBot="1" x14ac:dyDescent="0.5">
      <c r="S720" s="37">
        <f t="shared" si="21"/>
        <v>90757.74181705511</v>
      </c>
      <c r="U720" s="26">
        <f t="shared" si="20"/>
        <v>18</v>
      </c>
    </row>
    <row r="721" spans="19:21" ht="14.65" thickBot="1" x14ac:dyDescent="0.5">
      <c r="S721" s="37">
        <f t="shared" si="21"/>
        <v>91665.319235225659</v>
      </c>
      <c r="U721" s="26">
        <f t="shared" si="20"/>
        <v>18</v>
      </c>
    </row>
    <row r="722" spans="19:21" ht="14.65" thickBot="1" x14ac:dyDescent="0.5">
      <c r="S722" s="37">
        <f t="shared" si="21"/>
        <v>92581.972427577915</v>
      </c>
      <c r="U722" s="26">
        <f t="shared" si="20"/>
        <v>18</v>
      </c>
    </row>
    <row r="723" spans="19:21" ht="14.65" thickBot="1" x14ac:dyDescent="0.5">
      <c r="S723" s="37">
        <f t="shared" si="21"/>
        <v>93507.79215185369</v>
      </c>
      <c r="U723" s="26">
        <f t="shared" ref="U723:U786" si="22">IF(S723&lt;$D$7,-$D$9+$D$10,MIN(S723-$D$7-$D$9+$D$10,($D$8-$D$7)-$D$9+$D$10))</f>
        <v>18</v>
      </c>
    </row>
    <row r="724" spans="19:21" ht="14.65" thickBot="1" x14ac:dyDescent="0.5">
      <c r="S724" s="37">
        <f t="shared" ref="S724:S787" si="23">S723*(1.01)</f>
        <v>94442.870073372222</v>
      </c>
      <c r="U724" s="26">
        <f t="shared" si="22"/>
        <v>18</v>
      </c>
    </row>
    <row r="725" spans="19:21" ht="14.65" thickBot="1" x14ac:dyDescent="0.5">
      <c r="S725" s="37">
        <f t="shared" si="23"/>
        <v>95387.298774105948</v>
      </c>
      <c r="U725" s="26">
        <f t="shared" si="22"/>
        <v>18</v>
      </c>
    </row>
    <row r="726" spans="19:21" ht="14.65" thickBot="1" x14ac:dyDescent="0.5">
      <c r="S726" s="37">
        <f t="shared" si="23"/>
        <v>96341.171761847014</v>
      </c>
      <c r="U726" s="26">
        <f t="shared" si="22"/>
        <v>18</v>
      </c>
    </row>
    <row r="727" spans="19:21" ht="14.65" thickBot="1" x14ac:dyDescent="0.5">
      <c r="S727" s="37">
        <f t="shared" si="23"/>
        <v>97304.58347946548</v>
      </c>
      <c r="U727" s="26">
        <f t="shared" si="22"/>
        <v>18</v>
      </c>
    </row>
    <row r="728" spans="19:21" ht="14.65" thickBot="1" x14ac:dyDescent="0.5">
      <c r="S728" s="37">
        <f t="shared" si="23"/>
        <v>98277.629314260135</v>
      </c>
      <c r="U728" s="26">
        <f t="shared" si="22"/>
        <v>18</v>
      </c>
    </row>
    <row r="729" spans="19:21" ht="14.65" thickBot="1" x14ac:dyDescent="0.5">
      <c r="S729" s="37">
        <f t="shared" si="23"/>
        <v>99260.405607402732</v>
      </c>
      <c r="U729" s="26">
        <f t="shared" si="22"/>
        <v>18</v>
      </c>
    </row>
    <row r="730" spans="19:21" ht="14.65" thickBot="1" x14ac:dyDescent="0.5">
      <c r="S730" s="37">
        <f t="shared" si="23"/>
        <v>100253.00966347675</v>
      </c>
      <c r="U730" s="26">
        <f t="shared" si="22"/>
        <v>18</v>
      </c>
    </row>
    <row r="731" spans="19:21" ht="14.65" thickBot="1" x14ac:dyDescent="0.5">
      <c r="S731" s="37">
        <f t="shared" si="23"/>
        <v>101255.53976011153</v>
      </c>
      <c r="U731" s="26">
        <f t="shared" si="22"/>
        <v>18</v>
      </c>
    </row>
    <row r="732" spans="19:21" ht="14.65" thickBot="1" x14ac:dyDescent="0.5">
      <c r="S732" s="37">
        <f t="shared" si="23"/>
        <v>102268.09515771264</v>
      </c>
      <c r="U732" s="26">
        <f t="shared" si="22"/>
        <v>18</v>
      </c>
    </row>
    <row r="733" spans="19:21" ht="14.65" thickBot="1" x14ac:dyDescent="0.5">
      <c r="S733" s="37">
        <f t="shared" si="23"/>
        <v>103290.77610928977</v>
      </c>
      <c r="U733" s="26">
        <f t="shared" si="22"/>
        <v>18</v>
      </c>
    </row>
    <row r="734" spans="19:21" ht="14.65" thickBot="1" x14ac:dyDescent="0.5">
      <c r="S734" s="37">
        <f t="shared" si="23"/>
        <v>104323.68387038267</v>
      </c>
      <c r="U734" s="26">
        <f t="shared" si="22"/>
        <v>18</v>
      </c>
    </row>
    <row r="735" spans="19:21" ht="14.65" thickBot="1" x14ac:dyDescent="0.5">
      <c r="S735" s="37">
        <f t="shared" si="23"/>
        <v>105366.92070908649</v>
      </c>
      <c r="U735" s="26">
        <f t="shared" si="22"/>
        <v>18</v>
      </c>
    </row>
    <row r="736" spans="19:21" ht="14.65" thickBot="1" x14ac:dyDescent="0.5">
      <c r="S736" s="37">
        <f t="shared" si="23"/>
        <v>106420.58991617736</v>
      </c>
      <c r="U736" s="26">
        <f t="shared" si="22"/>
        <v>18</v>
      </c>
    </row>
    <row r="737" spans="19:21" ht="14.65" thickBot="1" x14ac:dyDescent="0.5">
      <c r="S737" s="37">
        <f t="shared" si="23"/>
        <v>107484.79581533914</v>
      </c>
      <c r="U737" s="26">
        <f t="shared" si="22"/>
        <v>18</v>
      </c>
    </row>
    <row r="738" spans="19:21" ht="14.65" thickBot="1" x14ac:dyDescent="0.5">
      <c r="S738" s="37">
        <f t="shared" si="23"/>
        <v>108559.64377349253</v>
      </c>
      <c r="U738" s="26">
        <f t="shared" si="22"/>
        <v>18</v>
      </c>
    </row>
    <row r="739" spans="19:21" ht="14.65" thickBot="1" x14ac:dyDescent="0.5">
      <c r="S739" s="37">
        <f t="shared" si="23"/>
        <v>109645.24021122746</v>
      </c>
      <c r="U739" s="26">
        <f t="shared" si="22"/>
        <v>18</v>
      </c>
    </row>
    <row r="740" spans="19:21" ht="14.65" thickBot="1" x14ac:dyDescent="0.5">
      <c r="S740" s="37">
        <f t="shared" si="23"/>
        <v>110741.69261333974</v>
      </c>
      <c r="U740" s="26">
        <f t="shared" si="22"/>
        <v>18</v>
      </c>
    </row>
    <row r="741" spans="19:21" ht="14.65" thickBot="1" x14ac:dyDescent="0.5">
      <c r="S741" s="37">
        <f t="shared" si="23"/>
        <v>111849.10953947314</v>
      </c>
      <c r="U741" s="26">
        <f t="shared" si="22"/>
        <v>18</v>
      </c>
    </row>
    <row r="742" spans="19:21" ht="14.65" thickBot="1" x14ac:dyDescent="0.5">
      <c r="S742" s="37">
        <f t="shared" si="23"/>
        <v>112967.60063486786</v>
      </c>
      <c r="U742" s="26">
        <f t="shared" si="22"/>
        <v>18</v>
      </c>
    </row>
    <row r="743" spans="19:21" ht="14.65" thickBot="1" x14ac:dyDescent="0.5">
      <c r="S743" s="37">
        <f t="shared" si="23"/>
        <v>114097.27664121654</v>
      </c>
      <c r="U743" s="26">
        <f t="shared" si="22"/>
        <v>18</v>
      </c>
    </row>
    <row r="744" spans="19:21" ht="14.65" thickBot="1" x14ac:dyDescent="0.5">
      <c r="S744" s="37">
        <f t="shared" si="23"/>
        <v>115238.2494076287</v>
      </c>
      <c r="U744" s="26">
        <f t="shared" si="22"/>
        <v>18</v>
      </c>
    </row>
    <row r="745" spans="19:21" ht="14.65" thickBot="1" x14ac:dyDescent="0.5">
      <c r="S745" s="37">
        <f t="shared" si="23"/>
        <v>116390.63190170498</v>
      </c>
      <c r="U745" s="26">
        <f t="shared" si="22"/>
        <v>18</v>
      </c>
    </row>
    <row r="746" spans="19:21" ht="14.65" thickBot="1" x14ac:dyDescent="0.5">
      <c r="S746" s="37">
        <f t="shared" si="23"/>
        <v>117554.53822072204</v>
      </c>
      <c r="U746" s="26">
        <f t="shared" si="22"/>
        <v>18</v>
      </c>
    </row>
    <row r="747" spans="19:21" ht="14.65" thickBot="1" x14ac:dyDescent="0.5">
      <c r="S747" s="37">
        <f t="shared" si="23"/>
        <v>118730.08360292925</v>
      </c>
      <c r="U747" s="26">
        <f t="shared" si="22"/>
        <v>18</v>
      </c>
    </row>
    <row r="748" spans="19:21" ht="14.65" thickBot="1" x14ac:dyDescent="0.5">
      <c r="S748" s="37">
        <f t="shared" si="23"/>
        <v>119917.38443895854</v>
      </c>
      <c r="U748" s="26">
        <f t="shared" si="22"/>
        <v>18</v>
      </c>
    </row>
    <row r="749" spans="19:21" ht="14.65" thickBot="1" x14ac:dyDescent="0.5">
      <c r="S749" s="37">
        <f t="shared" si="23"/>
        <v>121116.55828334813</v>
      </c>
      <c r="U749" s="26">
        <f t="shared" si="22"/>
        <v>18</v>
      </c>
    </row>
    <row r="750" spans="19:21" ht="14.65" thickBot="1" x14ac:dyDescent="0.5">
      <c r="S750" s="37">
        <f t="shared" si="23"/>
        <v>122327.72386618161</v>
      </c>
      <c r="U750" s="26">
        <f t="shared" si="22"/>
        <v>18</v>
      </c>
    </row>
    <row r="751" spans="19:21" ht="14.65" thickBot="1" x14ac:dyDescent="0.5">
      <c r="S751" s="37">
        <f t="shared" si="23"/>
        <v>123551.00110484342</v>
      </c>
      <c r="U751" s="26">
        <f t="shared" si="22"/>
        <v>18</v>
      </c>
    </row>
    <row r="752" spans="19:21" ht="14.65" thickBot="1" x14ac:dyDescent="0.5">
      <c r="S752" s="37">
        <f t="shared" si="23"/>
        <v>124786.51111589186</v>
      </c>
      <c r="U752" s="26">
        <f t="shared" si="22"/>
        <v>18</v>
      </c>
    </row>
    <row r="753" spans="19:21" ht="14.65" thickBot="1" x14ac:dyDescent="0.5">
      <c r="S753" s="37">
        <f t="shared" si="23"/>
        <v>126034.37622705077</v>
      </c>
      <c r="U753" s="26">
        <f t="shared" si="22"/>
        <v>18</v>
      </c>
    </row>
    <row r="754" spans="19:21" ht="14.65" thickBot="1" x14ac:dyDescent="0.5">
      <c r="S754" s="37">
        <f t="shared" si="23"/>
        <v>127294.71998932128</v>
      </c>
      <c r="U754" s="26">
        <f t="shared" si="22"/>
        <v>18</v>
      </c>
    </row>
    <row r="755" spans="19:21" ht="14.65" thickBot="1" x14ac:dyDescent="0.5">
      <c r="S755" s="37">
        <f t="shared" si="23"/>
        <v>128567.6671892145</v>
      </c>
      <c r="U755" s="26">
        <f t="shared" si="22"/>
        <v>18</v>
      </c>
    </row>
    <row r="756" spans="19:21" ht="14.65" thickBot="1" x14ac:dyDescent="0.5">
      <c r="S756" s="37">
        <f t="shared" si="23"/>
        <v>129853.34386110664</v>
      </c>
      <c r="U756" s="26">
        <f t="shared" si="22"/>
        <v>18</v>
      </c>
    </row>
    <row r="757" spans="19:21" ht="14.65" thickBot="1" x14ac:dyDescent="0.5">
      <c r="S757" s="37">
        <f t="shared" si="23"/>
        <v>131151.87729971771</v>
      </c>
      <c r="U757" s="26">
        <f t="shared" si="22"/>
        <v>18</v>
      </c>
    </row>
    <row r="758" spans="19:21" ht="14.65" thickBot="1" x14ac:dyDescent="0.5">
      <c r="S758" s="37">
        <f t="shared" si="23"/>
        <v>132463.39607271488</v>
      </c>
      <c r="U758" s="26">
        <f t="shared" si="22"/>
        <v>18</v>
      </c>
    </row>
    <row r="759" spans="19:21" ht="14.65" thickBot="1" x14ac:dyDescent="0.5">
      <c r="S759" s="37">
        <f t="shared" si="23"/>
        <v>133788.03003344202</v>
      </c>
      <c r="U759" s="26">
        <f t="shared" si="22"/>
        <v>18</v>
      </c>
    </row>
    <row r="760" spans="19:21" ht="14.65" thickBot="1" x14ac:dyDescent="0.5">
      <c r="S760" s="37">
        <f t="shared" si="23"/>
        <v>135125.91033377644</v>
      </c>
      <c r="U760" s="26">
        <f t="shared" si="22"/>
        <v>18</v>
      </c>
    </row>
    <row r="761" spans="19:21" ht="14.65" thickBot="1" x14ac:dyDescent="0.5">
      <c r="S761" s="37">
        <f t="shared" si="23"/>
        <v>136477.16943711421</v>
      </c>
      <c r="U761" s="26">
        <f t="shared" si="22"/>
        <v>18</v>
      </c>
    </row>
    <row r="762" spans="19:21" ht="14.65" thickBot="1" x14ac:dyDescent="0.5">
      <c r="S762" s="37">
        <f t="shared" si="23"/>
        <v>137841.94113148536</v>
      </c>
      <c r="U762" s="26">
        <f t="shared" si="22"/>
        <v>18</v>
      </c>
    </row>
    <row r="763" spans="19:21" ht="14.65" thickBot="1" x14ac:dyDescent="0.5">
      <c r="S763" s="37">
        <f t="shared" si="23"/>
        <v>139220.36054280022</v>
      </c>
      <c r="U763" s="26">
        <f t="shared" si="22"/>
        <v>18</v>
      </c>
    </row>
    <row r="764" spans="19:21" ht="14.65" thickBot="1" x14ac:dyDescent="0.5">
      <c r="S764" s="37">
        <f t="shared" si="23"/>
        <v>140612.56414822824</v>
      </c>
      <c r="U764" s="26">
        <f t="shared" si="22"/>
        <v>18</v>
      </c>
    </row>
    <row r="765" spans="19:21" ht="14.65" thickBot="1" x14ac:dyDescent="0.5">
      <c r="S765" s="37">
        <f t="shared" si="23"/>
        <v>142018.68978971051</v>
      </c>
      <c r="U765" s="26">
        <f t="shared" si="22"/>
        <v>18</v>
      </c>
    </row>
    <row r="766" spans="19:21" ht="14.65" thickBot="1" x14ac:dyDescent="0.5">
      <c r="S766" s="37">
        <f t="shared" si="23"/>
        <v>143438.87668760761</v>
      </c>
      <c r="U766" s="26">
        <f t="shared" si="22"/>
        <v>18</v>
      </c>
    </row>
    <row r="767" spans="19:21" ht="14.65" thickBot="1" x14ac:dyDescent="0.5">
      <c r="S767" s="37">
        <f t="shared" si="23"/>
        <v>144873.26545448368</v>
      </c>
      <c r="U767" s="26">
        <f t="shared" si="22"/>
        <v>18</v>
      </c>
    </row>
    <row r="768" spans="19:21" ht="14.65" thickBot="1" x14ac:dyDescent="0.5">
      <c r="S768" s="37">
        <f t="shared" si="23"/>
        <v>146321.99810902853</v>
      </c>
      <c r="U768" s="26">
        <f t="shared" si="22"/>
        <v>18</v>
      </c>
    </row>
    <row r="769" spans="19:21" ht="14.65" thickBot="1" x14ac:dyDescent="0.5">
      <c r="S769" s="37">
        <f t="shared" si="23"/>
        <v>147785.21809011881</v>
      </c>
      <c r="U769" s="26">
        <f t="shared" si="22"/>
        <v>18</v>
      </c>
    </row>
    <row r="770" spans="19:21" ht="14.65" thickBot="1" x14ac:dyDescent="0.5">
      <c r="S770" s="37">
        <f t="shared" si="23"/>
        <v>149263.07027102</v>
      </c>
      <c r="U770" s="26">
        <f t="shared" si="22"/>
        <v>18</v>
      </c>
    </row>
    <row r="771" spans="19:21" ht="14.65" thickBot="1" x14ac:dyDescent="0.5">
      <c r="S771" s="37">
        <f t="shared" si="23"/>
        <v>150755.70097373021</v>
      </c>
      <c r="U771" s="26">
        <f t="shared" si="22"/>
        <v>18</v>
      </c>
    </row>
    <row r="772" spans="19:21" ht="14.65" thickBot="1" x14ac:dyDescent="0.5">
      <c r="S772" s="37">
        <f t="shared" si="23"/>
        <v>152263.25798346751</v>
      </c>
      <c r="U772" s="26">
        <f t="shared" si="22"/>
        <v>18</v>
      </c>
    </row>
    <row r="773" spans="19:21" ht="14.65" thickBot="1" x14ac:dyDescent="0.5">
      <c r="S773" s="37">
        <f t="shared" si="23"/>
        <v>153785.89056330218</v>
      </c>
      <c r="U773" s="26">
        <f t="shared" si="22"/>
        <v>18</v>
      </c>
    </row>
    <row r="774" spans="19:21" ht="14.65" thickBot="1" x14ac:dyDescent="0.5">
      <c r="S774" s="37">
        <f t="shared" si="23"/>
        <v>155323.74946893519</v>
      </c>
      <c r="U774" s="26">
        <f t="shared" si="22"/>
        <v>18</v>
      </c>
    </row>
    <row r="775" spans="19:21" ht="14.65" thickBot="1" x14ac:dyDescent="0.5">
      <c r="S775" s="37">
        <f t="shared" si="23"/>
        <v>156876.98696362454</v>
      </c>
      <c r="U775" s="26">
        <f t="shared" si="22"/>
        <v>18</v>
      </c>
    </row>
    <row r="776" spans="19:21" ht="14.65" thickBot="1" x14ac:dyDescent="0.5">
      <c r="S776" s="37">
        <f t="shared" si="23"/>
        <v>158445.75683326079</v>
      </c>
      <c r="U776" s="26">
        <f t="shared" si="22"/>
        <v>18</v>
      </c>
    </row>
    <row r="777" spans="19:21" ht="14.65" thickBot="1" x14ac:dyDescent="0.5">
      <c r="S777" s="37">
        <f t="shared" si="23"/>
        <v>160030.2144015934</v>
      </c>
      <c r="U777" s="26">
        <f t="shared" si="22"/>
        <v>18</v>
      </c>
    </row>
    <row r="778" spans="19:21" ht="14.65" thickBot="1" x14ac:dyDescent="0.5">
      <c r="S778" s="37">
        <f t="shared" si="23"/>
        <v>161630.51654560934</v>
      </c>
      <c r="U778" s="26">
        <f t="shared" si="22"/>
        <v>18</v>
      </c>
    </row>
    <row r="779" spans="19:21" ht="14.65" thickBot="1" x14ac:dyDescent="0.5">
      <c r="S779" s="37">
        <f t="shared" si="23"/>
        <v>163246.82171106542</v>
      </c>
      <c r="U779" s="26">
        <f t="shared" si="22"/>
        <v>18</v>
      </c>
    </row>
    <row r="780" spans="19:21" ht="14.65" thickBot="1" x14ac:dyDescent="0.5">
      <c r="S780" s="37">
        <f t="shared" si="23"/>
        <v>164879.28992817609</v>
      </c>
      <c r="U780" s="26">
        <f t="shared" si="22"/>
        <v>18</v>
      </c>
    </row>
    <row r="781" spans="19:21" ht="14.65" thickBot="1" x14ac:dyDescent="0.5">
      <c r="S781" s="37">
        <f t="shared" si="23"/>
        <v>166528.08282745787</v>
      </c>
      <c r="U781" s="26">
        <f t="shared" si="22"/>
        <v>18</v>
      </c>
    </row>
    <row r="782" spans="19:21" ht="14.65" thickBot="1" x14ac:dyDescent="0.5">
      <c r="S782" s="37">
        <f t="shared" si="23"/>
        <v>168193.36365573245</v>
      </c>
      <c r="U782" s="26">
        <f t="shared" si="22"/>
        <v>18</v>
      </c>
    </row>
    <row r="783" spans="19:21" ht="14.65" thickBot="1" x14ac:dyDescent="0.5">
      <c r="S783" s="37">
        <f t="shared" si="23"/>
        <v>169875.29729228979</v>
      </c>
      <c r="U783" s="26">
        <f t="shared" si="22"/>
        <v>18</v>
      </c>
    </row>
    <row r="784" spans="19:21" ht="14.65" thickBot="1" x14ac:dyDescent="0.5">
      <c r="S784" s="37">
        <f t="shared" si="23"/>
        <v>171574.05026521269</v>
      </c>
      <c r="U784" s="26">
        <f t="shared" si="22"/>
        <v>18</v>
      </c>
    </row>
    <row r="785" spans="19:21" ht="14.65" thickBot="1" x14ac:dyDescent="0.5">
      <c r="S785" s="37">
        <f t="shared" si="23"/>
        <v>173289.79076786482</v>
      </c>
      <c r="U785" s="26">
        <f t="shared" si="22"/>
        <v>18</v>
      </c>
    </row>
    <row r="786" spans="19:21" ht="14.65" thickBot="1" x14ac:dyDescent="0.5">
      <c r="S786" s="37">
        <f t="shared" si="23"/>
        <v>175022.68867554347</v>
      </c>
      <c r="U786" s="26">
        <f t="shared" si="22"/>
        <v>18</v>
      </c>
    </row>
    <row r="787" spans="19:21" ht="14.65" thickBot="1" x14ac:dyDescent="0.5">
      <c r="S787" s="37">
        <f t="shared" si="23"/>
        <v>176772.91556229891</v>
      </c>
      <c r="U787" s="26">
        <f t="shared" ref="U787:U850" si="24">IF(S787&lt;$D$7,-$D$9+$D$10,MIN(S787-$D$7-$D$9+$D$10,($D$8-$D$7)-$D$9+$D$10))</f>
        <v>18</v>
      </c>
    </row>
    <row r="788" spans="19:21" ht="14.65" thickBot="1" x14ac:dyDescent="0.5">
      <c r="S788" s="37">
        <f t="shared" ref="S788:S851" si="25">S787*(1.01)</f>
        <v>178540.64471792191</v>
      </c>
      <c r="U788" s="26">
        <f t="shared" si="24"/>
        <v>18</v>
      </c>
    </row>
    <row r="789" spans="19:21" ht="14.65" thickBot="1" x14ac:dyDescent="0.5">
      <c r="S789" s="37">
        <f t="shared" si="25"/>
        <v>180326.05116510112</v>
      </c>
      <c r="U789" s="26">
        <f t="shared" si="24"/>
        <v>18</v>
      </c>
    </row>
    <row r="790" spans="19:21" ht="14.65" thickBot="1" x14ac:dyDescent="0.5">
      <c r="S790" s="37">
        <f t="shared" si="25"/>
        <v>182129.31167675214</v>
      </c>
      <c r="U790" s="26">
        <f t="shared" si="24"/>
        <v>18</v>
      </c>
    </row>
    <row r="791" spans="19:21" ht="14.65" thickBot="1" x14ac:dyDescent="0.5">
      <c r="S791" s="37">
        <f t="shared" si="25"/>
        <v>183950.60479351965</v>
      </c>
      <c r="U791" s="26">
        <f t="shared" si="24"/>
        <v>18</v>
      </c>
    </row>
    <row r="792" spans="19:21" ht="14.65" thickBot="1" x14ac:dyDescent="0.5">
      <c r="S792" s="37">
        <f t="shared" si="25"/>
        <v>185790.11084145485</v>
      </c>
      <c r="U792" s="26">
        <f t="shared" si="24"/>
        <v>18</v>
      </c>
    </row>
    <row r="793" spans="19:21" ht="14.65" thickBot="1" x14ac:dyDescent="0.5">
      <c r="S793" s="37">
        <f t="shared" si="25"/>
        <v>187648.0119498694</v>
      </c>
      <c r="U793" s="26">
        <f t="shared" si="24"/>
        <v>18</v>
      </c>
    </row>
    <row r="794" spans="19:21" ht="14.65" thickBot="1" x14ac:dyDescent="0.5">
      <c r="S794" s="37">
        <f t="shared" si="25"/>
        <v>189524.49206936811</v>
      </c>
      <c r="U794" s="26">
        <f t="shared" si="24"/>
        <v>18</v>
      </c>
    </row>
    <row r="795" spans="19:21" ht="14.65" thickBot="1" x14ac:dyDescent="0.5">
      <c r="S795" s="37">
        <f t="shared" si="25"/>
        <v>191419.73699006179</v>
      </c>
      <c r="U795" s="26">
        <f t="shared" si="24"/>
        <v>18</v>
      </c>
    </row>
    <row r="796" spans="19:21" ht="14.65" thickBot="1" x14ac:dyDescent="0.5">
      <c r="S796" s="37">
        <f t="shared" si="25"/>
        <v>193333.93435996241</v>
      </c>
      <c r="U796" s="26">
        <f t="shared" si="24"/>
        <v>18</v>
      </c>
    </row>
    <row r="797" spans="19:21" ht="14.65" thickBot="1" x14ac:dyDescent="0.5">
      <c r="S797" s="37">
        <f t="shared" si="25"/>
        <v>195267.27370356204</v>
      </c>
      <c r="U797" s="26">
        <f t="shared" si="24"/>
        <v>18</v>
      </c>
    </row>
    <row r="798" spans="19:21" ht="14.65" thickBot="1" x14ac:dyDescent="0.5">
      <c r="S798" s="37">
        <f t="shared" si="25"/>
        <v>197219.94644059765</v>
      </c>
      <c r="U798" s="26">
        <f t="shared" si="24"/>
        <v>18</v>
      </c>
    </row>
    <row r="799" spans="19:21" ht="14.65" thickBot="1" x14ac:dyDescent="0.5">
      <c r="S799" s="37">
        <f t="shared" si="25"/>
        <v>199192.14590500362</v>
      </c>
      <c r="U799" s="26">
        <f t="shared" si="24"/>
        <v>18</v>
      </c>
    </row>
    <row r="800" spans="19:21" ht="14.65" thickBot="1" x14ac:dyDescent="0.5">
      <c r="S800" s="37">
        <f t="shared" si="25"/>
        <v>201184.06736405366</v>
      </c>
      <c r="U800" s="26">
        <f t="shared" si="24"/>
        <v>18</v>
      </c>
    </row>
    <row r="801" spans="19:21" ht="14.65" thickBot="1" x14ac:dyDescent="0.5">
      <c r="S801" s="37">
        <f t="shared" si="25"/>
        <v>203195.9080376942</v>
      </c>
      <c r="U801" s="26">
        <f t="shared" si="24"/>
        <v>18</v>
      </c>
    </row>
    <row r="802" spans="19:21" ht="14.65" thickBot="1" x14ac:dyDescent="0.5">
      <c r="S802" s="37">
        <f t="shared" si="25"/>
        <v>205227.86711807115</v>
      </c>
      <c r="U802" s="26">
        <f t="shared" si="24"/>
        <v>18</v>
      </c>
    </row>
    <row r="803" spans="19:21" ht="14.65" thickBot="1" x14ac:dyDescent="0.5">
      <c r="S803" s="37">
        <f t="shared" si="25"/>
        <v>207280.14578925187</v>
      </c>
      <c r="U803" s="26">
        <f t="shared" si="24"/>
        <v>18</v>
      </c>
    </row>
    <row r="804" spans="19:21" ht="14.65" thickBot="1" x14ac:dyDescent="0.5">
      <c r="S804" s="37">
        <f t="shared" si="25"/>
        <v>209352.94724714439</v>
      </c>
      <c r="U804" s="26">
        <f t="shared" si="24"/>
        <v>18</v>
      </c>
    </row>
    <row r="805" spans="19:21" ht="14.65" thickBot="1" x14ac:dyDescent="0.5">
      <c r="S805" s="37">
        <f t="shared" si="25"/>
        <v>211446.47671961584</v>
      </c>
      <c r="U805" s="26">
        <f t="shared" si="24"/>
        <v>18</v>
      </c>
    </row>
    <row r="806" spans="19:21" ht="14.65" thickBot="1" x14ac:dyDescent="0.5">
      <c r="S806" s="37">
        <f t="shared" si="25"/>
        <v>213560.94148681199</v>
      </c>
      <c r="U806" s="26">
        <f t="shared" si="24"/>
        <v>18</v>
      </c>
    </row>
    <row r="807" spans="19:21" ht="14.65" thickBot="1" x14ac:dyDescent="0.5">
      <c r="S807" s="37">
        <f t="shared" si="25"/>
        <v>215696.55090168011</v>
      </c>
      <c r="U807" s="26">
        <f t="shared" si="24"/>
        <v>18</v>
      </c>
    </row>
    <row r="808" spans="19:21" ht="14.65" thickBot="1" x14ac:dyDescent="0.5">
      <c r="S808" s="37">
        <f t="shared" si="25"/>
        <v>217853.5164106969</v>
      </c>
      <c r="U808" s="26">
        <f t="shared" si="24"/>
        <v>18</v>
      </c>
    </row>
    <row r="809" spans="19:21" ht="14.65" thickBot="1" x14ac:dyDescent="0.5">
      <c r="S809" s="37">
        <f t="shared" si="25"/>
        <v>220032.05157480386</v>
      </c>
      <c r="U809" s="26">
        <f t="shared" si="24"/>
        <v>18</v>
      </c>
    </row>
    <row r="810" spans="19:21" ht="14.65" thickBot="1" x14ac:dyDescent="0.5">
      <c r="S810" s="37">
        <f t="shared" si="25"/>
        <v>222232.37209055189</v>
      </c>
      <c r="U810" s="26">
        <f t="shared" si="24"/>
        <v>18</v>
      </c>
    </row>
    <row r="811" spans="19:21" ht="14.65" thickBot="1" x14ac:dyDescent="0.5">
      <c r="S811" s="37">
        <f t="shared" si="25"/>
        <v>224454.69581145741</v>
      </c>
      <c r="U811" s="26">
        <f t="shared" si="24"/>
        <v>18</v>
      </c>
    </row>
    <row r="812" spans="19:21" ht="14.65" thickBot="1" x14ac:dyDescent="0.5">
      <c r="S812" s="37">
        <f t="shared" si="25"/>
        <v>226699.24276957198</v>
      </c>
      <c r="U812" s="26">
        <f t="shared" si="24"/>
        <v>18</v>
      </c>
    </row>
    <row r="813" spans="19:21" ht="14.65" thickBot="1" x14ac:dyDescent="0.5">
      <c r="S813" s="37">
        <f t="shared" si="25"/>
        <v>228966.2351972677</v>
      </c>
      <c r="U813" s="26">
        <f t="shared" si="24"/>
        <v>18</v>
      </c>
    </row>
    <row r="814" spans="19:21" ht="14.65" thickBot="1" x14ac:dyDescent="0.5">
      <c r="S814" s="37">
        <f t="shared" si="25"/>
        <v>231255.89754924038</v>
      </c>
      <c r="U814" s="26">
        <f t="shared" si="24"/>
        <v>18</v>
      </c>
    </row>
    <row r="815" spans="19:21" ht="14.65" thickBot="1" x14ac:dyDescent="0.5">
      <c r="S815" s="37">
        <f t="shared" si="25"/>
        <v>233568.45652473278</v>
      </c>
      <c r="U815" s="26">
        <f t="shared" si="24"/>
        <v>18</v>
      </c>
    </row>
    <row r="816" spans="19:21" ht="14.65" thickBot="1" x14ac:dyDescent="0.5">
      <c r="S816" s="37">
        <f t="shared" si="25"/>
        <v>235904.14108998011</v>
      </c>
      <c r="U816" s="26">
        <f t="shared" si="24"/>
        <v>18</v>
      </c>
    </row>
    <row r="817" spans="19:21" ht="14.65" thickBot="1" x14ac:dyDescent="0.5">
      <c r="S817" s="37">
        <f t="shared" si="25"/>
        <v>238263.18250087992</v>
      </c>
      <c r="U817" s="26">
        <f t="shared" si="24"/>
        <v>18</v>
      </c>
    </row>
    <row r="818" spans="19:21" ht="14.65" thickBot="1" x14ac:dyDescent="0.5">
      <c r="S818" s="37">
        <f t="shared" si="25"/>
        <v>240645.81432588873</v>
      </c>
      <c r="U818" s="26">
        <f t="shared" si="24"/>
        <v>18</v>
      </c>
    </row>
    <row r="819" spans="19:21" ht="14.65" thickBot="1" x14ac:dyDescent="0.5">
      <c r="S819" s="37">
        <f t="shared" si="25"/>
        <v>243052.27246914763</v>
      </c>
      <c r="U819" s="26">
        <f t="shared" si="24"/>
        <v>18</v>
      </c>
    </row>
    <row r="820" spans="19:21" ht="14.65" thickBot="1" x14ac:dyDescent="0.5">
      <c r="S820" s="37">
        <f t="shared" si="25"/>
        <v>245482.79519383912</v>
      </c>
      <c r="U820" s="26">
        <f t="shared" si="24"/>
        <v>18</v>
      </c>
    </row>
    <row r="821" spans="19:21" ht="14.65" thickBot="1" x14ac:dyDescent="0.5">
      <c r="S821" s="37">
        <f t="shared" si="25"/>
        <v>247937.6231457775</v>
      </c>
      <c r="U821" s="26">
        <f t="shared" si="24"/>
        <v>18</v>
      </c>
    </row>
    <row r="822" spans="19:21" ht="14.65" thickBot="1" x14ac:dyDescent="0.5">
      <c r="S822" s="37">
        <f t="shared" si="25"/>
        <v>250416.99937723528</v>
      </c>
      <c r="U822" s="26">
        <f t="shared" si="24"/>
        <v>18</v>
      </c>
    </row>
    <row r="823" spans="19:21" ht="14.65" thickBot="1" x14ac:dyDescent="0.5">
      <c r="S823" s="37">
        <f t="shared" si="25"/>
        <v>252921.16937100762</v>
      </c>
      <c r="U823" s="26">
        <f t="shared" si="24"/>
        <v>18</v>
      </c>
    </row>
    <row r="824" spans="19:21" ht="14.65" thickBot="1" x14ac:dyDescent="0.5">
      <c r="S824" s="37">
        <f t="shared" si="25"/>
        <v>255450.38106471769</v>
      </c>
      <c r="U824" s="26">
        <f t="shared" si="24"/>
        <v>18</v>
      </c>
    </row>
    <row r="825" spans="19:21" ht="14.65" thickBot="1" x14ac:dyDescent="0.5">
      <c r="S825" s="37">
        <f t="shared" si="25"/>
        <v>258004.88487536486</v>
      </c>
      <c r="U825" s="26">
        <f t="shared" si="24"/>
        <v>18</v>
      </c>
    </row>
    <row r="826" spans="19:21" ht="14.65" thickBot="1" x14ac:dyDescent="0.5">
      <c r="S826" s="37">
        <f t="shared" si="25"/>
        <v>260584.93372411851</v>
      </c>
      <c r="U826" s="26">
        <f t="shared" si="24"/>
        <v>18</v>
      </c>
    </row>
    <row r="827" spans="19:21" ht="14.65" thickBot="1" x14ac:dyDescent="0.5">
      <c r="S827" s="37">
        <f t="shared" si="25"/>
        <v>263190.78306135972</v>
      </c>
      <c r="U827" s="26">
        <f t="shared" si="24"/>
        <v>18</v>
      </c>
    </row>
    <row r="828" spans="19:21" ht="14.65" thickBot="1" x14ac:dyDescent="0.5">
      <c r="S828" s="37">
        <f t="shared" si="25"/>
        <v>265822.69089197333</v>
      </c>
      <c r="U828" s="26">
        <f t="shared" si="24"/>
        <v>18</v>
      </c>
    </row>
    <row r="829" spans="19:21" ht="14.65" thickBot="1" x14ac:dyDescent="0.5">
      <c r="S829" s="37">
        <f t="shared" si="25"/>
        <v>268480.91780089308</v>
      </c>
      <c r="U829" s="26">
        <f t="shared" si="24"/>
        <v>18</v>
      </c>
    </row>
    <row r="830" spans="19:21" ht="14.65" thickBot="1" x14ac:dyDescent="0.5">
      <c r="S830" s="37">
        <f t="shared" si="25"/>
        <v>271165.72697890201</v>
      </c>
      <c r="U830" s="26">
        <f t="shared" si="24"/>
        <v>18</v>
      </c>
    </row>
    <row r="831" spans="19:21" ht="14.65" thickBot="1" x14ac:dyDescent="0.5">
      <c r="S831" s="37">
        <f t="shared" si="25"/>
        <v>273877.38424869103</v>
      </c>
      <c r="U831" s="26">
        <f t="shared" si="24"/>
        <v>18</v>
      </c>
    </row>
    <row r="832" spans="19:21" ht="14.65" thickBot="1" x14ac:dyDescent="0.5">
      <c r="S832" s="37">
        <f t="shared" si="25"/>
        <v>276616.15809117793</v>
      </c>
      <c r="U832" s="26">
        <f t="shared" si="24"/>
        <v>18</v>
      </c>
    </row>
    <row r="833" spans="19:21" ht="14.65" thickBot="1" x14ac:dyDescent="0.5">
      <c r="S833" s="37">
        <f t="shared" si="25"/>
        <v>279382.31967208971</v>
      </c>
      <c r="U833" s="26">
        <f t="shared" si="24"/>
        <v>18</v>
      </c>
    </row>
    <row r="834" spans="19:21" ht="14.65" thickBot="1" x14ac:dyDescent="0.5">
      <c r="S834" s="37">
        <f t="shared" si="25"/>
        <v>282176.14286881062</v>
      </c>
      <c r="U834" s="26">
        <f t="shared" si="24"/>
        <v>18</v>
      </c>
    </row>
    <row r="835" spans="19:21" ht="14.65" thickBot="1" x14ac:dyDescent="0.5">
      <c r="S835" s="37">
        <f t="shared" si="25"/>
        <v>284997.90429749875</v>
      </c>
      <c r="U835" s="26">
        <f t="shared" si="24"/>
        <v>18</v>
      </c>
    </row>
    <row r="836" spans="19:21" ht="14.65" thickBot="1" x14ac:dyDescent="0.5">
      <c r="S836" s="37">
        <f t="shared" si="25"/>
        <v>287847.88334047375</v>
      </c>
      <c r="U836" s="26">
        <f t="shared" si="24"/>
        <v>18</v>
      </c>
    </row>
    <row r="837" spans="19:21" ht="14.65" thickBot="1" x14ac:dyDescent="0.5">
      <c r="S837" s="37">
        <f t="shared" si="25"/>
        <v>290726.36217387847</v>
      </c>
      <c r="U837" s="26">
        <f t="shared" si="24"/>
        <v>18</v>
      </c>
    </row>
    <row r="838" spans="19:21" ht="14.65" thickBot="1" x14ac:dyDescent="0.5">
      <c r="S838" s="37">
        <f t="shared" si="25"/>
        <v>293633.62579561723</v>
      </c>
      <c r="U838" s="26">
        <f t="shared" si="24"/>
        <v>18</v>
      </c>
    </row>
    <row r="839" spans="19:21" ht="14.65" thickBot="1" x14ac:dyDescent="0.5">
      <c r="S839" s="37">
        <f t="shared" si="25"/>
        <v>296569.9620535734</v>
      </c>
      <c r="U839" s="26">
        <f t="shared" si="24"/>
        <v>18</v>
      </c>
    </row>
    <row r="840" spans="19:21" ht="14.65" thickBot="1" x14ac:dyDescent="0.5">
      <c r="S840" s="37">
        <f t="shared" si="25"/>
        <v>299535.66167410911</v>
      </c>
      <c r="U840" s="26">
        <f t="shared" si="24"/>
        <v>18</v>
      </c>
    </row>
    <row r="841" spans="19:21" ht="14.65" thickBot="1" x14ac:dyDescent="0.5">
      <c r="S841" s="37">
        <f t="shared" si="25"/>
        <v>302531.01829085022</v>
      </c>
      <c r="U841" s="26">
        <f t="shared" si="24"/>
        <v>18</v>
      </c>
    </row>
    <row r="842" spans="19:21" ht="14.65" thickBot="1" x14ac:dyDescent="0.5">
      <c r="S842" s="37">
        <f t="shared" si="25"/>
        <v>305556.32847375871</v>
      </c>
      <c r="U842" s="26">
        <f t="shared" si="24"/>
        <v>18</v>
      </c>
    </row>
    <row r="843" spans="19:21" ht="14.65" thickBot="1" x14ac:dyDescent="0.5">
      <c r="S843" s="37">
        <f t="shared" si="25"/>
        <v>308611.89175849629</v>
      </c>
      <c r="U843" s="26">
        <f t="shared" si="24"/>
        <v>18</v>
      </c>
    </row>
    <row r="844" spans="19:21" ht="14.65" thickBot="1" x14ac:dyDescent="0.5">
      <c r="S844" s="37">
        <f t="shared" si="25"/>
        <v>311698.01067608123</v>
      </c>
      <c r="U844" s="26">
        <f t="shared" si="24"/>
        <v>18</v>
      </c>
    </row>
    <row r="845" spans="19:21" ht="14.65" thickBot="1" x14ac:dyDescent="0.5">
      <c r="S845" s="37">
        <f t="shared" si="25"/>
        <v>314814.99078284204</v>
      </c>
      <c r="U845" s="26">
        <f t="shared" si="24"/>
        <v>18</v>
      </c>
    </row>
    <row r="846" spans="19:21" ht="14.65" thickBot="1" x14ac:dyDescent="0.5">
      <c r="S846" s="37">
        <f t="shared" si="25"/>
        <v>317963.14069067047</v>
      </c>
      <c r="U846" s="26">
        <f t="shared" si="24"/>
        <v>18</v>
      </c>
    </row>
    <row r="847" spans="19:21" ht="14.65" thickBot="1" x14ac:dyDescent="0.5">
      <c r="S847" s="37">
        <f t="shared" si="25"/>
        <v>321142.77209757717</v>
      </c>
      <c r="U847" s="26">
        <f t="shared" si="24"/>
        <v>18</v>
      </c>
    </row>
    <row r="848" spans="19:21" ht="14.65" thickBot="1" x14ac:dyDescent="0.5">
      <c r="S848" s="37">
        <f t="shared" si="25"/>
        <v>324354.19981855294</v>
      </c>
      <c r="U848" s="26">
        <f t="shared" si="24"/>
        <v>18</v>
      </c>
    </row>
    <row r="849" spans="19:21" ht="14.65" thickBot="1" x14ac:dyDescent="0.5">
      <c r="S849" s="37">
        <f t="shared" si="25"/>
        <v>327597.74181673845</v>
      </c>
      <c r="U849" s="26">
        <f t="shared" si="24"/>
        <v>18</v>
      </c>
    </row>
    <row r="850" spans="19:21" ht="14.65" thickBot="1" x14ac:dyDescent="0.5">
      <c r="S850" s="37">
        <f t="shared" si="25"/>
        <v>330873.71923490585</v>
      </c>
      <c r="U850" s="26">
        <f t="shared" si="24"/>
        <v>18</v>
      </c>
    </row>
    <row r="851" spans="19:21" ht="14.65" thickBot="1" x14ac:dyDescent="0.5">
      <c r="S851" s="37">
        <f t="shared" si="25"/>
        <v>334182.45642725489</v>
      </c>
      <c r="U851" s="26">
        <f t="shared" ref="U851:U914" si="26">IF(S851&lt;$D$7,-$D$9+$D$10,MIN(S851-$D$7-$D$9+$D$10,($D$8-$D$7)-$D$9+$D$10))</f>
        <v>18</v>
      </c>
    </row>
    <row r="852" spans="19:21" ht="14.65" thickBot="1" x14ac:dyDescent="0.5">
      <c r="S852" s="37">
        <f t="shared" ref="S852:S915" si="27">S851*(1.01)</f>
        <v>337524.28099152743</v>
      </c>
      <c r="U852" s="26">
        <f t="shared" si="26"/>
        <v>18</v>
      </c>
    </row>
    <row r="853" spans="19:21" ht="14.65" thickBot="1" x14ac:dyDescent="0.5">
      <c r="S853" s="37">
        <f t="shared" si="27"/>
        <v>340899.5238014427</v>
      </c>
      <c r="U853" s="26">
        <f t="shared" si="26"/>
        <v>18</v>
      </c>
    </row>
    <row r="854" spans="19:21" ht="14.65" thickBot="1" x14ac:dyDescent="0.5">
      <c r="S854" s="37">
        <f t="shared" si="27"/>
        <v>344308.51903945714</v>
      </c>
      <c r="U854" s="26">
        <f t="shared" si="26"/>
        <v>18</v>
      </c>
    </row>
    <row r="855" spans="19:21" ht="14.65" thickBot="1" x14ac:dyDescent="0.5">
      <c r="S855" s="37">
        <f t="shared" si="27"/>
        <v>347751.60422985174</v>
      </c>
      <c r="U855" s="26">
        <f t="shared" si="26"/>
        <v>18</v>
      </c>
    </row>
    <row r="856" spans="19:21" ht="14.65" thickBot="1" x14ac:dyDescent="0.5">
      <c r="S856" s="37">
        <f t="shared" si="27"/>
        <v>351229.12027215026</v>
      </c>
      <c r="U856" s="26">
        <f t="shared" si="26"/>
        <v>18</v>
      </c>
    </row>
    <row r="857" spans="19:21" ht="14.65" thickBot="1" x14ac:dyDescent="0.5">
      <c r="S857" s="37">
        <f t="shared" si="27"/>
        <v>354741.41147487174</v>
      </c>
      <c r="U857" s="26">
        <f t="shared" si="26"/>
        <v>18</v>
      </c>
    </row>
    <row r="858" spans="19:21" ht="14.65" thickBot="1" x14ac:dyDescent="0.5">
      <c r="S858" s="37">
        <f t="shared" si="27"/>
        <v>358288.82558962045</v>
      </c>
      <c r="U858" s="26">
        <f t="shared" si="26"/>
        <v>18</v>
      </c>
    </row>
    <row r="859" spans="19:21" ht="14.65" thickBot="1" x14ac:dyDescent="0.5">
      <c r="S859" s="37">
        <f t="shared" si="27"/>
        <v>361871.71384551667</v>
      </c>
      <c r="U859" s="26">
        <f t="shared" si="26"/>
        <v>18</v>
      </c>
    </row>
    <row r="860" spans="19:21" ht="14.65" thickBot="1" x14ac:dyDescent="0.5">
      <c r="S860" s="37">
        <f t="shared" si="27"/>
        <v>365490.43098397186</v>
      </c>
      <c r="U860" s="26">
        <f t="shared" si="26"/>
        <v>18</v>
      </c>
    </row>
    <row r="861" spans="19:21" ht="14.65" thickBot="1" x14ac:dyDescent="0.5">
      <c r="S861" s="37">
        <f t="shared" si="27"/>
        <v>369145.33529381157</v>
      </c>
      <c r="U861" s="26">
        <f t="shared" si="26"/>
        <v>18</v>
      </c>
    </row>
    <row r="862" spans="19:21" ht="14.65" thickBot="1" x14ac:dyDescent="0.5">
      <c r="S862" s="37">
        <f t="shared" si="27"/>
        <v>372836.78864674969</v>
      </c>
      <c r="U862" s="26">
        <f t="shared" si="26"/>
        <v>18</v>
      </c>
    </row>
    <row r="863" spans="19:21" ht="14.65" thickBot="1" x14ac:dyDescent="0.5">
      <c r="S863" s="37">
        <f t="shared" si="27"/>
        <v>376565.15653321717</v>
      </c>
      <c r="U863" s="26">
        <f t="shared" si="26"/>
        <v>18</v>
      </c>
    </row>
    <row r="864" spans="19:21" ht="14.65" thickBot="1" x14ac:dyDescent="0.5">
      <c r="S864" s="37">
        <f t="shared" si="27"/>
        <v>380330.80809854937</v>
      </c>
      <c r="U864" s="26">
        <f t="shared" si="26"/>
        <v>18</v>
      </c>
    </row>
    <row r="865" spans="19:21" ht="14.65" thickBot="1" x14ac:dyDescent="0.5">
      <c r="S865" s="37">
        <f t="shared" si="27"/>
        <v>384134.11617953487</v>
      </c>
      <c r="U865" s="26">
        <f t="shared" si="26"/>
        <v>18</v>
      </c>
    </row>
    <row r="866" spans="19:21" ht="14.65" thickBot="1" x14ac:dyDescent="0.5">
      <c r="S866" s="37">
        <f t="shared" si="27"/>
        <v>387975.45734133024</v>
      </c>
      <c r="U866" s="26">
        <f t="shared" si="26"/>
        <v>18</v>
      </c>
    </row>
    <row r="867" spans="19:21" ht="14.65" thickBot="1" x14ac:dyDescent="0.5">
      <c r="S867" s="37">
        <f t="shared" si="27"/>
        <v>391855.21191474353</v>
      </c>
      <c r="U867" s="26">
        <f t="shared" si="26"/>
        <v>18</v>
      </c>
    </row>
    <row r="868" spans="19:21" ht="14.65" thickBot="1" x14ac:dyDescent="0.5">
      <c r="S868" s="37">
        <f t="shared" si="27"/>
        <v>395773.76403389097</v>
      </c>
      <c r="U868" s="26">
        <f t="shared" si="26"/>
        <v>18</v>
      </c>
    </row>
    <row r="869" spans="19:21" ht="14.65" thickBot="1" x14ac:dyDescent="0.5">
      <c r="S869" s="37">
        <f t="shared" si="27"/>
        <v>399731.50167422986</v>
      </c>
      <c r="U869" s="26">
        <f t="shared" si="26"/>
        <v>18</v>
      </c>
    </row>
    <row r="870" spans="19:21" ht="14.65" thickBot="1" x14ac:dyDescent="0.5">
      <c r="S870" s="37">
        <f t="shared" si="27"/>
        <v>403728.81669097219</v>
      </c>
      <c r="U870" s="26">
        <f t="shared" si="26"/>
        <v>18</v>
      </c>
    </row>
    <row r="871" spans="19:21" ht="14.65" thickBot="1" x14ac:dyDescent="0.5">
      <c r="S871" s="37">
        <f t="shared" si="27"/>
        <v>407766.1048578819</v>
      </c>
      <c r="U871" s="26">
        <f t="shared" si="26"/>
        <v>18</v>
      </c>
    </row>
    <row r="872" spans="19:21" ht="14.65" thickBot="1" x14ac:dyDescent="0.5">
      <c r="S872" s="37">
        <f t="shared" si="27"/>
        <v>411843.7659064607</v>
      </c>
      <c r="U872" s="26">
        <f t="shared" si="26"/>
        <v>18</v>
      </c>
    </row>
    <row r="873" spans="19:21" ht="14.65" thickBot="1" x14ac:dyDescent="0.5">
      <c r="S873" s="37">
        <f t="shared" si="27"/>
        <v>415962.2035655253</v>
      </c>
      <c r="U873" s="26">
        <f t="shared" si="26"/>
        <v>18</v>
      </c>
    </row>
    <row r="874" spans="19:21" ht="14.65" thickBot="1" x14ac:dyDescent="0.5">
      <c r="S874" s="37">
        <f t="shared" si="27"/>
        <v>420121.82560118055</v>
      </c>
      <c r="U874" s="26">
        <f t="shared" si="26"/>
        <v>18</v>
      </c>
    </row>
    <row r="875" spans="19:21" ht="14.65" thickBot="1" x14ac:dyDescent="0.5">
      <c r="S875" s="37">
        <f t="shared" si="27"/>
        <v>424323.04385719239</v>
      </c>
      <c r="U875" s="26">
        <f t="shared" si="26"/>
        <v>18</v>
      </c>
    </row>
    <row r="876" spans="19:21" ht="14.65" thickBot="1" x14ac:dyDescent="0.5">
      <c r="S876" s="37">
        <f t="shared" si="27"/>
        <v>428566.27429576433</v>
      </c>
      <c r="U876" s="26">
        <f t="shared" si="26"/>
        <v>18</v>
      </c>
    </row>
    <row r="877" spans="19:21" ht="14.65" thickBot="1" x14ac:dyDescent="0.5">
      <c r="S877" s="37">
        <f t="shared" si="27"/>
        <v>432851.93703872198</v>
      </c>
      <c r="U877" s="26">
        <f t="shared" si="26"/>
        <v>18</v>
      </c>
    </row>
    <row r="878" spans="19:21" ht="14.65" thickBot="1" x14ac:dyDescent="0.5">
      <c r="S878" s="37">
        <f t="shared" si="27"/>
        <v>437180.45640910923</v>
      </c>
      <c r="U878" s="26">
        <f t="shared" si="26"/>
        <v>18</v>
      </c>
    </row>
    <row r="879" spans="19:21" ht="14.65" thickBot="1" x14ac:dyDescent="0.5">
      <c r="S879" s="37">
        <f t="shared" si="27"/>
        <v>441552.26097320032</v>
      </c>
      <c r="U879" s="26">
        <f t="shared" si="26"/>
        <v>18</v>
      </c>
    </row>
    <row r="880" spans="19:21" ht="14.65" thickBot="1" x14ac:dyDescent="0.5">
      <c r="S880" s="37">
        <f t="shared" si="27"/>
        <v>445967.78358293232</v>
      </c>
      <c r="U880" s="26">
        <f t="shared" si="26"/>
        <v>18</v>
      </c>
    </row>
    <row r="881" spans="19:21" ht="14.65" thickBot="1" x14ac:dyDescent="0.5">
      <c r="S881" s="37">
        <f t="shared" si="27"/>
        <v>450427.46141876164</v>
      </c>
      <c r="U881" s="26">
        <f t="shared" si="26"/>
        <v>18</v>
      </c>
    </row>
    <row r="882" spans="19:21" ht="14.65" thickBot="1" x14ac:dyDescent="0.5">
      <c r="S882" s="37">
        <f t="shared" si="27"/>
        <v>454931.73603294924</v>
      </c>
      <c r="U882" s="26">
        <f t="shared" si="26"/>
        <v>18</v>
      </c>
    </row>
    <row r="883" spans="19:21" ht="14.65" thickBot="1" x14ac:dyDescent="0.5">
      <c r="S883" s="37">
        <f t="shared" si="27"/>
        <v>459481.05339327874</v>
      </c>
      <c r="U883" s="26">
        <f t="shared" si="26"/>
        <v>18</v>
      </c>
    </row>
    <row r="884" spans="19:21" ht="14.65" thickBot="1" x14ac:dyDescent="0.5">
      <c r="S884" s="37">
        <f t="shared" si="27"/>
        <v>464075.86392721155</v>
      </c>
      <c r="U884" s="26">
        <f t="shared" si="26"/>
        <v>18</v>
      </c>
    </row>
    <row r="885" spans="19:21" ht="14.65" thickBot="1" x14ac:dyDescent="0.5">
      <c r="S885" s="37">
        <f t="shared" si="27"/>
        <v>468716.62256648368</v>
      </c>
      <c r="U885" s="26">
        <f t="shared" si="26"/>
        <v>18</v>
      </c>
    </row>
    <row r="886" spans="19:21" ht="14.65" thickBot="1" x14ac:dyDescent="0.5">
      <c r="S886" s="37">
        <f t="shared" si="27"/>
        <v>473403.78879214852</v>
      </c>
      <c r="U886" s="26">
        <f t="shared" si="26"/>
        <v>18</v>
      </c>
    </row>
    <row r="887" spans="19:21" ht="14.65" thickBot="1" x14ac:dyDescent="0.5">
      <c r="S887" s="37">
        <f t="shared" si="27"/>
        <v>478137.82668007002</v>
      </c>
      <c r="U887" s="26">
        <f t="shared" si="26"/>
        <v>18</v>
      </c>
    </row>
    <row r="888" spans="19:21" ht="14.65" thickBot="1" x14ac:dyDescent="0.5">
      <c r="S888" s="37">
        <f t="shared" si="27"/>
        <v>482919.20494687074</v>
      </c>
      <c r="U888" s="26">
        <f t="shared" si="26"/>
        <v>18</v>
      </c>
    </row>
    <row r="889" spans="19:21" ht="14.65" thickBot="1" x14ac:dyDescent="0.5">
      <c r="S889" s="37">
        <f t="shared" si="27"/>
        <v>487748.39699633943</v>
      </c>
      <c r="U889" s="26">
        <f t="shared" si="26"/>
        <v>18</v>
      </c>
    </row>
    <row r="890" spans="19:21" ht="14.65" thickBot="1" x14ac:dyDescent="0.5">
      <c r="S890" s="37">
        <f t="shared" si="27"/>
        <v>492625.88096630282</v>
      </c>
      <c r="U890" s="26">
        <f t="shared" si="26"/>
        <v>18</v>
      </c>
    </row>
    <row r="891" spans="19:21" ht="14.65" thickBot="1" x14ac:dyDescent="0.5">
      <c r="S891" s="37">
        <f t="shared" si="27"/>
        <v>497552.13977596583</v>
      </c>
      <c r="U891" s="26">
        <f t="shared" si="26"/>
        <v>18</v>
      </c>
    </row>
    <row r="892" spans="19:21" ht="14.65" thickBot="1" x14ac:dyDescent="0.5">
      <c r="S892" s="37">
        <f t="shared" si="27"/>
        <v>502527.6611737255</v>
      </c>
      <c r="U892" s="26">
        <f t="shared" si="26"/>
        <v>18</v>
      </c>
    </row>
    <row r="893" spans="19:21" ht="14.65" thickBot="1" x14ac:dyDescent="0.5">
      <c r="S893" s="37">
        <f t="shared" si="27"/>
        <v>507552.93778546277</v>
      </c>
      <c r="U893" s="26">
        <f t="shared" si="26"/>
        <v>18</v>
      </c>
    </row>
    <row r="894" spans="19:21" ht="14.65" thickBot="1" x14ac:dyDescent="0.5">
      <c r="S894" s="37">
        <f t="shared" si="27"/>
        <v>512628.46716331737</v>
      </c>
      <c r="U894" s="26">
        <f t="shared" si="26"/>
        <v>18</v>
      </c>
    </row>
    <row r="895" spans="19:21" ht="14.65" thickBot="1" x14ac:dyDescent="0.5">
      <c r="S895" s="37">
        <f t="shared" si="27"/>
        <v>517754.75183495053</v>
      </c>
      <c r="U895" s="26">
        <f t="shared" si="26"/>
        <v>18</v>
      </c>
    </row>
    <row r="896" spans="19:21" ht="14.65" thickBot="1" x14ac:dyDescent="0.5">
      <c r="S896" s="37">
        <f t="shared" si="27"/>
        <v>522932.29935330001</v>
      </c>
      <c r="U896" s="26">
        <f t="shared" si="26"/>
        <v>18</v>
      </c>
    </row>
    <row r="897" spans="19:21" ht="14.65" thickBot="1" x14ac:dyDescent="0.5">
      <c r="S897" s="37">
        <f t="shared" si="27"/>
        <v>528161.622346833</v>
      </c>
      <c r="U897" s="26">
        <f t="shared" si="26"/>
        <v>18</v>
      </c>
    </row>
    <row r="898" spans="19:21" ht="14.65" thickBot="1" x14ac:dyDescent="0.5">
      <c r="S898" s="37">
        <f t="shared" si="27"/>
        <v>533443.23857030133</v>
      </c>
      <c r="U898" s="26">
        <f t="shared" si="26"/>
        <v>18</v>
      </c>
    </row>
    <row r="899" spans="19:21" ht="14.65" thickBot="1" x14ac:dyDescent="0.5">
      <c r="S899" s="37">
        <f t="shared" si="27"/>
        <v>538777.67095600429</v>
      </c>
      <c r="U899" s="26">
        <f t="shared" si="26"/>
        <v>18</v>
      </c>
    </row>
    <row r="900" spans="19:21" ht="14.65" thickBot="1" x14ac:dyDescent="0.5">
      <c r="S900" s="37">
        <f t="shared" si="27"/>
        <v>544165.44766556437</v>
      </c>
      <c r="U900" s="26">
        <f t="shared" si="26"/>
        <v>18</v>
      </c>
    </row>
    <row r="901" spans="19:21" ht="14.65" thickBot="1" x14ac:dyDescent="0.5">
      <c r="S901" s="37">
        <f t="shared" si="27"/>
        <v>549607.10214222001</v>
      </c>
      <c r="U901" s="26">
        <f t="shared" si="26"/>
        <v>18</v>
      </c>
    </row>
    <row r="902" spans="19:21" ht="14.65" thickBot="1" x14ac:dyDescent="0.5">
      <c r="S902" s="37">
        <f t="shared" si="27"/>
        <v>555103.17316364218</v>
      </c>
      <c r="U902" s="26">
        <f t="shared" si="26"/>
        <v>18</v>
      </c>
    </row>
    <row r="903" spans="19:21" ht="14.65" thickBot="1" x14ac:dyDescent="0.5">
      <c r="S903" s="37">
        <f t="shared" si="27"/>
        <v>560654.20489527856</v>
      </c>
      <c r="U903" s="26">
        <f t="shared" si="26"/>
        <v>18</v>
      </c>
    </row>
    <row r="904" spans="19:21" ht="14.65" thickBot="1" x14ac:dyDescent="0.5">
      <c r="S904" s="37">
        <f t="shared" si="27"/>
        <v>566260.74694423133</v>
      </c>
      <c r="U904" s="26">
        <f t="shared" si="26"/>
        <v>18</v>
      </c>
    </row>
    <row r="905" spans="19:21" ht="14.65" thickBot="1" x14ac:dyDescent="0.5">
      <c r="S905" s="37">
        <f t="shared" si="27"/>
        <v>571923.35441367363</v>
      </c>
      <c r="U905" s="26">
        <f t="shared" si="26"/>
        <v>18</v>
      </c>
    </row>
    <row r="906" spans="19:21" ht="14.65" thickBot="1" x14ac:dyDescent="0.5">
      <c r="S906" s="37">
        <f t="shared" si="27"/>
        <v>577642.58795781038</v>
      </c>
      <c r="U906" s="26">
        <f t="shared" si="26"/>
        <v>18</v>
      </c>
    </row>
    <row r="907" spans="19:21" ht="14.65" thickBot="1" x14ac:dyDescent="0.5">
      <c r="S907" s="37">
        <f t="shared" si="27"/>
        <v>583419.01383738848</v>
      </c>
      <c r="U907" s="26">
        <f t="shared" si="26"/>
        <v>18</v>
      </c>
    </row>
    <row r="908" spans="19:21" ht="14.65" thickBot="1" x14ac:dyDescent="0.5">
      <c r="S908" s="37">
        <f t="shared" si="27"/>
        <v>589253.20397576236</v>
      </c>
      <c r="U908" s="26">
        <f t="shared" si="26"/>
        <v>18</v>
      </c>
    </row>
    <row r="909" spans="19:21" ht="14.65" thickBot="1" x14ac:dyDescent="0.5">
      <c r="S909" s="37">
        <f t="shared" si="27"/>
        <v>595145.73601551994</v>
      </c>
      <c r="U909" s="26">
        <f t="shared" si="26"/>
        <v>18</v>
      </c>
    </row>
    <row r="910" spans="19:21" ht="14.65" thickBot="1" x14ac:dyDescent="0.5">
      <c r="S910" s="37">
        <f t="shared" si="27"/>
        <v>601097.19337567512</v>
      </c>
      <c r="U910" s="26">
        <f t="shared" si="26"/>
        <v>18</v>
      </c>
    </row>
    <row r="911" spans="19:21" ht="14.65" thickBot="1" x14ac:dyDescent="0.5">
      <c r="S911" s="37">
        <f t="shared" si="27"/>
        <v>607108.16530943185</v>
      </c>
      <c r="U911" s="26">
        <f t="shared" si="26"/>
        <v>18</v>
      </c>
    </row>
    <row r="912" spans="19:21" ht="14.65" thickBot="1" x14ac:dyDescent="0.5">
      <c r="S912" s="37">
        <f t="shared" si="27"/>
        <v>613179.24696252611</v>
      </c>
      <c r="U912" s="26">
        <f t="shared" si="26"/>
        <v>18</v>
      </c>
    </row>
    <row r="913" spans="19:21" ht="14.65" thickBot="1" x14ac:dyDescent="0.5">
      <c r="S913" s="37">
        <f t="shared" si="27"/>
        <v>619311.03943215136</v>
      </c>
      <c r="U913" s="26">
        <f t="shared" si="26"/>
        <v>18</v>
      </c>
    </row>
    <row r="914" spans="19:21" ht="14.65" thickBot="1" x14ac:dyDescent="0.5">
      <c r="S914" s="37">
        <f t="shared" si="27"/>
        <v>625504.14982647286</v>
      </c>
      <c r="U914" s="26">
        <f t="shared" si="26"/>
        <v>18</v>
      </c>
    </row>
    <row r="915" spans="19:21" ht="14.65" thickBot="1" x14ac:dyDescent="0.5">
      <c r="S915" s="37">
        <f t="shared" si="27"/>
        <v>631759.19132473762</v>
      </c>
      <c r="U915" s="26">
        <f t="shared" ref="U915:U978" si="28">IF(S915&lt;$D$7,-$D$9+$D$10,MIN(S915-$D$7-$D$9+$D$10,($D$8-$D$7)-$D$9+$D$10))</f>
        <v>18</v>
      </c>
    </row>
    <row r="916" spans="19:21" ht="14.65" thickBot="1" x14ac:dyDescent="0.5">
      <c r="S916" s="37">
        <f t="shared" ref="S916:S979" si="29">S915*(1.01)</f>
        <v>638076.78323798499</v>
      </c>
      <c r="U916" s="26">
        <f t="shared" si="28"/>
        <v>18</v>
      </c>
    </row>
    <row r="917" spans="19:21" ht="14.65" thickBot="1" x14ac:dyDescent="0.5">
      <c r="S917" s="37">
        <f t="shared" si="29"/>
        <v>644457.55107036489</v>
      </c>
      <c r="U917" s="26">
        <f t="shared" si="28"/>
        <v>18</v>
      </c>
    </row>
    <row r="918" spans="19:21" ht="14.65" thickBot="1" x14ac:dyDescent="0.5">
      <c r="S918" s="37">
        <f t="shared" si="29"/>
        <v>650902.1265810685</v>
      </c>
      <c r="U918" s="26">
        <f t="shared" si="28"/>
        <v>18</v>
      </c>
    </row>
    <row r="919" spans="19:21" ht="14.65" thickBot="1" x14ac:dyDescent="0.5">
      <c r="S919" s="37">
        <f t="shared" si="29"/>
        <v>657411.1478468792</v>
      </c>
      <c r="U919" s="26">
        <f t="shared" si="28"/>
        <v>18</v>
      </c>
    </row>
    <row r="920" spans="19:21" ht="14.65" thickBot="1" x14ac:dyDescent="0.5">
      <c r="S920" s="37">
        <f t="shared" si="29"/>
        <v>663985.25932534796</v>
      </c>
      <c r="U920" s="26">
        <f t="shared" si="28"/>
        <v>18</v>
      </c>
    </row>
    <row r="921" spans="19:21" ht="14.65" thickBot="1" x14ac:dyDescent="0.5">
      <c r="S921" s="37">
        <f t="shared" si="29"/>
        <v>670625.11191860144</v>
      </c>
      <c r="U921" s="26">
        <f t="shared" si="28"/>
        <v>18</v>
      </c>
    </row>
    <row r="922" spans="19:21" ht="14.65" thickBot="1" x14ac:dyDescent="0.5">
      <c r="S922" s="37">
        <f t="shared" si="29"/>
        <v>677331.36303778749</v>
      </c>
      <c r="U922" s="26">
        <f t="shared" si="28"/>
        <v>18</v>
      </c>
    </row>
    <row r="923" spans="19:21" ht="14.65" thickBot="1" x14ac:dyDescent="0.5">
      <c r="S923" s="37">
        <f t="shared" si="29"/>
        <v>684104.67666816537</v>
      </c>
      <c r="U923" s="26">
        <f t="shared" si="28"/>
        <v>18</v>
      </c>
    </row>
    <row r="924" spans="19:21" ht="14.65" thickBot="1" x14ac:dyDescent="0.5">
      <c r="S924" s="37">
        <f t="shared" si="29"/>
        <v>690945.72343484708</v>
      </c>
      <c r="U924" s="26">
        <f t="shared" si="28"/>
        <v>18</v>
      </c>
    </row>
    <row r="925" spans="19:21" ht="14.65" thickBot="1" x14ac:dyDescent="0.5">
      <c r="S925" s="37">
        <f t="shared" si="29"/>
        <v>697855.1806691956</v>
      </c>
      <c r="U925" s="26">
        <f t="shared" si="28"/>
        <v>18</v>
      </c>
    </row>
    <row r="926" spans="19:21" ht="14.65" thickBot="1" x14ac:dyDescent="0.5">
      <c r="S926" s="37">
        <f t="shared" si="29"/>
        <v>704833.73247588752</v>
      </c>
      <c r="U926" s="26">
        <f t="shared" si="28"/>
        <v>18</v>
      </c>
    </row>
    <row r="927" spans="19:21" ht="14.65" thickBot="1" x14ac:dyDescent="0.5">
      <c r="S927" s="37">
        <f t="shared" si="29"/>
        <v>711882.06980064639</v>
      </c>
      <c r="U927" s="26">
        <f t="shared" si="28"/>
        <v>18</v>
      </c>
    </row>
    <row r="928" spans="19:21" ht="14.65" thickBot="1" x14ac:dyDescent="0.5">
      <c r="S928" s="37">
        <f t="shared" si="29"/>
        <v>719000.89049865282</v>
      </c>
      <c r="U928" s="26">
        <f t="shared" si="28"/>
        <v>18</v>
      </c>
    </row>
    <row r="929" spans="19:21" ht="14.65" thickBot="1" x14ac:dyDescent="0.5">
      <c r="S929" s="37">
        <f t="shared" si="29"/>
        <v>726190.89940363937</v>
      </c>
      <c r="U929" s="26">
        <f t="shared" si="28"/>
        <v>18</v>
      </c>
    </row>
    <row r="930" spans="19:21" ht="14.65" thickBot="1" x14ac:dyDescent="0.5">
      <c r="S930" s="37">
        <f t="shared" si="29"/>
        <v>733452.80839767575</v>
      </c>
      <c r="U930" s="26">
        <f t="shared" si="28"/>
        <v>18</v>
      </c>
    </row>
    <row r="931" spans="19:21" ht="14.65" thickBot="1" x14ac:dyDescent="0.5">
      <c r="S931" s="37">
        <f t="shared" si="29"/>
        <v>740787.33648165246</v>
      </c>
      <c r="U931" s="26">
        <f t="shared" si="28"/>
        <v>18</v>
      </c>
    </row>
    <row r="932" spans="19:21" ht="14.65" thickBot="1" x14ac:dyDescent="0.5">
      <c r="S932" s="37">
        <f t="shared" si="29"/>
        <v>748195.20984646899</v>
      </c>
      <c r="U932" s="26">
        <f t="shared" si="28"/>
        <v>18</v>
      </c>
    </row>
    <row r="933" spans="19:21" ht="14.65" thickBot="1" x14ac:dyDescent="0.5">
      <c r="S933" s="37">
        <f t="shared" si="29"/>
        <v>755677.1619449337</v>
      </c>
      <c r="U933" s="26">
        <f t="shared" si="28"/>
        <v>18</v>
      </c>
    </row>
    <row r="934" spans="19:21" ht="14.65" thickBot="1" x14ac:dyDescent="0.5">
      <c r="S934" s="37">
        <f t="shared" si="29"/>
        <v>763233.93356438307</v>
      </c>
      <c r="U934" s="26">
        <f t="shared" si="28"/>
        <v>18</v>
      </c>
    </row>
    <row r="935" spans="19:21" ht="14.65" thickBot="1" x14ac:dyDescent="0.5">
      <c r="S935" s="37">
        <f t="shared" si="29"/>
        <v>770866.27290002687</v>
      </c>
      <c r="U935" s="26">
        <f t="shared" si="28"/>
        <v>18</v>
      </c>
    </row>
    <row r="936" spans="19:21" ht="14.65" thickBot="1" x14ac:dyDescent="0.5">
      <c r="S936" s="37">
        <f t="shared" si="29"/>
        <v>778574.9356290272</v>
      </c>
      <c r="U936" s="26">
        <f t="shared" si="28"/>
        <v>18</v>
      </c>
    </row>
    <row r="937" spans="19:21" ht="14.65" thickBot="1" x14ac:dyDescent="0.5">
      <c r="S937" s="37">
        <f t="shared" si="29"/>
        <v>786360.68498531752</v>
      </c>
      <c r="U937" s="26">
        <f t="shared" si="28"/>
        <v>18</v>
      </c>
    </row>
    <row r="938" spans="19:21" ht="14.65" thickBot="1" x14ac:dyDescent="0.5">
      <c r="S938" s="37">
        <f t="shared" si="29"/>
        <v>794224.2918351707</v>
      </c>
      <c r="U938" s="26">
        <f t="shared" si="28"/>
        <v>18</v>
      </c>
    </row>
    <row r="939" spans="19:21" ht="14.65" thickBot="1" x14ac:dyDescent="0.5">
      <c r="S939" s="37">
        <f t="shared" si="29"/>
        <v>802166.53475352237</v>
      </c>
      <c r="U939" s="26">
        <f t="shared" si="28"/>
        <v>18</v>
      </c>
    </row>
    <row r="940" spans="19:21" ht="14.65" thickBot="1" x14ac:dyDescent="0.5">
      <c r="S940" s="37">
        <f t="shared" si="29"/>
        <v>810188.20010105765</v>
      </c>
      <c r="U940" s="26">
        <f t="shared" si="28"/>
        <v>18</v>
      </c>
    </row>
    <row r="941" spans="19:21" ht="14.65" thickBot="1" x14ac:dyDescent="0.5">
      <c r="S941" s="37">
        <f t="shared" si="29"/>
        <v>818290.08210206823</v>
      </c>
      <c r="U941" s="26">
        <f t="shared" si="28"/>
        <v>18</v>
      </c>
    </row>
    <row r="942" spans="19:21" ht="14.65" thickBot="1" x14ac:dyDescent="0.5">
      <c r="S942" s="37">
        <f t="shared" si="29"/>
        <v>826472.98292308894</v>
      </c>
      <c r="U942" s="26">
        <f t="shared" si="28"/>
        <v>18</v>
      </c>
    </row>
    <row r="943" spans="19:21" ht="14.65" thickBot="1" x14ac:dyDescent="0.5">
      <c r="S943" s="37">
        <f t="shared" si="29"/>
        <v>834737.71275231987</v>
      </c>
      <c r="U943" s="26">
        <f t="shared" si="28"/>
        <v>18</v>
      </c>
    </row>
    <row r="944" spans="19:21" ht="14.65" thickBot="1" x14ac:dyDescent="0.5">
      <c r="S944" s="37">
        <f t="shared" si="29"/>
        <v>843085.08987984306</v>
      </c>
      <c r="U944" s="26">
        <f t="shared" si="28"/>
        <v>18</v>
      </c>
    </row>
    <row r="945" spans="19:21" ht="14.65" thickBot="1" x14ac:dyDescent="0.5">
      <c r="S945" s="37">
        <f t="shared" si="29"/>
        <v>851515.9407786415</v>
      </c>
      <c r="U945" s="26">
        <f t="shared" si="28"/>
        <v>18</v>
      </c>
    </row>
    <row r="946" spans="19:21" ht="14.65" thickBot="1" x14ac:dyDescent="0.5">
      <c r="S946" s="37">
        <f t="shared" si="29"/>
        <v>860031.10018642794</v>
      </c>
      <c r="U946" s="26">
        <f t="shared" si="28"/>
        <v>18</v>
      </c>
    </row>
    <row r="947" spans="19:21" ht="14.65" thickBot="1" x14ac:dyDescent="0.5">
      <c r="S947" s="37">
        <f t="shared" si="29"/>
        <v>868631.4111882922</v>
      </c>
      <c r="U947" s="26">
        <f t="shared" si="28"/>
        <v>18</v>
      </c>
    </row>
    <row r="948" spans="19:21" ht="14.65" thickBot="1" x14ac:dyDescent="0.5">
      <c r="S948" s="37">
        <f t="shared" si="29"/>
        <v>877317.72530017514</v>
      </c>
      <c r="U948" s="26">
        <f t="shared" si="28"/>
        <v>18</v>
      </c>
    </row>
    <row r="949" spans="19:21" ht="14.65" thickBot="1" x14ac:dyDescent="0.5">
      <c r="S949" s="37">
        <f t="shared" si="29"/>
        <v>886090.90255317686</v>
      </c>
      <c r="U949" s="26">
        <f t="shared" si="28"/>
        <v>18</v>
      </c>
    </row>
    <row r="950" spans="19:21" ht="14.65" thickBot="1" x14ac:dyDescent="0.5">
      <c r="S950" s="37">
        <f t="shared" si="29"/>
        <v>894951.81157870858</v>
      </c>
      <c r="U950" s="26">
        <f t="shared" si="28"/>
        <v>18</v>
      </c>
    </row>
    <row r="951" spans="19:21" ht="14.65" thickBot="1" x14ac:dyDescent="0.5">
      <c r="S951" s="37">
        <f t="shared" si="29"/>
        <v>903901.32969449565</v>
      </c>
      <c r="U951" s="26">
        <f t="shared" si="28"/>
        <v>18</v>
      </c>
    </row>
    <row r="952" spans="19:21" ht="14.65" thickBot="1" x14ac:dyDescent="0.5">
      <c r="S952" s="37">
        <f t="shared" si="29"/>
        <v>912940.34299144067</v>
      </c>
      <c r="U952" s="26">
        <f t="shared" si="28"/>
        <v>18</v>
      </c>
    </row>
    <row r="953" spans="19:21" ht="14.65" thickBot="1" x14ac:dyDescent="0.5">
      <c r="S953" s="37">
        <f t="shared" si="29"/>
        <v>922069.74642135506</v>
      </c>
      <c r="U953" s="26">
        <f t="shared" si="28"/>
        <v>18</v>
      </c>
    </row>
    <row r="954" spans="19:21" ht="14.65" thickBot="1" x14ac:dyDescent="0.5">
      <c r="S954" s="37">
        <f t="shared" si="29"/>
        <v>931290.44388556865</v>
      </c>
      <c r="U954" s="26">
        <f t="shared" si="28"/>
        <v>18</v>
      </c>
    </row>
    <row r="955" spans="19:21" ht="14.65" thickBot="1" x14ac:dyDescent="0.5">
      <c r="S955" s="37">
        <f t="shared" si="29"/>
        <v>940603.34832442435</v>
      </c>
      <c r="U955" s="26">
        <f t="shared" si="28"/>
        <v>18</v>
      </c>
    </row>
    <row r="956" spans="19:21" ht="14.65" thickBot="1" x14ac:dyDescent="0.5">
      <c r="S956" s="37">
        <f t="shared" si="29"/>
        <v>950009.3818076686</v>
      </c>
      <c r="U956" s="26">
        <f t="shared" si="28"/>
        <v>18</v>
      </c>
    </row>
    <row r="957" spans="19:21" ht="14.65" thickBot="1" x14ac:dyDescent="0.5">
      <c r="S957" s="37">
        <f t="shared" si="29"/>
        <v>959509.47562574525</v>
      </c>
      <c r="U957" s="26">
        <f t="shared" si="28"/>
        <v>18</v>
      </c>
    </row>
    <row r="958" spans="19:21" ht="14.65" thickBot="1" x14ac:dyDescent="0.5">
      <c r="S958" s="37">
        <f t="shared" si="29"/>
        <v>969104.57038200274</v>
      </c>
      <c r="U958" s="26">
        <f t="shared" si="28"/>
        <v>18</v>
      </c>
    </row>
    <row r="959" spans="19:21" ht="14.65" thickBot="1" x14ac:dyDescent="0.5">
      <c r="S959" s="37">
        <f t="shared" si="29"/>
        <v>978795.61608582281</v>
      </c>
      <c r="U959" s="26">
        <f t="shared" si="28"/>
        <v>18</v>
      </c>
    </row>
    <row r="960" spans="19:21" ht="14.65" thickBot="1" x14ac:dyDescent="0.5">
      <c r="S960" s="37">
        <f t="shared" si="29"/>
        <v>988583.57224668108</v>
      </c>
      <c r="U960" s="26">
        <f t="shared" si="28"/>
        <v>18</v>
      </c>
    </row>
    <row r="961" spans="19:21" ht="14.65" thickBot="1" x14ac:dyDescent="0.5">
      <c r="S961" s="37">
        <f t="shared" si="29"/>
        <v>998469.4079691479</v>
      </c>
      <c r="U961" s="26">
        <f t="shared" si="28"/>
        <v>18</v>
      </c>
    </row>
    <row r="962" spans="19:21" ht="14.65" thickBot="1" x14ac:dyDescent="0.5">
      <c r="S962" s="37">
        <f t="shared" si="29"/>
        <v>1008454.1020488394</v>
      </c>
      <c r="U962" s="26">
        <f t="shared" si="28"/>
        <v>18</v>
      </c>
    </row>
    <row r="963" spans="19:21" ht="14.65" thickBot="1" x14ac:dyDescent="0.5">
      <c r="S963" s="37">
        <f t="shared" si="29"/>
        <v>1018538.6430693278</v>
      </c>
      <c r="U963" s="26">
        <f t="shared" si="28"/>
        <v>18</v>
      </c>
    </row>
    <row r="964" spans="19:21" ht="14.65" thickBot="1" x14ac:dyDescent="0.5">
      <c r="S964" s="37">
        <f t="shared" si="29"/>
        <v>1028724.0295000211</v>
      </c>
      <c r="U964" s="26">
        <f t="shared" si="28"/>
        <v>18</v>
      </c>
    </row>
    <row r="965" spans="19:21" ht="14.65" thickBot="1" x14ac:dyDescent="0.5">
      <c r="S965" s="37">
        <f t="shared" si="29"/>
        <v>1039011.2697950214</v>
      </c>
      <c r="U965" s="26">
        <f t="shared" si="28"/>
        <v>18</v>
      </c>
    </row>
    <row r="966" spans="19:21" ht="14.65" thickBot="1" x14ac:dyDescent="0.5">
      <c r="S966" s="37">
        <f t="shared" si="29"/>
        <v>1049401.3824929716</v>
      </c>
      <c r="U966" s="26">
        <f t="shared" si="28"/>
        <v>18</v>
      </c>
    </row>
    <row r="967" spans="19:21" ht="14.65" thickBot="1" x14ac:dyDescent="0.5">
      <c r="S967" s="37">
        <f t="shared" si="29"/>
        <v>1059895.3963179013</v>
      </c>
      <c r="U967" s="26">
        <f t="shared" si="28"/>
        <v>18</v>
      </c>
    </row>
    <row r="968" spans="19:21" ht="14.65" thickBot="1" x14ac:dyDescent="0.5">
      <c r="S968" s="37">
        <f t="shared" si="29"/>
        <v>1070494.3502810802</v>
      </c>
      <c r="U968" s="26">
        <f t="shared" si="28"/>
        <v>18</v>
      </c>
    </row>
    <row r="969" spans="19:21" ht="14.65" thickBot="1" x14ac:dyDescent="0.5">
      <c r="S969" s="37">
        <f t="shared" si="29"/>
        <v>1081199.293783891</v>
      </c>
      <c r="U969" s="26">
        <f t="shared" si="28"/>
        <v>18</v>
      </c>
    </row>
    <row r="970" spans="19:21" ht="14.65" thickBot="1" x14ac:dyDescent="0.5">
      <c r="S970" s="37">
        <f t="shared" si="29"/>
        <v>1092011.2867217299</v>
      </c>
      <c r="U970" s="26">
        <f t="shared" si="28"/>
        <v>18</v>
      </c>
    </row>
    <row r="971" spans="19:21" ht="14.65" thickBot="1" x14ac:dyDescent="0.5">
      <c r="S971" s="37">
        <f t="shared" si="29"/>
        <v>1102931.3995889472</v>
      </c>
      <c r="U971" s="26">
        <f t="shared" si="28"/>
        <v>18</v>
      </c>
    </row>
    <row r="972" spans="19:21" ht="14.65" thickBot="1" x14ac:dyDescent="0.5">
      <c r="S972" s="37">
        <f t="shared" si="29"/>
        <v>1113960.7135848366</v>
      </c>
      <c r="U972" s="26">
        <f t="shared" si="28"/>
        <v>18</v>
      </c>
    </row>
    <row r="973" spans="19:21" ht="14.65" thickBot="1" x14ac:dyDescent="0.5">
      <c r="S973" s="37">
        <f t="shared" si="29"/>
        <v>1125100.3207206849</v>
      </c>
      <c r="U973" s="26">
        <f t="shared" si="28"/>
        <v>18</v>
      </c>
    </row>
    <row r="974" spans="19:21" ht="14.65" thickBot="1" x14ac:dyDescent="0.5">
      <c r="S974" s="37">
        <f t="shared" si="29"/>
        <v>1136351.3239278919</v>
      </c>
      <c r="U974" s="26">
        <f t="shared" si="28"/>
        <v>18</v>
      </c>
    </row>
    <row r="975" spans="19:21" ht="14.65" thickBot="1" x14ac:dyDescent="0.5">
      <c r="S975" s="37">
        <f t="shared" si="29"/>
        <v>1147714.8371671708</v>
      </c>
      <c r="U975" s="26">
        <f t="shared" si="28"/>
        <v>18</v>
      </c>
    </row>
    <row r="976" spans="19:21" ht="14.65" thickBot="1" x14ac:dyDescent="0.5">
      <c r="S976" s="37">
        <f t="shared" si="29"/>
        <v>1159191.9855388426</v>
      </c>
      <c r="U976" s="26">
        <f t="shared" si="28"/>
        <v>18</v>
      </c>
    </row>
    <row r="977" spans="19:21" ht="14.65" thickBot="1" x14ac:dyDescent="0.5">
      <c r="S977" s="37">
        <f t="shared" si="29"/>
        <v>1170783.905394231</v>
      </c>
      <c r="U977" s="26">
        <f t="shared" si="28"/>
        <v>18</v>
      </c>
    </row>
    <row r="978" spans="19:21" ht="14.65" thickBot="1" x14ac:dyDescent="0.5">
      <c r="S978" s="37">
        <f t="shared" si="29"/>
        <v>1182491.7444481733</v>
      </c>
      <c r="U978" s="26">
        <f t="shared" si="28"/>
        <v>18</v>
      </c>
    </row>
    <row r="979" spans="19:21" ht="14.65" thickBot="1" x14ac:dyDescent="0.5">
      <c r="S979" s="37">
        <f t="shared" si="29"/>
        <v>1194316.6618926551</v>
      </c>
      <c r="U979" s="26">
        <f t="shared" ref="U979:U1033" si="30">IF(S979&lt;$D$7,-$D$9+$D$10,MIN(S979-$D$7-$D$9+$D$10,($D$8-$D$7)-$D$9+$D$10))</f>
        <v>18</v>
      </c>
    </row>
    <row r="980" spans="19:21" ht="14.65" thickBot="1" x14ac:dyDescent="0.5">
      <c r="S980" s="37">
        <f t="shared" ref="S980:S1033" si="31">S979*(1.01)</f>
        <v>1206259.8285115815</v>
      </c>
      <c r="U980" s="26">
        <f t="shared" si="30"/>
        <v>18</v>
      </c>
    </row>
    <row r="981" spans="19:21" ht="14.65" thickBot="1" x14ac:dyDescent="0.5">
      <c r="S981" s="37">
        <f t="shared" si="31"/>
        <v>1218322.4267966973</v>
      </c>
      <c r="U981" s="26">
        <f t="shared" si="30"/>
        <v>18</v>
      </c>
    </row>
    <row r="982" spans="19:21" ht="14.65" thickBot="1" x14ac:dyDescent="0.5">
      <c r="S982" s="37">
        <f t="shared" si="31"/>
        <v>1230505.6510646644</v>
      </c>
      <c r="U982" s="26">
        <f t="shared" si="30"/>
        <v>18</v>
      </c>
    </row>
    <row r="983" spans="19:21" ht="14.65" thickBot="1" x14ac:dyDescent="0.5">
      <c r="S983" s="37">
        <f t="shared" si="31"/>
        <v>1242810.707575311</v>
      </c>
      <c r="U983" s="26">
        <f t="shared" si="30"/>
        <v>18</v>
      </c>
    </row>
    <row r="984" spans="19:21" ht="14.65" thickBot="1" x14ac:dyDescent="0.5">
      <c r="S984" s="37">
        <f t="shared" si="31"/>
        <v>1255238.8146510641</v>
      </c>
      <c r="U984" s="26">
        <f t="shared" si="30"/>
        <v>18</v>
      </c>
    </row>
    <row r="985" spans="19:21" ht="14.65" thickBot="1" x14ac:dyDescent="0.5">
      <c r="S985" s="37">
        <f t="shared" si="31"/>
        <v>1267791.2027975747</v>
      </c>
      <c r="U985" s="26">
        <f t="shared" si="30"/>
        <v>18</v>
      </c>
    </row>
    <row r="986" spans="19:21" ht="14.65" thickBot="1" x14ac:dyDescent="0.5">
      <c r="S986" s="37">
        <f t="shared" si="31"/>
        <v>1280469.1148255505</v>
      </c>
      <c r="U986" s="26">
        <f t="shared" si="30"/>
        <v>18</v>
      </c>
    </row>
    <row r="987" spans="19:21" ht="14.65" thickBot="1" x14ac:dyDescent="0.5">
      <c r="S987" s="37">
        <f t="shared" si="31"/>
        <v>1293273.805973806</v>
      </c>
      <c r="U987" s="26">
        <f t="shared" si="30"/>
        <v>18</v>
      </c>
    </row>
    <row r="988" spans="19:21" ht="14.65" thickBot="1" x14ac:dyDescent="0.5">
      <c r="S988" s="37">
        <f t="shared" si="31"/>
        <v>1306206.5440335441</v>
      </c>
      <c r="U988" s="26">
        <f t="shared" si="30"/>
        <v>18</v>
      </c>
    </row>
    <row r="989" spans="19:21" ht="14.65" thickBot="1" x14ac:dyDescent="0.5">
      <c r="S989" s="37">
        <f t="shared" si="31"/>
        <v>1319268.6094738797</v>
      </c>
      <c r="U989" s="26">
        <f t="shared" si="30"/>
        <v>18</v>
      </c>
    </row>
    <row r="990" spans="19:21" ht="14.65" thickBot="1" x14ac:dyDescent="0.5">
      <c r="S990" s="37">
        <f t="shared" si="31"/>
        <v>1332461.2955686185</v>
      </c>
      <c r="U990" s="26">
        <f t="shared" si="30"/>
        <v>18</v>
      </c>
    </row>
    <row r="991" spans="19:21" ht="14.65" thickBot="1" x14ac:dyDescent="0.5">
      <c r="S991" s="37">
        <f t="shared" si="31"/>
        <v>1345785.9085243046</v>
      </c>
      <c r="U991" s="26">
        <f t="shared" si="30"/>
        <v>18</v>
      </c>
    </row>
    <row r="992" spans="19:21" ht="14.65" thickBot="1" x14ac:dyDescent="0.5">
      <c r="S992" s="37">
        <f t="shared" si="31"/>
        <v>1359243.7676095476</v>
      </c>
      <c r="U992" s="26">
        <f t="shared" si="30"/>
        <v>18</v>
      </c>
    </row>
    <row r="993" spans="19:21" ht="14.65" thickBot="1" x14ac:dyDescent="0.5">
      <c r="S993" s="37">
        <f t="shared" si="31"/>
        <v>1372836.205285643</v>
      </c>
      <c r="U993" s="26">
        <f t="shared" si="30"/>
        <v>18</v>
      </c>
    </row>
    <row r="994" spans="19:21" ht="14.65" thickBot="1" x14ac:dyDescent="0.5">
      <c r="S994" s="37">
        <f t="shared" si="31"/>
        <v>1386564.5673384995</v>
      </c>
      <c r="U994" s="26">
        <f t="shared" si="30"/>
        <v>18</v>
      </c>
    </row>
    <row r="995" spans="19:21" ht="14.65" thickBot="1" x14ac:dyDescent="0.5">
      <c r="S995" s="37">
        <f t="shared" si="31"/>
        <v>1400430.2130118846</v>
      </c>
      <c r="U995" s="26">
        <f t="shared" si="30"/>
        <v>18</v>
      </c>
    </row>
    <row r="996" spans="19:21" ht="14.65" thickBot="1" x14ac:dyDescent="0.5">
      <c r="S996" s="37">
        <f t="shared" si="31"/>
        <v>1414434.5151420035</v>
      </c>
      <c r="U996" s="26">
        <f t="shared" si="30"/>
        <v>18</v>
      </c>
    </row>
    <row r="997" spans="19:21" ht="14.65" thickBot="1" x14ac:dyDescent="0.5">
      <c r="S997" s="37">
        <f t="shared" si="31"/>
        <v>1428578.8602934235</v>
      </c>
      <c r="U997" s="26">
        <f t="shared" si="30"/>
        <v>18</v>
      </c>
    </row>
    <row r="998" spans="19:21" ht="14.65" thickBot="1" x14ac:dyDescent="0.5">
      <c r="S998" s="37">
        <f t="shared" si="31"/>
        <v>1442864.6488963577</v>
      </c>
      <c r="U998" s="26">
        <f t="shared" si="30"/>
        <v>18</v>
      </c>
    </row>
    <row r="999" spans="19:21" ht="14.65" thickBot="1" x14ac:dyDescent="0.5">
      <c r="S999" s="37">
        <f t="shared" si="31"/>
        <v>1457293.2953853214</v>
      </c>
      <c r="U999" s="26">
        <f t="shared" si="30"/>
        <v>18</v>
      </c>
    </row>
    <row r="1000" spans="19:21" ht="14.65" thickBot="1" x14ac:dyDescent="0.5">
      <c r="S1000" s="37">
        <f t="shared" si="31"/>
        <v>1471866.2283391745</v>
      </c>
      <c r="U1000" s="26">
        <f t="shared" si="30"/>
        <v>18</v>
      </c>
    </row>
    <row r="1001" spans="19:21" ht="14.65" thickBot="1" x14ac:dyDescent="0.5">
      <c r="S1001" s="37">
        <f t="shared" si="31"/>
        <v>1486584.8906225662</v>
      </c>
      <c r="U1001" s="26">
        <f t="shared" si="30"/>
        <v>18</v>
      </c>
    </row>
    <row r="1002" spans="19:21" ht="14.65" thickBot="1" x14ac:dyDescent="0.5">
      <c r="S1002" s="37">
        <f t="shared" si="31"/>
        <v>1501450.739528792</v>
      </c>
      <c r="U1002" s="26">
        <f t="shared" si="30"/>
        <v>18</v>
      </c>
    </row>
    <row r="1003" spans="19:21" ht="14.65" thickBot="1" x14ac:dyDescent="0.5">
      <c r="S1003" s="37">
        <f t="shared" si="31"/>
        <v>1516465.24692408</v>
      </c>
      <c r="U1003" s="26">
        <f t="shared" si="30"/>
        <v>18</v>
      </c>
    </row>
    <row r="1004" spans="19:21" ht="14.65" thickBot="1" x14ac:dyDescent="0.5">
      <c r="S1004" s="37">
        <f t="shared" si="31"/>
        <v>1531629.8993933208</v>
      </c>
      <c r="U1004" s="26">
        <f t="shared" si="30"/>
        <v>18</v>
      </c>
    </row>
    <row r="1005" spans="19:21" ht="14.65" thickBot="1" x14ac:dyDescent="0.5">
      <c r="S1005" s="37">
        <f t="shared" si="31"/>
        <v>1546946.198387254</v>
      </c>
      <c r="U1005" s="26">
        <f t="shared" si="30"/>
        <v>18</v>
      </c>
    </row>
    <row r="1006" spans="19:21" ht="14.65" thickBot="1" x14ac:dyDescent="0.5">
      <c r="S1006" s="37">
        <f t="shared" si="31"/>
        <v>1562415.6603711266</v>
      </c>
      <c r="U1006" s="26">
        <f t="shared" si="30"/>
        <v>18</v>
      </c>
    </row>
    <row r="1007" spans="19:21" ht="14.65" thickBot="1" x14ac:dyDescent="0.5">
      <c r="S1007" s="37">
        <f t="shared" si="31"/>
        <v>1578039.8169748378</v>
      </c>
      <c r="U1007" s="26">
        <f t="shared" si="30"/>
        <v>18</v>
      </c>
    </row>
    <row r="1008" spans="19:21" ht="14.65" thickBot="1" x14ac:dyDescent="0.5">
      <c r="S1008" s="37">
        <f t="shared" si="31"/>
        <v>1593820.2151445863</v>
      </c>
      <c r="U1008" s="26">
        <f t="shared" si="30"/>
        <v>18</v>
      </c>
    </row>
    <row r="1009" spans="19:21" ht="14.65" thickBot="1" x14ac:dyDescent="0.5">
      <c r="S1009" s="37">
        <f t="shared" si="31"/>
        <v>1609758.4172960322</v>
      </c>
      <c r="U1009" s="26">
        <f t="shared" si="30"/>
        <v>18</v>
      </c>
    </row>
    <row r="1010" spans="19:21" ht="14.65" thickBot="1" x14ac:dyDescent="0.5">
      <c r="S1010" s="37">
        <f t="shared" si="31"/>
        <v>1625856.0014689926</v>
      </c>
      <c r="U1010" s="26">
        <f t="shared" si="30"/>
        <v>18</v>
      </c>
    </row>
    <row r="1011" spans="19:21" ht="14.65" thickBot="1" x14ac:dyDescent="0.5">
      <c r="S1011" s="37">
        <f t="shared" si="31"/>
        <v>1642114.5614836826</v>
      </c>
      <c r="U1011" s="26">
        <f t="shared" si="30"/>
        <v>18</v>
      </c>
    </row>
    <row r="1012" spans="19:21" ht="14.65" thickBot="1" x14ac:dyDescent="0.5">
      <c r="S1012" s="37">
        <f t="shared" si="31"/>
        <v>1658535.7070985194</v>
      </c>
      <c r="U1012" s="26">
        <f t="shared" si="30"/>
        <v>18</v>
      </c>
    </row>
    <row r="1013" spans="19:21" ht="14.65" thickBot="1" x14ac:dyDescent="0.5">
      <c r="S1013" s="37">
        <f t="shared" si="31"/>
        <v>1675121.0641695047</v>
      </c>
      <c r="U1013" s="26">
        <f t="shared" si="30"/>
        <v>18</v>
      </c>
    </row>
    <row r="1014" spans="19:21" ht="14.65" thickBot="1" x14ac:dyDescent="0.5">
      <c r="S1014" s="37">
        <f t="shared" si="31"/>
        <v>1691872.2748111996</v>
      </c>
      <c r="U1014" s="26">
        <f t="shared" si="30"/>
        <v>18</v>
      </c>
    </row>
    <row r="1015" spans="19:21" ht="14.65" thickBot="1" x14ac:dyDescent="0.5">
      <c r="S1015" s="37">
        <f t="shared" si="31"/>
        <v>1708790.9975593116</v>
      </c>
      <c r="U1015" s="26">
        <f t="shared" si="30"/>
        <v>18</v>
      </c>
    </row>
    <row r="1016" spans="19:21" ht="14.65" thickBot="1" x14ac:dyDescent="0.5">
      <c r="S1016" s="37">
        <f t="shared" si="31"/>
        <v>1725878.9075349048</v>
      </c>
      <c r="U1016" s="26">
        <f t="shared" si="30"/>
        <v>18</v>
      </c>
    </row>
    <row r="1017" spans="19:21" ht="14.65" thickBot="1" x14ac:dyDescent="0.5">
      <c r="S1017" s="37">
        <f t="shared" si="31"/>
        <v>1743137.6966102538</v>
      </c>
      <c r="U1017" s="26">
        <f t="shared" si="30"/>
        <v>18</v>
      </c>
    </row>
    <row r="1018" spans="19:21" ht="14.65" thickBot="1" x14ac:dyDescent="0.5">
      <c r="S1018" s="37">
        <f t="shared" si="31"/>
        <v>1760569.0735763563</v>
      </c>
      <c r="U1018" s="26">
        <f t="shared" si="30"/>
        <v>18</v>
      </c>
    </row>
    <row r="1019" spans="19:21" ht="14.65" thickBot="1" x14ac:dyDescent="0.5">
      <c r="S1019" s="37">
        <f t="shared" si="31"/>
        <v>1778174.7643121199</v>
      </c>
      <c r="U1019" s="26">
        <f t="shared" si="30"/>
        <v>18</v>
      </c>
    </row>
    <row r="1020" spans="19:21" ht="14.65" thickBot="1" x14ac:dyDescent="0.5">
      <c r="S1020" s="37">
        <f t="shared" si="31"/>
        <v>1795956.5119552412</v>
      </c>
      <c r="U1020" s="26">
        <f t="shared" si="30"/>
        <v>18</v>
      </c>
    </row>
    <row r="1021" spans="19:21" ht="14.65" thickBot="1" x14ac:dyDescent="0.5">
      <c r="S1021" s="37">
        <f t="shared" si="31"/>
        <v>1813916.0770747936</v>
      </c>
      <c r="U1021" s="26">
        <f t="shared" si="30"/>
        <v>18</v>
      </c>
    </row>
    <row r="1022" spans="19:21" ht="14.65" thickBot="1" x14ac:dyDescent="0.5">
      <c r="S1022" s="37">
        <f t="shared" si="31"/>
        <v>1832055.2378455417</v>
      </c>
      <c r="U1022" s="26">
        <f t="shared" si="30"/>
        <v>18</v>
      </c>
    </row>
    <row r="1023" spans="19:21" ht="14.65" thickBot="1" x14ac:dyDescent="0.5">
      <c r="S1023" s="37">
        <f t="shared" si="31"/>
        <v>1850375.7902239971</v>
      </c>
      <c r="U1023" s="26">
        <f t="shared" si="30"/>
        <v>18</v>
      </c>
    </row>
    <row r="1024" spans="19:21" ht="14.65" thickBot="1" x14ac:dyDescent="0.5">
      <c r="S1024" s="37">
        <f t="shared" si="31"/>
        <v>1868879.548126237</v>
      </c>
      <c r="U1024" s="26">
        <f t="shared" si="30"/>
        <v>18</v>
      </c>
    </row>
    <row r="1025" spans="19:21" ht="14.65" thickBot="1" x14ac:dyDescent="0.5">
      <c r="S1025" s="37">
        <f t="shared" si="31"/>
        <v>1887568.3436074995</v>
      </c>
      <c r="U1025" s="26">
        <f t="shared" si="30"/>
        <v>18</v>
      </c>
    </row>
    <row r="1026" spans="19:21" ht="14.65" thickBot="1" x14ac:dyDescent="0.5">
      <c r="S1026" s="37">
        <f t="shared" si="31"/>
        <v>1906444.0270435745</v>
      </c>
      <c r="U1026" s="26">
        <f t="shared" si="30"/>
        <v>18</v>
      </c>
    </row>
    <row r="1027" spans="19:21" ht="14.65" thickBot="1" x14ac:dyDescent="0.5">
      <c r="S1027" s="37">
        <f t="shared" si="31"/>
        <v>1925508.4673140103</v>
      </c>
      <c r="U1027" s="26">
        <f t="shared" si="30"/>
        <v>18</v>
      </c>
    </row>
    <row r="1028" spans="19:21" ht="14.65" thickBot="1" x14ac:dyDescent="0.5">
      <c r="S1028" s="37">
        <f t="shared" si="31"/>
        <v>1944763.5519871505</v>
      </c>
      <c r="U1028" s="26">
        <f t="shared" si="30"/>
        <v>18</v>
      </c>
    </row>
    <row r="1029" spans="19:21" ht="14.65" thickBot="1" x14ac:dyDescent="0.5">
      <c r="S1029" s="37">
        <f t="shared" si="31"/>
        <v>1964211.1875070219</v>
      </c>
      <c r="U1029" s="26">
        <f t="shared" si="30"/>
        <v>18</v>
      </c>
    </row>
    <row r="1030" spans="19:21" ht="14.65" thickBot="1" x14ac:dyDescent="0.5">
      <c r="S1030" s="37">
        <f t="shared" si="31"/>
        <v>1983853.2993820922</v>
      </c>
      <c r="U1030" s="26">
        <f t="shared" si="30"/>
        <v>18</v>
      </c>
    </row>
    <row r="1031" spans="19:21" ht="14.65" thickBot="1" x14ac:dyDescent="0.5">
      <c r="S1031" s="37">
        <f t="shared" si="31"/>
        <v>2003691.8323759132</v>
      </c>
      <c r="U1031" s="26">
        <f t="shared" si="30"/>
        <v>18</v>
      </c>
    </row>
    <row r="1032" spans="19:21" ht="14.65" thickBot="1" x14ac:dyDescent="0.5">
      <c r="S1032" s="37">
        <f t="shared" si="31"/>
        <v>2023728.7506996724</v>
      </c>
      <c r="U1032" s="26">
        <f t="shared" si="30"/>
        <v>18</v>
      </c>
    </row>
    <row r="1033" spans="19:21" ht="14.65" thickBot="1" x14ac:dyDescent="0.5">
      <c r="S1033" s="37">
        <f t="shared" si="31"/>
        <v>2043966.038206669</v>
      </c>
      <c r="U1033" s="26">
        <f t="shared" si="30"/>
        <v>18</v>
      </c>
    </row>
  </sheetData>
  <conditionalFormatting sqref="D13">
    <cfRule type="cellIs" dxfId="23" priority="3" operator="greaterThan">
      <formula>0</formula>
    </cfRule>
    <cfRule type="cellIs" dxfId="22" priority="4" operator="lessThan">
      <formula>0</formula>
    </cfRule>
  </conditionalFormatting>
  <conditionalFormatting sqref="U18:U1033">
    <cfRule type="cellIs" dxfId="21" priority="1" operator="greaterThan">
      <formula>0</formula>
    </cfRule>
    <cfRule type="cellIs" dxfId="20" priority="2" operator="lessThan">
      <formula>0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0A2D4-6690-4465-A30B-DE224EB96301}">
  <dimension ref="A1:U1033"/>
  <sheetViews>
    <sheetView zoomScaleNormal="100" workbookViewId="0">
      <selection activeCell="D12" sqref="D12"/>
    </sheetView>
  </sheetViews>
  <sheetFormatPr defaultColWidth="9.1328125" defaultRowHeight="14.25" x14ac:dyDescent="0.45"/>
  <cols>
    <col min="1" max="1" width="12.1328125" style="1" customWidth="1"/>
    <col min="2" max="2" width="1.59765625" style="1" customWidth="1"/>
    <col min="3" max="8" width="33.3984375" style="1" customWidth="1"/>
    <col min="9" max="10" width="9.1328125" style="1"/>
    <col min="11" max="11" width="13.3984375" style="1" customWidth="1"/>
    <col min="12" max="12" width="20" style="1" customWidth="1"/>
    <col min="13" max="14" width="11.86328125" style="1" customWidth="1"/>
    <col min="15" max="16384" width="9.1328125" style="1"/>
  </cols>
  <sheetData>
    <row r="1" spans="1:10" ht="18" x14ac:dyDescent="0.55000000000000004">
      <c r="A1" s="28" t="s">
        <v>114</v>
      </c>
    </row>
    <row r="2" spans="1:10" x14ac:dyDescent="0.45">
      <c r="C2" s="20"/>
      <c r="E2" s="20" t="s">
        <v>68</v>
      </c>
    </row>
    <row r="3" spans="1:10" ht="14.65" thickBot="1" x14ac:dyDescent="0.5">
      <c r="E3" s="20" t="s">
        <v>69</v>
      </c>
    </row>
    <row r="4" spans="1:10" ht="30.75" customHeight="1" x14ac:dyDescent="0.45">
      <c r="C4" s="6" t="s">
        <v>30</v>
      </c>
      <c r="D4" s="7" t="s">
        <v>15</v>
      </c>
      <c r="E4" s="7" t="s">
        <v>31</v>
      </c>
      <c r="F4" s="7" t="s">
        <v>35</v>
      </c>
      <c r="G4" s="7" t="s">
        <v>34</v>
      </c>
      <c r="H4" s="8" t="s">
        <v>27</v>
      </c>
      <c r="J4" s="4"/>
    </row>
    <row r="5" spans="1:10" ht="30.75" customHeight="1" thickBot="1" x14ac:dyDescent="0.5">
      <c r="C5" s="27" t="s">
        <v>41</v>
      </c>
      <c r="D5" s="9" t="s">
        <v>32</v>
      </c>
      <c r="E5" s="9" t="s">
        <v>58</v>
      </c>
      <c r="F5" s="9" t="s">
        <v>32</v>
      </c>
      <c r="G5" s="9" t="s">
        <v>70</v>
      </c>
      <c r="H5" s="10" t="s">
        <v>63</v>
      </c>
      <c r="J5" s="4"/>
    </row>
    <row r="6" spans="1:10" ht="30.75" customHeight="1" thickBot="1" x14ac:dyDescent="0.5"/>
    <row r="7" spans="1:10" x14ac:dyDescent="0.45">
      <c r="C7" s="6" t="s">
        <v>71</v>
      </c>
      <c r="D7" s="31">
        <v>7</v>
      </c>
    </row>
    <row r="8" spans="1:10" x14ac:dyDescent="0.45">
      <c r="C8" s="29" t="s">
        <v>72</v>
      </c>
      <c r="D8" s="22">
        <v>5</v>
      </c>
    </row>
    <row r="9" spans="1:10" x14ac:dyDescent="0.45">
      <c r="C9" s="29" t="s">
        <v>66</v>
      </c>
      <c r="D9" s="22">
        <v>0.46760000000000002</v>
      </c>
    </row>
    <row r="10" spans="1:10" x14ac:dyDescent="0.45">
      <c r="C10" s="29" t="s">
        <v>67</v>
      </c>
      <c r="D10" s="22">
        <v>6.5000000000000002E-2</v>
      </c>
    </row>
    <row r="11" spans="1:10" x14ac:dyDescent="0.45">
      <c r="C11" s="29" t="s">
        <v>28</v>
      </c>
      <c r="D11" s="22">
        <v>5</v>
      </c>
    </row>
    <row r="12" spans="1:10" x14ac:dyDescent="0.45">
      <c r="C12" s="29" t="s">
        <v>27</v>
      </c>
      <c r="D12" s="24">
        <f>D7-(D9-D10)</f>
        <v>6.5974000000000004</v>
      </c>
    </row>
    <row r="13" spans="1:10" ht="14.65" thickBot="1" x14ac:dyDescent="0.5">
      <c r="C13" s="30" t="s">
        <v>29</v>
      </c>
      <c r="D13" s="26">
        <f>IF(D11&gt;D7,-D9+D10,MIN(D7-D11-D9+D10,(D7-D8)-D9+D10))</f>
        <v>1.5973999999999999</v>
      </c>
    </row>
    <row r="17" spans="19:21" x14ac:dyDescent="0.45">
      <c r="S17" s="1" t="s">
        <v>25</v>
      </c>
    </row>
    <row r="18" spans="19:21" ht="14.65" thickBot="1" x14ac:dyDescent="0.5">
      <c r="S18" s="37">
        <f>ROUND((D8-(0.3*D8)),0)</f>
        <v>4</v>
      </c>
      <c r="U18" s="26">
        <f>IF(S18&gt;$D$7,-$D$9+$D$10,MIN($D$7-S18-$D$9+$D$10,($D$7-$D$8)-$D$9+$D$10))</f>
        <v>1.5973999999999999</v>
      </c>
    </row>
    <row r="19" spans="19:21" ht="14.65" thickBot="1" x14ac:dyDescent="0.5">
      <c r="S19" s="37">
        <f>S18*(1.01)</f>
        <v>4.04</v>
      </c>
      <c r="U19" s="26">
        <f t="shared" ref="U19:U82" si="0">IF(S19&gt;$D$7,-$D$9+$D$10,MIN($D$7-S19-$D$9+$D$10,($D$7-$D$8)-$D$9+$D$10))</f>
        <v>1.5973999999999999</v>
      </c>
    </row>
    <row r="20" spans="19:21" ht="14.65" thickBot="1" x14ac:dyDescent="0.5">
      <c r="S20" s="37">
        <f t="shared" ref="S20:S83" si="1">S19*(1.01)</f>
        <v>4.0804</v>
      </c>
      <c r="U20" s="26">
        <f t="shared" si="0"/>
        <v>1.5973999999999999</v>
      </c>
    </row>
    <row r="21" spans="19:21" ht="14.65" thickBot="1" x14ac:dyDescent="0.5">
      <c r="S21" s="37">
        <f t="shared" si="1"/>
        <v>4.1212039999999996</v>
      </c>
      <c r="U21" s="26">
        <f t="shared" si="0"/>
        <v>1.5973999999999999</v>
      </c>
    </row>
    <row r="22" spans="19:21" ht="14.65" thickBot="1" x14ac:dyDescent="0.5">
      <c r="S22" s="37">
        <f t="shared" si="1"/>
        <v>4.1624160400000001</v>
      </c>
      <c r="U22" s="26">
        <f t="shared" si="0"/>
        <v>1.5973999999999999</v>
      </c>
    </row>
    <row r="23" spans="19:21" ht="14.65" thickBot="1" x14ac:dyDescent="0.5">
      <c r="S23" s="37">
        <f t="shared" si="1"/>
        <v>4.2040402003999997</v>
      </c>
      <c r="U23" s="26">
        <f t="shared" si="0"/>
        <v>1.5973999999999999</v>
      </c>
    </row>
    <row r="24" spans="19:21" ht="14.65" thickBot="1" x14ac:dyDescent="0.5">
      <c r="S24" s="37">
        <f t="shared" si="1"/>
        <v>4.2460806024039996</v>
      </c>
      <c r="U24" s="26">
        <f t="shared" si="0"/>
        <v>1.5973999999999999</v>
      </c>
    </row>
    <row r="25" spans="19:21" ht="14.65" thickBot="1" x14ac:dyDescent="0.5">
      <c r="S25" s="37">
        <f t="shared" si="1"/>
        <v>4.2885414084280393</v>
      </c>
      <c r="U25" s="26">
        <f t="shared" si="0"/>
        <v>1.5973999999999999</v>
      </c>
    </row>
    <row r="26" spans="19:21" ht="14.65" thickBot="1" x14ac:dyDescent="0.5">
      <c r="S26" s="37">
        <f>S25*(1.01)</f>
        <v>4.33142682251232</v>
      </c>
      <c r="U26" s="26">
        <f t="shared" si="0"/>
        <v>1.5973999999999999</v>
      </c>
    </row>
    <row r="27" spans="19:21" ht="14.65" thickBot="1" x14ac:dyDescent="0.5">
      <c r="S27" s="37">
        <f t="shared" si="1"/>
        <v>4.3747410907374435</v>
      </c>
      <c r="U27" s="26">
        <f t="shared" si="0"/>
        <v>1.5973999999999999</v>
      </c>
    </row>
    <row r="28" spans="19:21" ht="14.65" thickBot="1" x14ac:dyDescent="0.5">
      <c r="S28" s="37">
        <f t="shared" si="1"/>
        <v>4.4184885016448181</v>
      </c>
      <c r="U28" s="26">
        <f t="shared" si="0"/>
        <v>1.5973999999999999</v>
      </c>
    </row>
    <row r="29" spans="19:21" ht="14.65" thickBot="1" x14ac:dyDescent="0.5">
      <c r="S29" s="37">
        <f t="shared" si="1"/>
        <v>4.4626733866612662</v>
      </c>
      <c r="U29" s="26">
        <f t="shared" si="0"/>
        <v>1.5973999999999999</v>
      </c>
    </row>
    <row r="30" spans="19:21" ht="14.65" thickBot="1" x14ac:dyDescent="0.5">
      <c r="S30" s="37">
        <f t="shared" si="1"/>
        <v>4.5073001205278791</v>
      </c>
      <c r="U30" s="26">
        <f t="shared" si="0"/>
        <v>1.5973999999999999</v>
      </c>
    </row>
    <row r="31" spans="19:21" ht="14.65" thickBot="1" x14ac:dyDescent="0.5">
      <c r="S31" s="37">
        <f t="shared" si="1"/>
        <v>4.552373121733158</v>
      </c>
      <c r="U31" s="26">
        <f t="shared" si="0"/>
        <v>1.5973999999999999</v>
      </c>
    </row>
    <row r="32" spans="19:21" ht="14.65" thickBot="1" x14ac:dyDescent="0.5">
      <c r="S32" s="37">
        <f>S31*(1.01)</f>
        <v>4.5978968529504893</v>
      </c>
      <c r="U32" s="26">
        <f t="shared" si="0"/>
        <v>1.5973999999999999</v>
      </c>
    </row>
    <row r="33" spans="19:21" ht="14.65" thickBot="1" x14ac:dyDescent="0.5">
      <c r="S33" s="37">
        <f t="shared" si="1"/>
        <v>4.6438758214799947</v>
      </c>
      <c r="U33" s="26">
        <f t="shared" si="0"/>
        <v>1.5973999999999999</v>
      </c>
    </row>
    <row r="34" spans="19:21" ht="14.65" thickBot="1" x14ac:dyDescent="0.5">
      <c r="S34" s="37">
        <f t="shared" si="1"/>
        <v>4.6903145796947943</v>
      </c>
      <c r="U34" s="26">
        <f t="shared" si="0"/>
        <v>1.5973999999999999</v>
      </c>
    </row>
    <row r="35" spans="19:21" ht="14.65" thickBot="1" x14ac:dyDescent="0.5">
      <c r="S35" s="37">
        <f t="shared" si="1"/>
        <v>4.7372177254917425</v>
      </c>
      <c r="U35" s="26">
        <f t="shared" si="0"/>
        <v>1.5973999999999999</v>
      </c>
    </row>
    <row r="36" spans="19:21" ht="14.65" thickBot="1" x14ac:dyDescent="0.5">
      <c r="S36" s="37">
        <f t="shared" si="1"/>
        <v>4.7845899027466601</v>
      </c>
      <c r="U36" s="26">
        <f t="shared" si="0"/>
        <v>1.5973999999999999</v>
      </c>
    </row>
    <row r="37" spans="19:21" ht="14.65" thickBot="1" x14ac:dyDescent="0.5">
      <c r="S37" s="37">
        <f t="shared" si="1"/>
        <v>4.8324358017741265</v>
      </c>
      <c r="U37" s="26">
        <f t="shared" si="0"/>
        <v>1.5973999999999999</v>
      </c>
    </row>
    <row r="38" spans="19:21" ht="14.65" thickBot="1" x14ac:dyDescent="0.5">
      <c r="S38" s="37">
        <f t="shared" si="1"/>
        <v>4.8807601597918682</v>
      </c>
      <c r="U38" s="26">
        <f t="shared" si="0"/>
        <v>1.5973999999999999</v>
      </c>
    </row>
    <row r="39" spans="19:21" ht="14.65" thickBot="1" x14ac:dyDescent="0.5">
      <c r="S39" s="37">
        <f t="shared" si="1"/>
        <v>4.9295677613897873</v>
      </c>
      <c r="U39" s="26">
        <f t="shared" si="0"/>
        <v>1.5973999999999999</v>
      </c>
    </row>
    <row r="40" spans="19:21" ht="14.65" thickBot="1" x14ac:dyDescent="0.5">
      <c r="S40" s="37">
        <f t="shared" si="1"/>
        <v>4.9788634390036854</v>
      </c>
      <c r="U40" s="26">
        <f t="shared" si="0"/>
        <v>1.5973999999999999</v>
      </c>
    </row>
    <row r="41" spans="19:21" ht="14.65" thickBot="1" x14ac:dyDescent="0.5">
      <c r="S41" s="37">
        <f t="shared" si="1"/>
        <v>5.0286520733937223</v>
      </c>
      <c r="U41" s="26">
        <f t="shared" si="0"/>
        <v>1.5687479266062776</v>
      </c>
    </row>
    <row r="42" spans="19:21" ht="14.65" thickBot="1" x14ac:dyDescent="0.5">
      <c r="S42" s="37">
        <f t="shared" si="1"/>
        <v>5.0789385941276599</v>
      </c>
      <c r="U42" s="26">
        <f t="shared" si="0"/>
        <v>1.51846140587234</v>
      </c>
    </row>
    <row r="43" spans="19:21" ht="14.65" thickBot="1" x14ac:dyDescent="0.5">
      <c r="S43" s="37">
        <f t="shared" si="1"/>
        <v>5.1297279800689362</v>
      </c>
      <c r="U43" s="26">
        <f t="shared" si="0"/>
        <v>1.4676720199310638</v>
      </c>
    </row>
    <row r="44" spans="19:21" ht="14.65" thickBot="1" x14ac:dyDescent="0.5">
      <c r="S44" s="37">
        <f t="shared" si="1"/>
        <v>5.1810252598696254</v>
      </c>
      <c r="U44" s="26">
        <f t="shared" si="0"/>
        <v>1.4163747401303746</v>
      </c>
    </row>
    <row r="45" spans="19:21" ht="14.65" thickBot="1" x14ac:dyDescent="0.5">
      <c r="S45" s="37">
        <f t="shared" si="1"/>
        <v>5.2328355124683217</v>
      </c>
      <c r="U45" s="26">
        <f t="shared" si="0"/>
        <v>1.3645644875316782</v>
      </c>
    </row>
    <row r="46" spans="19:21" ht="14.65" thickBot="1" x14ac:dyDescent="0.5">
      <c r="S46" s="37">
        <f t="shared" si="1"/>
        <v>5.2851638675930053</v>
      </c>
      <c r="U46" s="26">
        <f t="shared" si="0"/>
        <v>1.3122361324069947</v>
      </c>
    </row>
    <row r="47" spans="19:21" ht="14.65" thickBot="1" x14ac:dyDescent="0.5">
      <c r="S47" s="37">
        <f t="shared" si="1"/>
        <v>5.3380155062689356</v>
      </c>
      <c r="U47" s="26">
        <f t="shared" si="0"/>
        <v>1.2593844937310643</v>
      </c>
    </row>
    <row r="48" spans="19:21" ht="14.65" thickBot="1" x14ac:dyDescent="0.5">
      <c r="S48" s="37">
        <f t="shared" si="1"/>
        <v>5.3913956613316252</v>
      </c>
      <c r="U48" s="26">
        <f t="shared" si="0"/>
        <v>1.2060043386683748</v>
      </c>
    </row>
    <row r="49" spans="19:21" ht="14.65" thickBot="1" x14ac:dyDescent="0.5">
      <c r="S49" s="37">
        <f t="shared" si="1"/>
        <v>5.4453096179449414</v>
      </c>
      <c r="U49" s="26">
        <f t="shared" si="0"/>
        <v>1.1520903820550585</v>
      </c>
    </row>
    <row r="50" spans="19:21" ht="14.65" thickBot="1" x14ac:dyDescent="0.5">
      <c r="S50" s="37">
        <f t="shared" si="1"/>
        <v>5.4997627141243912</v>
      </c>
      <c r="U50" s="26">
        <f>IF(S50&gt;$D$7,-$D$9+$D$10,MIN($D$7-S50-$D$9+$D$10,($D$7-$D$8)-$D$9+$D$10))</f>
        <v>1.0976372858756087</v>
      </c>
    </row>
    <row r="51" spans="19:21" ht="14.65" thickBot="1" x14ac:dyDescent="0.5">
      <c r="S51" s="37">
        <f t="shared" si="1"/>
        <v>5.5547603412656352</v>
      </c>
      <c r="U51" s="26">
        <f t="shared" si="0"/>
        <v>1.0426396587343647</v>
      </c>
    </row>
    <row r="52" spans="19:21" ht="14.65" thickBot="1" x14ac:dyDescent="0.5">
      <c r="S52" s="37">
        <f t="shared" si="1"/>
        <v>5.6103079446782917</v>
      </c>
      <c r="U52" s="26">
        <f t="shared" si="0"/>
        <v>0.98709205532170818</v>
      </c>
    </row>
    <row r="53" spans="19:21" ht="14.65" thickBot="1" x14ac:dyDescent="0.5">
      <c r="S53" s="37">
        <f t="shared" si="1"/>
        <v>5.6664110241250745</v>
      </c>
      <c r="U53" s="26">
        <f t="shared" si="0"/>
        <v>0.93098897587492546</v>
      </c>
    </row>
    <row r="54" spans="19:21" ht="14.65" thickBot="1" x14ac:dyDescent="0.5">
      <c r="S54" s="37">
        <f t="shared" si="1"/>
        <v>5.7230751343663249</v>
      </c>
      <c r="U54" s="26">
        <f t="shared" si="0"/>
        <v>0.87432486563367506</v>
      </c>
    </row>
    <row r="55" spans="19:21" ht="14.65" thickBot="1" x14ac:dyDescent="0.5">
      <c r="S55" s="37">
        <f t="shared" si="1"/>
        <v>5.7803058857099883</v>
      </c>
      <c r="U55" s="26">
        <f t="shared" si="0"/>
        <v>0.81709411429001166</v>
      </c>
    </row>
    <row r="56" spans="19:21" ht="14.65" thickBot="1" x14ac:dyDescent="0.5">
      <c r="S56" s="37">
        <f t="shared" si="1"/>
        <v>5.8381089445670886</v>
      </c>
      <c r="U56" s="26">
        <f t="shared" si="0"/>
        <v>0.75929105543291131</v>
      </c>
    </row>
    <row r="57" spans="19:21" ht="14.65" thickBot="1" x14ac:dyDescent="0.5">
      <c r="S57" s="37">
        <f t="shared" si="1"/>
        <v>5.8964900340127597</v>
      </c>
      <c r="U57" s="26">
        <f t="shared" si="0"/>
        <v>0.7009099659872402</v>
      </c>
    </row>
    <row r="58" spans="19:21" ht="14.65" thickBot="1" x14ac:dyDescent="0.5">
      <c r="S58" s="37">
        <f t="shared" si="1"/>
        <v>5.9554549343528871</v>
      </c>
      <c r="U58" s="26">
        <f t="shared" si="0"/>
        <v>0.64194506564711284</v>
      </c>
    </row>
    <row r="59" spans="19:21" ht="14.65" thickBot="1" x14ac:dyDescent="0.5">
      <c r="S59" s="37">
        <f t="shared" si="1"/>
        <v>6.0150094836964163</v>
      </c>
      <c r="U59" s="26">
        <f t="shared" si="0"/>
        <v>0.58239051630358363</v>
      </c>
    </row>
    <row r="60" spans="19:21" ht="14.65" thickBot="1" x14ac:dyDescent="0.5">
      <c r="S60" s="37">
        <f t="shared" si="1"/>
        <v>6.0751595785333805</v>
      </c>
      <c r="U60" s="26">
        <f t="shared" si="0"/>
        <v>0.52224042146661942</v>
      </c>
    </row>
    <row r="61" spans="19:21" ht="14.65" thickBot="1" x14ac:dyDescent="0.5">
      <c r="S61" s="37">
        <f t="shared" si="1"/>
        <v>6.1359111743187142</v>
      </c>
      <c r="U61" s="26">
        <f t="shared" si="0"/>
        <v>0.46148882568128574</v>
      </c>
    </row>
    <row r="62" spans="19:21" ht="14.65" thickBot="1" x14ac:dyDescent="0.5">
      <c r="S62" s="37">
        <f t="shared" si="1"/>
        <v>6.1972702860619018</v>
      </c>
      <c r="U62" s="26">
        <f t="shared" si="0"/>
        <v>0.40012971393809821</v>
      </c>
    </row>
    <row r="63" spans="19:21" ht="14.65" thickBot="1" x14ac:dyDescent="0.5">
      <c r="S63" s="37">
        <f t="shared" si="1"/>
        <v>6.2592429889225212</v>
      </c>
      <c r="U63" s="26">
        <f t="shared" si="0"/>
        <v>0.33815701107747881</v>
      </c>
    </row>
    <row r="64" spans="19:21" ht="14.65" thickBot="1" x14ac:dyDescent="0.5">
      <c r="S64" s="37">
        <f t="shared" si="1"/>
        <v>6.3218354188117463</v>
      </c>
      <c r="U64" s="26">
        <f>IF(S64&gt;$D$7,-$D$9+$D$10,MIN($D$7-S64-$D$9+$D$10,($D$7-$D$8)-$D$9+$D$10))</f>
        <v>0.27556458118825372</v>
      </c>
    </row>
    <row r="65" spans="19:21" ht="14.65" thickBot="1" x14ac:dyDescent="0.5">
      <c r="S65" s="37">
        <f t="shared" si="1"/>
        <v>6.3850537729998642</v>
      </c>
      <c r="U65" s="26">
        <f t="shared" si="0"/>
        <v>0.21234622700013578</v>
      </c>
    </row>
    <row r="66" spans="19:21" ht="14.65" thickBot="1" x14ac:dyDescent="0.5">
      <c r="S66" s="37">
        <f t="shared" si="1"/>
        <v>6.4489043107298629</v>
      </c>
      <c r="U66" s="26">
        <f t="shared" si="0"/>
        <v>0.14849568927013707</v>
      </c>
    </row>
    <row r="67" spans="19:21" ht="14.65" thickBot="1" x14ac:dyDescent="0.5">
      <c r="S67" s="37">
        <f t="shared" si="1"/>
        <v>6.513393353837162</v>
      </c>
      <c r="U67" s="26">
        <f t="shared" si="0"/>
        <v>8.4006646162837983E-2</v>
      </c>
    </row>
    <row r="68" spans="19:21" ht="14.65" thickBot="1" x14ac:dyDescent="0.5">
      <c r="S68" s="37">
        <f t="shared" si="1"/>
        <v>6.5785272873755334</v>
      </c>
      <c r="U68" s="26">
        <f t="shared" si="0"/>
        <v>1.8872712624466603E-2</v>
      </c>
    </row>
    <row r="69" spans="19:21" ht="14.65" thickBot="1" x14ac:dyDescent="0.5">
      <c r="S69" s="37">
        <f t="shared" si="1"/>
        <v>6.644312560249289</v>
      </c>
      <c r="U69" s="26">
        <f t="shared" si="0"/>
        <v>-4.691256024928897E-2</v>
      </c>
    </row>
    <row r="70" spans="19:21" ht="14.65" thickBot="1" x14ac:dyDescent="0.5">
      <c r="S70" s="37">
        <f t="shared" si="1"/>
        <v>6.7107556858517823</v>
      </c>
      <c r="U70" s="26">
        <f t="shared" si="0"/>
        <v>-0.1133556858517823</v>
      </c>
    </row>
    <row r="71" spans="19:21" ht="14.65" thickBot="1" x14ac:dyDescent="0.5">
      <c r="S71" s="37">
        <f t="shared" si="1"/>
        <v>6.7778632427102998</v>
      </c>
      <c r="U71" s="26">
        <f t="shared" si="0"/>
        <v>-0.18046324271029984</v>
      </c>
    </row>
    <row r="72" spans="19:21" ht="14.65" thickBot="1" x14ac:dyDescent="0.5">
      <c r="S72" s="37">
        <f t="shared" si="1"/>
        <v>6.8456418751374031</v>
      </c>
      <c r="U72" s="26">
        <f t="shared" si="0"/>
        <v>-0.24824187513740309</v>
      </c>
    </row>
    <row r="73" spans="19:21" ht="14.65" thickBot="1" x14ac:dyDescent="0.5">
      <c r="S73" s="37">
        <f t="shared" si="1"/>
        <v>6.9140982938887774</v>
      </c>
      <c r="U73" s="26">
        <f t="shared" si="0"/>
        <v>-0.3166982938887774</v>
      </c>
    </row>
    <row r="74" spans="19:21" ht="14.65" thickBot="1" x14ac:dyDescent="0.5">
      <c r="S74" s="37">
        <f t="shared" si="1"/>
        <v>6.983239276827665</v>
      </c>
      <c r="U74" s="26">
        <f t="shared" si="0"/>
        <v>-0.385839276827665</v>
      </c>
    </row>
    <row r="75" spans="19:21" ht="14.65" thickBot="1" x14ac:dyDescent="0.5">
      <c r="S75" s="37">
        <f t="shared" si="1"/>
        <v>7.0530716695959415</v>
      </c>
      <c r="U75" s="26">
        <f t="shared" si="0"/>
        <v>-0.40260000000000001</v>
      </c>
    </row>
    <row r="76" spans="19:21" ht="14.65" thickBot="1" x14ac:dyDescent="0.5">
      <c r="S76" s="37">
        <f t="shared" si="1"/>
        <v>7.1236023862919007</v>
      </c>
      <c r="U76" s="26">
        <f t="shared" si="0"/>
        <v>-0.40260000000000001</v>
      </c>
    </row>
    <row r="77" spans="19:21" ht="14.65" thickBot="1" x14ac:dyDescent="0.5">
      <c r="S77" s="37">
        <f t="shared" si="1"/>
        <v>7.1948384101548202</v>
      </c>
      <c r="U77" s="26">
        <f t="shared" si="0"/>
        <v>-0.40260000000000001</v>
      </c>
    </row>
    <row r="78" spans="19:21" ht="14.65" thickBot="1" x14ac:dyDescent="0.5">
      <c r="S78" s="37">
        <f t="shared" si="1"/>
        <v>7.2667867942563689</v>
      </c>
      <c r="U78" s="26">
        <f t="shared" si="0"/>
        <v>-0.40260000000000001</v>
      </c>
    </row>
    <row r="79" spans="19:21" ht="14.65" thickBot="1" x14ac:dyDescent="0.5">
      <c r="S79" s="37">
        <f t="shared" si="1"/>
        <v>7.3394546621989329</v>
      </c>
      <c r="U79" s="26">
        <f t="shared" si="0"/>
        <v>-0.40260000000000001</v>
      </c>
    </row>
    <row r="80" spans="19:21" ht="14.65" thickBot="1" x14ac:dyDescent="0.5">
      <c r="S80" s="37">
        <f t="shared" si="1"/>
        <v>7.4128492088209219</v>
      </c>
      <c r="U80" s="26">
        <f t="shared" si="0"/>
        <v>-0.40260000000000001</v>
      </c>
    </row>
    <row r="81" spans="19:21" ht="14.65" thickBot="1" x14ac:dyDescent="0.5">
      <c r="S81" s="37">
        <f t="shared" si="1"/>
        <v>7.4869777009091312</v>
      </c>
      <c r="U81" s="26">
        <f t="shared" si="0"/>
        <v>-0.40260000000000001</v>
      </c>
    </row>
    <row r="82" spans="19:21" ht="14.65" thickBot="1" x14ac:dyDescent="0.5">
      <c r="S82" s="37">
        <f t="shared" si="1"/>
        <v>7.5618474779182225</v>
      </c>
      <c r="U82" s="26">
        <f t="shared" si="0"/>
        <v>-0.40260000000000001</v>
      </c>
    </row>
    <row r="83" spans="19:21" ht="14.65" thickBot="1" x14ac:dyDescent="0.5">
      <c r="S83" s="37">
        <f t="shared" si="1"/>
        <v>7.6374659526974051</v>
      </c>
      <c r="U83" s="26">
        <f t="shared" ref="U83:U146" si="2">IF(S83&gt;$D$7,-$D$9+$D$10,MIN($D$7-S83-$D$9+$D$10,($D$7-$D$8)-$D$9+$D$10))</f>
        <v>-0.40260000000000001</v>
      </c>
    </row>
    <row r="84" spans="19:21" ht="14.65" thickBot="1" x14ac:dyDescent="0.5">
      <c r="S84" s="37">
        <f t="shared" ref="S84:S147" si="3">S83*(1.01)</f>
        <v>7.713840612224379</v>
      </c>
      <c r="U84" s="26">
        <f t="shared" si="2"/>
        <v>-0.40260000000000001</v>
      </c>
    </row>
    <row r="85" spans="19:21" ht="14.65" thickBot="1" x14ac:dyDescent="0.5">
      <c r="S85" s="37">
        <f t="shared" si="3"/>
        <v>7.790979018346623</v>
      </c>
      <c r="U85" s="26">
        <f t="shared" si="2"/>
        <v>-0.40260000000000001</v>
      </c>
    </row>
    <row r="86" spans="19:21" ht="14.65" thickBot="1" x14ac:dyDescent="0.5">
      <c r="S86" s="37">
        <f t="shared" si="3"/>
        <v>7.8688888085300892</v>
      </c>
      <c r="U86" s="26">
        <f t="shared" si="2"/>
        <v>-0.40260000000000001</v>
      </c>
    </row>
    <row r="87" spans="19:21" ht="14.65" thickBot="1" x14ac:dyDescent="0.5">
      <c r="S87" s="37">
        <f t="shared" si="3"/>
        <v>7.9475776966153902</v>
      </c>
      <c r="U87" s="26">
        <f t="shared" si="2"/>
        <v>-0.40260000000000001</v>
      </c>
    </row>
    <row r="88" spans="19:21" ht="14.65" thickBot="1" x14ac:dyDescent="0.5">
      <c r="S88" s="37">
        <f t="shared" si="3"/>
        <v>8.0270534735815442</v>
      </c>
      <c r="U88" s="26">
        <f t="shared" si="2"/>
        <v>-0.40260000000000001</v>
      </c>
    </row>
    <row r="89" spans="19:21" ht="14.65" thickBot="1" x14ac:dyDescent="0.5">
      <c r="S89" s="37">
        <f t="shared" si="3"/>
        <v>8.1073240083173594</v>
      </c>
      <c r="U89" s="26">
        <f t="shared" si="2"/>
        <v>-0.40260000000000001</v>
      </c>
    </row>
    <row r="90" spans="19:21" ht="14.65" thickBot="1" x14ac:dyDescent="0.5">
      <c r="S90" s="37">
        <f t="shared" si="3"/>
        <v>8.1883972484005323</v>
      </c>
      <c r="U90" s="26">
        <f t="shared" si="2"/>
        <v>-0.40260000000000001</v>
      </c>
    </row>
    <row r="91" spans="19:21" ht="14.65" thickBot="1" x14ac:dyDescent="0.5">
      <c r="S91" s="37">
        <f t="shared" si="3"/>
        <v>8.270281220884538</v>
      </c>
      <c r="U91" s="26">
        <f t="shared" si="2"/>
        <v>-0.40260000000000001</v>
      </c>
    </row>
    <row r="92" spans="19:21" ht="14.65" thickBot="1" x14ac:dyDescent="0.5">
      <c r="S92" s="37">
        <f t="shared" si="3"/>
        <v>8.3529840330933833</v>
      </c>
      <c r="U92" s="26">
        <f t="shared" si="2"/>
        <v>-0.40260000000000001</v>
      </c>
    </row>
    <row r="93" spans="19:21" ht="14.65" thickBot="1" x14ac:dyDescent="0.5">
      <c r="S93" s="37">
        <f t="shared" si="3"/>
        <v>8.4365138734243175</v>
      </c>
      <c r="U93" s="26">
        <f t="shared" si="2"/>
        <v>-0.40260000000000001</v>
      </c>
    </row>
    <row r="94" spans="19:21" ht="14.65" thickBot="1" x14ac:dyDescent="0.5">
      <c r="S94" s="37">
        <f t="shared" si="3"/>
        <v>8.5208790121585611</v>
      </c>
      <c r="U94" s="26">
        <f t="shared" si="2"/>
        <v>-0.40260000000000001</v>
      </c>
    </row>
    <row r="95" spans="19:21" ht="14.65" thickBot="1" x14ac:dyDescent="0.5">
      <c r="S95" s="37">
        <f t="shared" si="3"/>
        <v>8.6060878022801468</v>
      </c>
      <c r="U95" s="26">
        <f t="shared" si="2"/>
        <v>-0.40260000000000001</v>
      </c>
    </row>
    <row r="96" spans="19:21" ht="14.65" thickBot="1" x14ac:dyDescent="0.5">
      <c r="S96" s="37">
        <f t="shared" si="3"/>
        <v>8.6921486803029477</v>
      </c>
      <c r="U96" s="26">
        <f t="shared" si="2"/>
        <v>-0.40260000000000001</v>
      </c>
    </row>
    <row r="97" spans="19:21" ht="14.65" thickBot="1" x14ac:dyDescent="0.5">
      <c r="S97" s="37">
        <f t="shared" si="3"/>
        <v>8.7790701671059779</v>
      </c>
      <c r="U97" s="26">
        <f t="shared" si="2"/>
        <v>-0.40260000000000001</v>
      </c>
    </row>
    <row r="98" spans="19:21" ht="14.65" thickBot="1" x14ac:dyDescent="0.5">
      <c r="S98" s="37">
        <f t="shared" si="3"/>
        <v>8.8668608687770369</v>
      </c>
      <c r="U98" s="26">
        <f t="shared" si="2"/>
        <v>-0.40260000000000001</v>
      </c>
    </row>
    <row r="99" spans="19:21" ht="14.65" thickBot="1" x14ac:dyDescent="0.5">
      <c r="S99" s="37">
        <f t="shared" si="3"/>
        <v>8.9555294774648075</v>
      </c>
      <c r="U99" s="26">
        <f t="shared" si="2"/>
        <v>-0.40260000000000001</v>
      </c>
    </row>
    <row r="100" spans="19:21" ht="14.65" thickBot="1" x14ac:dyDescent="0.5">
      <c r="S100" s="37">
        <f t="shared" si="3"/>
        <v>9.0450847722394556</v>
      </c>
      <c r="U100" s="26">
        <f t="shared" si="2"/>
        <v>-0.40260000000000001</v>
      </c>
    </row>
    <row r="101" spans="19:21" ht="14.65" thickBot="1" x14ac:dyDescent="0.5">
      <c r="S101" s="37">
        <f t="shared" si="3"/>
        <v>9.1355356199618498</v>
      </c>
      <c r="U101" s="26">
        <f t="shared" si="2"/>
        <v>-0.40260000000000001</v>
      </c>
    </row>
    <row r="102" spans="19:21" ht="14.65" thickBot="1" x14ac:dyDescent="0.5">
      <c r="S102" s="37">
        <f t="shared" si="3"/>
        <v>9.226890976161469</v>
      </c>
      <c r="U102" s="26">
        <f t="shared" si="2"/>
        <v>-0.40260000000000001</v>
      </c>
    </row>
    <row r="103" spans="19:21" ht="14.65" thickBot="1" x14ac:dyDescent="0.5">
      <c r="S103" s="37">
        <f t="shared" si="3"/>
        <v>9.3191598859230833</v>
      </c>
      <c r="U103" s="26">
        <f t="shared" si="2"/>
        <v>-0.40260000000000001</v>
      </c>
    </row>
    <row r="104" spans="19:21" ht="14.65" thickBot="1" x14ac:dyDescent="0.5">
      <c r="S104" s="37">
        <f t="shared" si="3"/>
        <v>9.4123514847823149</v>
      </c>
      <c r="U104" s="26">
        <f t="shared" si="2"/>
        <v>-0.40260000000000001</v>
      </c>
    </row>
    <row r="105" spans="19:21" ht="14.65" thickBot="1" x14ac:dyDescent="0.5">
      <c r="S105" s="37">
        <f t="shared" si="3"/>
        <v>9.5064749996301376</v>
      </c>
      <c r="U105" s="26">
        <f t="shared" si="2"/>
        <v>-0.40260000000000001</v>
      </c>
    </row>
    <row r="106" spans="19:21" ht="14.65" thickBot="1" x14ac:dyDescent="0.5">
      <c r="S106" s="37">
        <f t="shared" si="3"/>
        <v>9.6015397496264399</v>
      </c>
      <c r="U106" s="26">
        <f t="shared" si="2"/>
        <v>-0.40260000000000001</v>
      </c>
    </row>
    <row r="107" spans="19:21" ht="14.65" thickBot="1" x14ac:dyDescent="0.5">
      <c r="S107" s="37">
        <f t="shared" si="3"/>
        <v>9.6975551471227046</v>
      </c>
      <c r="U107" s="26">
        <f t="shared" si="2"/>
        <v>-0.40260000000000001</v>
      </c>
    </row>
    <row r="108" spans="19:21" ht="14.65" thickBot="1" x14ac:dyDescent="0.5">
      <c r="S108" s="37">
        <f t="shared" si="3"/>
        <v>9.7945306985939311</v>
      </c>
      <c r="U108" s="26">
        <f t="shared" si="2"/>
        <v>-0.40260000000000001</v>
      </c>
    </row>
    <row r="109" spans="19:21" ht="14.65" thickBot="1" x14ac:dyDescent="0.5">
      <c r="S109" s="37">
        <f t="shared" si="3"/>
        <v>9.8924760055798711</v>
      </c>
      <c r="U109" s="26">
        <f t="shared" si="2"/>
        <v>-0.40260000000000001</v>
      </c>
    </row>
    <row r="110" spans="19:21" ht="14.65" thickBot="1" x14ac:dyDescent="0.5">
      <c r="S110" s="37">
        <f t="shared" si="3"/>
        <v>9.9914007656356691</v>
      </c>
      <c r="U110" s="26">
        <f t="shared" si="2"/>
        <v>-0.40260000000000001</v>
      </c>
    </row>
    <row r="111" spans="19:21" ht="14.65" thickBot="1" x14ac:dyDescent="0.5">
      <c r="S111" s="37">
        <f t="shared" si="3"/>
        <v>10.091314773292027</v>
      </c>
      <c r="U111" s="26">
        <f t="shared" si="2"/>
        <v>-0.40260000000000001</v>
      </c>
    </row>
    <row r="112" spans="19:21" ht="14.65" thickBot="1" x14ac:dyDescent="0.5">
      <c r="S112" s="37">
        <f t="shared" si="3"/>
        <v>10.192227921024946</v>
      </c>
      <c r="U112" s="26">
        <f t="shared" si="2"/>
        <v>-0.40260000000000001</v>
      </c>
    </row>
    <row r="113" spans="19:21" ht="14.65" thickBot="1" x14ac:dyDescent="0.5">
      <c r="S113" s="37">
        <f t="shared" si="3"/>
        <v>10.294150200235196</v>
      </c>
      <c r="U113" s="26">
        <f t="shared" si="2"/>
        <v>-0.40260000000000001</v>
      </c>
    </row>
    <row r="114" spans="19:21" ht="14.65" thickBot="1" x14ac:dyDescent="0.5">
      <c r="S114" s="37">
        <f t="shared" si="3"/>
        <v>10.397091702237548</v>
      </c>
      <c r="U114" s="26">
        <f t="shared" si="2"/>
        <v>-0.40260000000000001</v>
      </c>
    </row>
    <row r="115" spans="19:21" ht="14.65" thickBot="1" x14ac:dyDescent="0.5">
      <c r="S115" s="37">
        <f t="shared" si="3"/>
        <v>10.501062619259923</v>
      </c>
      <c r="U115" s="26">
        <f t="shared" si="2"/>
        <v>-0.40260000000000001</v>
      </c>
    </row>
    <row r="116" spans="19:21" ht="14.65" thickBot="1" x14ac:dyDescent="0.5">
      <c r="S116" s="37">
        <f t="shared" si="3"/>
        <v>10.606073245452523</v>
      </c>
      <c r="U116" s="26">
        <f t="shared" si="2"/>
        <v>-0.40260000000000001</v>
      </c>
    </row>
    <row r="117" spans="19:21" ht="14.65" thickBot="1" x14ac:dyDescent="0.5">
      <c r="S117" s="37">
        <f t="shared" si="3"/>
        <v>10.712133977907047</v>
      </c>
      <c r="U117" s="26">
        <f t="shared" si="2"/>
        <v>-0.40260000000000001</v>
      </c>
    </row>
    <row r="118" spans="19:21" ht="14.65" thickBot="1" x14ac:dyDescent="0.5">
      <c r="S118" s="37">
        <f t="shared" si="3"/>
        <v>10.819255317686117</v>
      </c>
      <c r="U118" s="26">
        <f t="shared" si="2"/>
        <v>-0.40260000000000001</v>
      </c>
    </row>
    <row r="119" spans="19:21" ht="14.65" thickBot="1" x14ac:dyDescent="0.5">
      <c r="S119" s="37">
        <f t="shared" si="3"/>
        <v>10.927447870862979</v>
      </c>
      <c r="U119" s="26">
        <f t="shared" si="2"/>
        <v>-0.40260000000000001</v>
      </c>
    </row>
    <row r="120" spans="19:21" ht="14.65" thickBot="1" x14ac:dyDescent="0.5">
      <c r="S120" s="37">
        <f t="shared" si="3"/>
        <v>11.036722349571608</v>
      </c>
      <c r="U120" s="26">
        <f t="shared" si="2"/>
        <v>-0.40260000000000001</v>
      </c>
    </row>
    <row r="121" spans="19:21" ht="14.65" thickBot="1" x14ac:dyDescent="0.5">
      <c r="S121" s="37">
        <f t="shared" si="3"/>
        <v>11.147089573067325</v>
      </c>
      <c r="U121" s="26">
        <f t="shared" si="2"/>
        <v>-0.40260000000000001</v>
      </c>
    </row>
    <row r="122" spans="19:21" ht="14.65" thickBot="1" x14ac:dyDescent="0.5">
      <c r="S122" s="37">
        <f t="shared" si="3"/>
        <v>11.258560468797997</v>
      </c>
      <c r="U122" s="26">
        <f t="shared" si="2"/>
        <v>-0.40260000000000001</v>
      </c>
    </row>
    <row r="123" spans="19:21" ht="14.65" thickBot="1" x14ac:dyDescent="0.5">
      <c r="S123" s="37">
        <f t="shared" si="3"/>
        <v>11.371146073485978</v>
      </c>
      <c r="U123" s="26">
        <f t="shared" si="2"/>
        <v>-0.40260000000000001</v>
      </c>
    </row>
    <row r="124" spans="19:21" ht="14.65" thickBot="1" x14ac:dyDescent="0.5">
      <c r="S124" s="37">
        <f t="shared" si="3"/>
        <v>11.484857534220838</v>
      </c>
      <c r="U124" s="26">
        <f t="shared" si="2"/>
        <v>-0.40260000000000001</v>
      </c>
    </row>
    <row r="125" spans="19:21" ht="14.65" thickBot="1" x14ac:dyDescent="0.5">
      <c r="S125" s="37">
        <f t="shared" si="3"/>
        <v>11.599706109563046</v>
      </c>
      <c r="U125" s="26">
        <f t="shared" si="2"/>
        <v>-0.40260000000000001</v>
      </c>
    </row>
    <row r="126" spans="19:21" ht="14.65" thickBot="1" x14ac:dyDescent="0.5">
      <c r="S126" s="37">
        <f t="shared" si="3"/>
        <v>11.715703170658676</v>
      </c>
      <c r="U126" s="26">
        <f t="shared" si="2"/>
        <v>-0.40260000000000001</v>
      </c>
    </row>
    <row r="127" spans="19:21" ht="14.65" thickBot="1" x14ac:dyDescent="0.5">
      <c r="S127" s="37">
        <f t="shared" si="3"/>
        <v>11.832860202365262</v>
      </c>
      <c r="U127" s="26">
        <f t="shared" si="2"/>
        <v>-0.40260000000000001</v>
      </c>
    </row>
    <row r="128" spans="19:21" ht="14.65" thickBot="1" x14ac:dyDescent="0.5">
      <c r="S128" s="37">
        <f t="shared" si="3"/>
        <v>11.951188804388915</v>
      </c>
      <c r="U128" s="26">
        <f t="shared" si="2"/>
        <v>-0.40260000000000001</v>
      </c>
    </row>
    <row r="129" spans="19:21" ht="14.65" thickBot="1" x14ac:dyDescent="0.5">
      <c r="S129" s="37">
        <f t="shared" si="3"/>
        <v>12.070700692432805</v>
      </c>
      <c r="U129" s="26">
        <f t="shared" si="2"/>
        <v>-0.40260000000000001</v>
      </c>
    </row>
    <row r="130" spans="19:21" ht="14.65" thickBot="1" x14ac:dyDescent="0.5">
      <c r="S130" s="37">
        <f t="shared" si="3"/>
        <v>12.191407699357134</v>
      </c>
      <c r="U130" s="26">
        <f t="shared" si="2"/>
        <v>-0.40260000000000001</v>
      </c>
    </row>
    <row r="131" spans="19:21" ht="14.65" thickBot="1" x14ac:dyDescent="0.5">
      <c r="S131" s="37">
        <f t="shared" si="3"/>
        <v>12.313321776350705</v>
      </c>
      <c r="U131" s="26">
        <f t="shared" si="2"/>
        <v>-0.40260000000000001</v>
      </c>
    </row>
    <row r="132" spans="19:21" ht="14.65" thickBot="1" x14ac:dyDescent="0.5">
      <c r="S132" s="37">
        <f t="shared" si="3"/>
        <v>12.436454994114213</v>
      </c>
      <c r="U132" s="26">
        <f t="shared" si="2"/>
        <v>-0.40260000000000001</v>
      </c>
    </row>
    <row r="133" spans="19:21" ht="14.65" thickBot="1" x14ac:dyDescent="0.5">
      <c r="S133" s="37">
        <f t="shared" si="3"/>
        <v>12.560819544055354</v>
      </c>
      <c r="U133" s="26">
        <f t="shared" si="2"/>
        <v>-0.40260000000000001</v>
      </c>
    </row>
    <row r="134" spans="19:21" ht="14.65" thickBot="1" x14ac:dyDescent="0.5">
      <c r="S134" s="37">
        <f t="shared" si="3"/>
        <v>12.686427739495908</v>
      </c>
      <c r="U134" s="26">
        <f t="shared" si="2"/>
        <v>-0.40260000000000001</v>
      </c>
    </row>
    <row r="135" spans="19:21" ht="14.65" thickBot="1" x14ac:dyDescent="0.5">
      <c r="S135" s="37">
        <f t="shared" si="3"/>
        <v>12.813292016890868</v>
      </c>
      <c r="U135" s="26">
        <f t="shared" si="2"/>
        <v>-0.40260000000000001</v>
      </c>
    </row>
    <row r="136" spans="19:21" ht="14.65" thickBot="1" x14ac:dyDescent="0.5">
      <c r="S136" s="37">
        <f t="shared" si="3"/>
        <v>12.941424937059777</v>
      </c>
      <c r="U136" s="26">
        <f t="shared" si="2"/>
        <v>-0.40260000000000001</v>
      </c>
    </row>
    <row r="137" spans="19:21" ht="14.65" thickBot="1" x14ac:dyDescent="0.5">
      <c r="S137" s="37">
        <f t="shared" si="3"/>
        <v>13.070839186430375</v>
      </c>
      <c r="U137" s="26">
        <f t="shared" si="2"/>
        <v>-0.40260000000000001</v>
      </c>
    </row>
    <row r="138" spans="19:21" ht="14.65" thickBot="1" x14ac:dyDescent="0.5">
      <c r="S138" s="37">
        <f t="shared" si="3"/>
        <v>13.201547578294678</v>
      </c>
      <c r="U138" s="26">
        <f t="shared" si="2"/>
        <v>-0.40260000000000001</v>
      </c>
    </row>
    <row r="139" spans="19:21" ht="14.65" thickBot="1" x14ac:dyDescent="0.5">
      <c r="S139" s="37">
        <f t="shared" si="3"/>
        <v>13.333563054077624</v>
      </c>
      <c r="U139" s="26">
        <f t="shared" si="2"/>
        <v>-0.40260000000000001</v>
      </c>
    </row>
    <row r="140" spans="19:21" ht="14.65" thickBot="1" x14ac:dyDescent="0.5">
      <c r="S140" s="37">
        <f t="shared" si="3"/>
        <v>13.4668986846184</v>
      </c>
      <c r="U140" s="26">
        <f t="shared" si="2"/>
        <v>-0.40260000000000001</v>
      </c>
    </row>
    <row r="141" spans="19:21" ht="14.65" thickBot="1" x14ac:dyDescent="0.5">
      <c r="S141" s="37">
        <f t="shared" si="3"/>
        <v>13.601567671464585</v>
      </c>
      <c r="U141" s="26">
        <f t="shared" si="2"/>
        <v>-0.40260000000000001</v>
      </c>
    </row>
    <row r="142" spans="19:21" ht="14.65" thickBot="1" x14ac:dyDescent="0.5">
      <c r="S142" s="37">
        <f t="shared" si="3"/>
        <v>13.73758334817923</v>
      </c>
      <c r="U142" s="26">
        <f t="shared" si="2"/>
        <v>-0.40260000000000001</v>
      </c>
    </row>
    <row r="143" spans="19:21" ht="14.65" thickBot="1" x14ac:dyDescent="0.5">
      <c r="S143" s="37">
        <f t="shared" si="3"/>
        <v>13.874959181661023</v>
      </c>
      <c r="U143" s="26">
        <f t="shared" si="2"/>
        <v>-0.40260000000000001</v>
      </c>
    </row>
    <row r="144" spans="19:21" ht="14.65" thickBot="1" x14ac:dyDescent="0.5">
      <c r="S144" s="37">
        <f t="shared" si="3"/>
        <v>14.013708773477633</v>
      </c>
      <c r="U144" s="26">
        <f t="shared" si="2"/>
        <v>-0.40260000000000001</v>
      </c>
    </row>
    <row r="145" spans="19:21" ht="14.65" thickBot="1" x14ac:dyDescent="0.5">
      <c r="S145" s="37">
        <f t="shared" si="3"/>
        <v>14.15384586121241</v>
      </c>
      <c r="U145" s="26">
        <f t="shared" si="2"/>
        <v>-0.40260000000000001</v>
      </c>
    </row>
    <row r="146" spans="19:21" ht="14.65" thickBot="1" x14ac:dyDescent="0.5">
      <c r="S146" s="37">
        <f t="shared" si="3"/>
        <v>14.295384319824535</v>
      </c>
      <c r="U146" s="26">
        <f t="shared" si="2"/>
        <v>-0.40260000000000001</v>
      </c>
    </row>
    <row r="147" spans="19:21" ht="14.65" thickBot="1" x14ac:dyDescent="0.5">
      <c r="S147" s="37">
        <f t="shared" si="3"/>
        <v>14.438338163022781</v>
      </c>
      <c r="U147" s="26">
        <f t="shared" ref="U147:U210" si="4">IF(S147&gt;$D$7,-$D$9+$D$10,MIN($D$7-S147-$D$9+$D$10,($D$7-$D$8)-$D$9+$D$10))</f>
        <v>-0.40260000000000001</v>
      </c>
    </row>
    <row r="148" spans="19:21" ht="14.65" thickBot="1" x14ac:dyDescent="0.5">
      <c r="S148" s="37">
        <f t="shared" ref="S148:S211" si="5">S147*(1.01)</f>
        <v>14.582721544653008</v>
      </c>
      <c r="U148" s="26">
        <f t="shared" si="4"/>
        <v>-0.40260000000000001</v>
      </c>
    </row>
    <row r="149" spans="19:21" ht="14.65" thickBot="1" x14ac:dyDescent="0.5">
      <c r="S149" s="37">
        <f t="shared" si="5"/>
        <v>14.728548760099539</v>
      </c>
      <c r="U149" s="26">
        <f t="shared" si="4"/>
        <v>-0.40260000000000001</v>
      </c>
    </row>
    <row r="150" spans="19:21" ht="14.65" thickBot="1" x14ac:dyDescent="0.5">
      <c r="S150" s="37">
        <f t="shared" si="5"/>
        <v>14.875834247700535</v>
      </c>
      <c r="U150" s="26">
        <f t="shared" si="4"/>
        <v>-0.40260000000000001</v>
      </c>
    </row>
    <row r="151" spans="19:21" ht="14.65" thickBot="1" x14ac:dyDescent="0.5">
      <c r="S151" s="37">
        <f t="shared" si="5"/>
        <v>15.024592590177541</v>
      </c>
      <c r="U151" s="26">
        <f t="shared" si="4"/>
        <v>-0.40260000000000001</v>
      </c>
    </row>
    <row r="152" spans="19:21" ht="14.65" thickBot="1" x14ac:dyDescent="0.5">
      <c r="S152" s="37">
        <f t="shared" si="5"/>
        <v>15.174838516079316</v>
      </c>
      <c r="U152" s="26">
        <f t="shared" si="4"/>
        <v>-0.40260000000000001</v>
      </c>
    </row>
    <row r="153" spans="19:21" ht="14.65" thickBot="1" x14ac:dyDescent="0.5">
      <c r="S153" s="37">
        <f t="shared" si="5"/>
        <v>15.326586901240109</v>
      </c>
      <c r="U153" s="26">
        <f t="shared" si="4"/>
        <v>-0.40260000000000001</v>
      </c>
    </row>
    <row r="154" spans="19:21" ht="14.65" thickBot="1" x14ac:dyDescent="0.5">
      <c r="S154" s="37">
        <f t="shared" si="5"/>
        <v>15.47985277025251</v>
      </c>
      <c r="U154" s="26">
        <f t="shared" si="4"/>
        <v>-0.40260000000000001</v>
      </c>
    </row>
    <row r="155" spans="19:21" ht="14.65" thickBot="1" x14ac:dyDescent="0.5">
      <c r="S155" s="37">
        <f t="shared" si="5"/>
        <v>15.634651297955035</v>
      </c>
      <c r="U155" s="26">
        <f t="shared" si="4"/>
        <v>-0.40260000000000001</v>
      </c>
    </row>
    <row r="156" spans="19:21" ht="14.65" thickBot="1" x14ac:dyDescent="0.5">
      <c r="S156" s="37">
        <f t="shared" si="5"/>
        <v>15.790997810934584</v>
      </c>
      <c r="U156" s="26">
        <f t="shared" si="4"/>
        <v>-0.40260000000000001</v>
      </c>
    </row>
    <row r="157" spans="19:21" ht="14.65" thickBot="1" x14ac:dyDescent="0.5">
      <c r="S157" s="37">
        <f t="shared" si="5"/>
        <v>15.948907789043931</v>
      </c>
      <c r="U157" s="26">
        <f t="shared" si="4"/>
        <v>-0.40260000000000001</v>
      </c>
    </row>
    <row r="158" spans="19:21" ht="14.65" thickBot="1" x14ac:dyDescent="0.5">
      <c r="S158" s="37">
        <f t="shared" si="5"/>
        <v>16.10839686693437</v>
      </c>
      <c r="U158" s="26">
        <f t="shared" si="4"/>
        <v>-0.40260000000000001</v>
      </c>
    </row>
    <row r="159" spans="19:21" ht="14.65" thickBot="1" x14ac:dyDescent="0.5">
      <c r="S159" s="37">
        <f t="shared" si="5"/>
        <v>16.269480835603716</v>
      </c>
      <c r="U159" s="26">
        <f t="shared" si="4"/>
        <v>-0.40260000000000001</v>
      </c>
    </row>
    <row r="160" spans="19:21" ht="14.65" thickBot="1" x14ac:dyDescent="0.5">
      <c r="S160" s="37">
        <f t="shared" si="5"/>
        <v>16.432175643959752</v>
      </c>
      <c r="U160" s="26">
        <f t="shared" si="4"/>
        <v>-0.40260000000000001</v>
      </c>
    </row>
    <row r="161" spans="19:21" ht="14.65" thickBot="1" x14ac:dyDescent="0.5">
      <c r="S161" s="37">
        <f t="shared" si="5"/>
        <v>16.59649740039935</v>
      </c>
      <c r="U161" s="26">
        <f t="shared" si="4"/>
        <v>-0.40260000000000001</v>
      </c>
    </row>
    <row r="162" spans="19:21" ht="14.65" thickBot="1" x14ac:dyDescent="0.5">
      <c r="S162" s="37">
        <f t="shared" si="5"/>
        <v>16.762462374403345</v>
      </c>
      <c r="U162" s="26">
        <f t="shared" si="4"/>
        <v>-0.40260000000000001</v>
      </c>
    </row>
    <row r="163" spans="19:21" ht="14.65" thickBot="1" x14ac:dyDescent="0.5">
      <c r="S163" s="37">
        <f t="shared" si="5"/>
        <v>16.930086998147377</v>
      </c>
      <c r="U163" s="26">
        <f t="shared" si="4"/>
        <v>-0.40260000000000001</v>
      </c>
    </row>
    <row r="164" spans="19:21" ht="14.65" thickBot="1" x14ac:dyDescent="0.5">
      <c r="S164" s="37">
        <f t="shared" si="5"/>
        <v>17.099387868128851</v>
      </c>
      <c r="U164" s="26">
        <f t="shared" si="4"/>
        <v>-0.40260000000000001</v>
      </c>
    </row>
    <row r="165" spans="19:21" ht="14.65" thickBot="1" x14ac:dyDescent="0.5">
      <c r="S165" s="37">
        <f t="shared" si="5"/>
        <v>17.270381746810138</v>
      </c>
      <c r="U165" s="26">
        <f t="shared" si="4"/>
        <v>-0.40260000000000001</v>
      </c>
    </row>
    <row r="166" spans="19:21" ht="14.65" thickBot="1" x14ac:dyDescent="0.5">
      <c r="S166" s="37">
        <f t="shared" si="5"/>
        <v>17.443085564278238</v>
      </c>
      <c r="U166" s="26">
        <f t="shared" si="4"/>
        <v>-0.40260000000000001</v>
      </c>
    </row>
    <row r="167" spans="19:21" ht="14.65" thickBot="1" x14ac:dyDescent="0.5">
      <c r="S167" s="37">
        <f t="shared" si="5"/>
        <v>17.617516419921021</v>
      </c>
      <c r="U167" s="26">
        <f t="shared" si="4"/>
        <v>-0.40260000000000001</v>
      </c>
    </row>
    <row r="168" spans="19:21" ht="14.65" thickBot="1" x14ac:dyDescent="0.5">
      <c r="S168" s="37">
        <f t="shared" si="5"/>
        <v>17.793691584120232</v>
      </c>
      <c r="U168" s="26">
        <f t="shared" si="4"/>
        <v>-0.40260000000000001</v>
      </c>
    </row>
    <row r="169" spans="19:21" ht="14.65" thickBot="1" x14ac:dyDescent="0.5">
      <c r="S169" s="37">
        <f t="shared" si="5"/>
        <v>17.971628499961433</v>
      </c>
      <c r="U169" s="26">
        <f t="shared" si="4"/>
        <v>-0.40260000000000001</v>
      </c>
    </row>
    <row r="170" spans="19:21" ht="14.65" thickBot="1" x14ac:dyDescent="0.5">
      <c r="S170" s="37">
        <f t="shared" si="5"/>
        <v>18.151344784961047</v>
      </c>
      <c r="U170" s="26">
        <f t="shared" si="4"/>
        <v>-0.40260000000000001</v>
      </c>
    </row>
    <row r="171" spans="19:21" ht="14.65" thickBot="1" x14ac:dyDescent="0.5">
      <c r="S171" s="37">
        <f t="shared" si="5"/>
        <v>18.332858232810658</v>
      </c>
      <c r="U171" s="26">
        <f t="shared" si="4"/>
        <v>-0.40260000000000001</v>
      </c>
    </row>
    <row r="172" spans="19:21" ht="14.65" thickBot="1" x14ac:dyDescent="0.5">
      <c r="S172" s="37">
        <f t="shared" si="5"/>
        <v>18.516186815138763</v>
      </c>
      <c r="U172" s="26">
        <f t="shared" si="4"/>
        <v>-0.40260000000000001</v>
      </c>
    </row>
    <row r="173" spans="19:21" ht="14.65" thickBot="1" x14ac:dyDescent="0.5">
      <c r="S173" s="37">
        <f t="shared" si="5"/>
        <v>18.701348683290149</v>
      </c>
      <c r="U173" s="26">
        <f t="shared" si="4"/>
        <v>-0.40260000000000001</v>
      </c>
    </row>
    <row r="174" spans="19:21" ht="14.65" thickBot="1" x14ac:dyDescent="0.5">
      <c r="S174" s="37">
        <f t="shared" si="5"/>
        <v>18.888362170123052</v>
      </c>
      <c r="U174" s="26">
        <f t="shared" si="4"/>
        <v>-0.40260000000000001</v>
      </c>
    </row>
    <row r="175" spans="19:21" ht="14.65" thickBot="1" x14ac:dyDescent="0.5">
      <c r="S175" s="37">
        <f t="shared" si="5"/>
        <v>19.077245791824282</v>
      </c>
      <c r="U175" s="26">
        <f t="shared" si="4"/>
        <v>-0.40260000000000001</v>
      </c>
    </row>
    <row r="176" spans="19:21" ht="14.65" thickBot="1" x14ac:dyDescent="0.5">
      <c r="S176" s="37">
        <f t="shared" si="5"/>
        <v>19.268018249742525</v>
      </c>
      <c r="U176" s="26">
        <f t="shared" si="4"/>
        <v>-0.40260000000000001</v>
      </c>
    </row>
    <row r="177" spans="19:21" ht="14.65" thickBot="1" x14ac:dyDescent="0.5">
      <c r="S177" s="37">
        <f t="shared" si="5"/>
        <v>19.460698432239951</v>
      </c>
      <c r="U177" s="26">
        <f t="shared" si="4"/>
        <v>-0.40260000000000001</v>
      </c>
    </row>
    <row r="178" spans="19:21" ht="14.65" thickBot="1" x14ac:dyDescent="0.5">
      <c r="S178" s="37">
        <f t="shared" si="5"/>
        <v>19.655305416562349</v>
      </c>
      <c r="U178" s="26">
        <f t="shared" si="4"/>
        <v>-0.40260000000000001</v>
      </c>
    </row>
    <row r="179" spans="19:21" ht="14.65" thickBot="1" x14ac:dyDescent="0.5">
      <c r="S179" s="37">
        <f t="shared" si="5"/>
        <v>19.851858470727972</v>
      </c>
      <c r="U179" s="26">
        <f t="shared" si="4"/>
        <v>-0.40260000000000001</v>
      </c>
    </row>
    <row r="180" spans="19:21" ht="14.65" thickBot="1" x14ac:dyDescent="0.5">
      <c r="S180" s="37">
        <f t="shared" si="5"/>
        <v>20.050377055435252</v>
      </c>
      <c r="U180" s="26">
        <f t="shared" si="4"/>
        <v>-0.40260000000000001</v>
      </c>
    </row>
    <row r="181" spans="19:21" ht="14.65" thickBot="1" x14ac:dyDescent="0.5">
      <c r="S181" s="37">
        <f t="shared" si="5"/>
        <v>20.250880825989604</v>
      </c>
      <c r="U181" s="26">
        <f t="shared" si="4"/>
        <v>-0.40260000000000001</v>
      </c>
    </row>
    <row r="182" spans="19:21" ht="14.65" thickBot="1" x14ac:dyDescent="0.5">
      <c r="S182" s="37">
        <f t="shared" si="5"/>
        <v>20.453389634249501</v>
      </c>
      <c r="U182" s="26">
        <f t="shared" si="4"/>
        <v>-0.40260000000000001</v>
      </c>
    </row>
    <row r="183" spans="19:21" ht="14.65" thickBot="1" x14ac:dyDescent="0.5">
      <c r="S183" s="37">
        <f t="shared" si="5"/>
        <v>20.657923530591997</v>
      </c>
      <c r="U183" s="26">
        <f t="shared" si="4"/>
        <v>-0.40260000000000001</v>
      </c>
    </row>
    <row r="184" spans="19:21" ht="14.65" thickBot="1" x14ac:dyDescent="0.5">
      <c r="S184" s="37">
        <f t="shared" si="5"/>
        <v>20.864502765897917</v>
      </c>
      <c r="U184" s="26">
        <f t="shared" si="4"/>
        <v>-0.40260000000000001</v>
      </c>
    </row>
    <row r="185" spans="19:21" ht="14.65" thickBot="1" x14ac:dyDescent="0.5">
      <c r="S185" s="37">
        <f t="shared" si="5"/>
        <v>21.073147793556895</v>
      </c>
      <c r="U185" s="26">
        <f t="shared" si="4"/>
        <v>-0.40260000000000001</v>
      </c>
    </row>
    <row r="186" spans="19:21" ht="14.65" thickBot="1" x14ac:dyDescent="0.5">
      <c r="S186" s="37">
        <f t="shared" si="5"/>
        <v>21.283879271492463</v>
      </c>
      <c r="U186" s="26">
        <f t="shared" si="4"/>
        <v>-0.40260000000000001</v>
      </c>
    </row>
    <row r="187" spans="19:21" ht="14.65" thickBot="1" x14ac:dyDescent="0.5">
      <c r="S187" s="37">
        <f t="shared" si="5"/>
        <v>21.496718064207389</v>
      </c>
      <c r="U187" s="26">
        <f t="shared" si="4"/>
        <v>-0.40260000000000001</v>
      </c>
    </row>
    <row r="188" spans="19:21" ht="14.65" thickBot="1" x14ac:dyDescent="0.5">
      <c r="S188" s="37">
        <f t="shared" si="5"/>
        <v>21.711685244849463</v>
      </c>
      <c r="U188" s="26">
        <f t="shared" si="4"/>
        <v>-0.40260000000000001</v>
      </c>
    </row>
    <row r="189" spans="19:21" ht="14.65" thickBot="1" x14ac:dyDescent="0.5">
      <c r="S189" s="37">
        <f t="shared" si="5"/>
        <v>21.928802097297957</v>
      </c>
      <c r="U189" s="26">
        <f t="shared" si="4"/>
        <v>-0.40260000000000001</v>
      </c>
    </row>
    <row r="190" spans="19:21" ht="14.65" thickBot="1" x14ac:dyDescent="0.5">
      <c r="S190" s="37">
        <f t="shared" si="5"/>
        <v>22.148090118270936</v>
      </c>
      <c r="U190" s="26">
        <f t="shared" si="4"/>
        <v>-0.40260000000000001</v>
      </c>
    </row>
    <row r="191" spans="19:21" ht="14.65" thickBot="1" x14ac:dyDescent="0.5">
      <c r="S191" s="37">
        <f t="shared" si="5"/>
        <v>22.369571019453645</v>
      </c>
      <c r="U191" s="26">
        <f t="shared" si="4"/>
        <v>-0.40260000000000001</v>
      </c>
    </row>
    <row r="192" spans="19:21" ht="14.65" thickBot="1" x14ac:dyDescent="0.5">
      <c r="S192" s="37">
        <f t="shared" si="5"/>
        <v>22.593266729648182</v>
      </c>
      <c r="U192" s="26">
        <f t="shared" si="4"/>
        <v>-0.40260000000000001</v>
      </c>
    </row>
    <row r="193" spans="19:21" ht="14.65" thickBot="1" x14ac:dyDescent="0.5">
      <c r="S193" s="37">
        <f t="shared" si="5"/>
        <v>22.819199396944665</v>
      </c>
      <c r="U193" s="26">
        <f t="shared" si="4"/>
        <v>-0.40260000000000001</v>
      </c>
    </row>
    <row r="194" spans="19:21" ht="14.65" thickBot="1" x14ac:dyDescent="0.5">
      <c r="S194" s="37">
        <f t="shared" si="5"/>
        <v>23.047391390914111</v>
      </c>
      <c r="U194" s="26">
        <f t="shared" si="4"/>
        <v>-0.40260000000000001</v>
      </c>
    </row>
    <row r="195" spans="19:21" ht="14.65" thickBot="1" x14ac:dyDescent="0.5">
      <c r="S195" s="37">
        <f t="shared" si="5"/>
        <v>23.277865304823251</v>
      </c>
      <c r="U195" s="26">
        <f t="shared" si="4"/>
        <v>-0.40260000000000001</v>
      </c>
    </row>
    <row r="196" spans="19:21" ht="14.65" thickBot="1" x14ac:dyDescent="0.5">
      <c r="S196" s="37">
        <f t="shared" si="5"/>
        <v>23.510643957871483</v>
      </c>
      <c r="U196" s="26">
        <f t="shared" si="4"/>
        <v>-0.40260000000000001</v>
      </c>
    </row>
    <row r="197" spans="19:21" ht="14.65" thickBot="1" x14ac:dyDescent="0.5">
      <c r="S197" s="37">
        <f t="shared" si="5"/>
        <v>23.745750397450198</v>
      </c>
      <c r="U197" s="26">
        <f t="shared" si="4"/>
        <v>-0.40260000000000001</v>
      </c>
    </row>
    <row r="198" spans="19:21" ht="14.65" thickBot="1" x14ac:dyDescent="0.5">
      <c r="S198" s="37">
        <f t="shared" si="5"/>
        <v>23.983207901424702</v>
      </c>
      <c r="U198" s="26">
        <f t="shared" si="4"/>
        <v>-0.40260000000000001</v>
      </c>
    </row>
    <row r="199" spans="19:21" ht="14.65" thickBot="1" x14ac:dyDescent="0.5">
      <c r="S199" s="37">
        <f t="shared" si="5"/>
        <v>24.223039980438948</v>
      </c>
      <c r="U199" s="26">
        <f t="shared" si="4"/>
        <v>-0.40260000000000001</v>
      </c>
    </row>
    <row r="200" spans="19:21" ht="14.65" thickBot="1" x14ac:dyDescent="0.5">
      <c r="S200" s="37">
        <f t="shared" si="5"/>
        <v>24.465270380243336</v>
      </c>
      <c r="U200" s="26">
        <f t="shared" si="4"/>
        <v>-0.40260000000000001</v>
      </c>
    </row>
    <row r="201" spans="19:21" ht="14.65" thickBot="1" x14ac:dyDescent="0.5">
      <c r="S201" s="37">
        <f t="shared" si="5"/>
        <v>24.709923084045769</v>
      </c>
      <c r="U201" s="26">
        <f t="shared" si="4"/>
        <v>-0.40260000000000001</v>
      </c>
    </row>
    <row r="202" spans="19:21" ht="14.65" thickBot="1" x14ac:dyDescent="0.5">
      <c r="S202" s="37">
        <f t="shared" si="5"/>
        <v>24.957022314886228</v>
      </c>
      <c r="U202" s="26">
        <f t="shared" si="4"/>
        <v>-0.40260000000000001</v>
      </c>
    </row>
    <row r="203" spans="19:21" ht="14.65" thickBot="1" x14ac:dyDescent="0.5">
      <c r="S203" s="37">
        <f t="shared" si="5"/>
        <v>25.206592538035089</v>
      </c>
      <c r="U203" s="26">
        <f t="shared" si="4"/>
        <v>-0.40260000000000001</v>
      </c>
    </row>
    <row r="204" spans="19:21" ht="14.65" thickBot="1" x14ac:dyDescent="0.5">
      <c r="S204" s="37">
        <f t="shared" si="5"/>
        <v>25.458658463415439</v>
      </c>
      <c r="U204" s="26">
        <f t="shared" si="4"/>
        <v>-0.40260000000000001</v>
      </c>
    </row>
    <row r="205" spans="19:21" ht="14.65" thickBot="1" x14ac:dyDescent="0.5">
      <c r="S205" s="37">
        <f t="shared" si="5"/>
        <v>25.713245048049593</v>
      </c>
      <c r="U205" s="26">
        <f t="shared" si="4"/>
        <v>-0.40260000000000001</v>
      </c>
    </row>
    <row r="206" spans="19:21" ht="14.65" thickBot="1" x14ac:dyDescent="0.5">
      <c r="S206" s="37">
        <f t="shared" si="5"/>
        <v>25.970377498530091</v>
      </c>
      <c r="U206" s="26">
        <f t="shared" si="4"/>
        <v>-0.40260000000000001</v>
      </c>
    </row>
    <row r="207" spans="19:21" ht="14.65" thickBot="1" x14ac:dyDescent="0.5">
      <c r="S207" s="37">
        <f t="shared" si="5"/>
        <v>26.230081273515392</v>
      </c>
      <c r="U207" s="26">
        <f t="shared" si="4"/>
        <v>-0.40260000000000001</v>
      </c>
    </row>
    <row r="208" spans="19:21" ht="14.65" thickBot="1" x14ac:dyDescent="0.5">
      <c r="S208" s="37">
        <f t="shared" si="5"/>
        <v>26.492382086250547</v>
      </c>
      <c r="U208" s="26">
        <f t="shared" si="4"/>
        <v>-0.40260000000000001</v>
      </c>
    </row>
    <row r="209" spans="19:21" ht="14.65" thickBot="1" x14ac:dyDescent="0.5">
      <c r="S209" s="37">
        <f t="shared" si="5"/>
        <v>26.757305907113054</v>
      </c>
      <c r="U209" s="26">
        <f t="shared" si="4"/>
        <v>-0.40260000000000001</v>
      </c>
    </row>
    <row r="210" spans="19:21" ht="14.65" thickBot="1" x14ac:dyDescent="0.5">
      <c r="S210" s="37">
        <f t="shared" si="5"/>
        <v>27.024878966184186</v>
      </c>
      <c r="U210" s="26">
        <f t="shared" si="4"/>
        <v>-0.40260000000000001</v>
      </c>
    </row>
    <row r="211" spans="19:21" ht="14.65" thickBot="1" x14ac:dyDescent="0.5">
      <c r="S211" s="37">
        <f t="shared" si="5"/>
        <v>27.295127755846028</v>
      </c>
      <c r="U211" s="26">
        <f t="shared" ref="U211:U274" si="6">IF(S211&gt;$D$7,-$D$9+$D$10,MIN($D$7-S211-$D$9+$D$10,($D$7-$D$8)-$D$9+$D$10))</f>
        <v>-0.40260000000000001</v>
      </c>
    </row>
    <row r="212" spans="19:21" ht="14.65" thickBot="1" x14ac:dyDescent="0.5">
      <c r="S212" s="37">
        <f t="shared" ref="S212:S275" si="7">S211*(1.01)</f>
        <v>27.568079033404487</v>
      </c>
      <c r="U212" s="26">
        <f t="shared" si="6"/>
        <v>-0.40260000000000001</v>
      </c>
    </row>
    <row r="213" spans="19:21" ht="14.65" thickBot="1" x14ac:dyDescent="0.5">
      <c r="S213" s="37">
        <f t="shared" si="7"/>
        <v>27.843759823738534</v>
      </c>
      <c r="U213" s="26">
        <f t="shared" si="6"/>
        <v>-0.40260000000000001</v>
      </c>
    </row>
    <row r="214" spans="19:21" ht="14.65" thickBot="1" x14ac:dyDescent="0.5">
      <c r="S214" s="37">
        <f t="shared" si="7"/>
        <v>28.122197421975919</v>
      </c>
      <c r="U214" s="26">
        <f t="shared" si="6"/>
        <v>-0.40260000000000001</v>
      </c>
    </row>
    <row r="215" spans="19:21" ht="14.65" thickBot="1" x14ac:dyDescent="0.5">
      <c r="S215" s="37">
        <f t="shared" si="7"/>
        <v>28.403419396195677</v>
      </c>
      <c r="U215" s="26">
        <f t="shared" si="6"/>
        <v>-0.40260000000000001</v>
      </c>
    </row>
    <row r="216" spans="19:21" ht="14.65" thickBot="1" x14ac:dyDescent="0.5">
      <c r="S216" s="37">
        <f t="shared" si="7"/>
        <v>28.687453590157634</v>
      </c>
      <c r="U216" s="26">
        <f t="shared" si="6"/>
        <v>-0.40260000000000001</v>
      </c>
    </row>
    <row r="217" spans="19:21" ht="14.65" thickBot="1" x14ac:dyDescent="0.5">
      <c r="S217" s="37">
        <f t="shared" si="7"/>
        <v>28.974328126059213</v>
      </c>
      <c r="U217" s="26">
        <f t="shared" si="6"/>
        <v>-0.40260000000000001</v>
      </c>
    </row>
    <row r="218" spans="19:21" ht="14.65" thickBot="1" x14ac:dyDescent="0.5">
      <c r="S218" s="37">
        <f t="shared" si="7"/>
        <v>29.264071407319804</v>
      </c>
      <c r="U218" s="26">
        <f t="shared" si="6"/>
        <v>-0.40260000000000001</v>
      </c>
    </row>
    <row r="219" spans="19:21" ht="14.65" thickBot="1" x14ac:dyDescent="0.5">
      <c r="S219" s="37">
        <f t="shared" si="7"/>
        <v>29.556712121393002</v>
      </c>
      <c r="U219" s="26">
        <f t="shared" si="6"/>
        <v>-0.40260000000000001</v>
      </c>
    </row>
    <row r="220" spans="19:21" ht="14.65" thickBot="1" x14ac:dyDescent="0.5">
      <c r="S220" s="37">
        <f t="shared" si="7"/>
        <v>29.852279242606933</v>
      </c>
      <c r="U220" s="26">
        <f t="shared" si="6"/>
        <v>-0.40260000000000001</v>
      </c>
    </row>
    <row r="221" spans="19:21" ht="14.65" thickBot="1" x14ac:dyDescent="0.5">
      <c r="S221" s="37">
        <f t="shared" si="7"/>
        <v>30.150802035033003</v>
      </c>
      <c r="U221" s="26">
        <f t="shared" si="6"/>
        <v>-0.40260000000000001</v>
      </c>
    </row>
    <row r="222" spans="19:21" ht="14.65" thickBot="1" x14ac:dyDescent="0.5">
      <c r="S222" s="37">
        <f t="shared" si="7"/>
        <v>30.452310055383332</v>
      </c>
      <c r="U222" s="26">
        <f t="shared" si="6"/>
        <v>-0.40260000000000001</v>
      </c>
    </row>
    <row r="223" spans="19:21" ht="14.65" thickBot="1" x14ac:dyDescent="0.5">
      <c r="S223" s="37">
        <f t="shared" si="7"/>
        <v>30.756833155937166</v>
      </c>
      <c r="U223" s="26">
        <f t="shared" si="6"/>
        <v>-0.40260000000000001</v>
      </c>
    </row>
    <row r="224" spans="19:21" ht="14.65" thickBot="1" x14ac:dyDescent="0.5">
      <c r="S224" s="37">
        <f t="shared" si="7"/>
        <v>31.064401487496539</v>
      </c>
      <c r="U224" s="26">
        <f t="shared" si="6"/>
        <v>-0.40260000000000001</v>
      </c>
    </row>
    <row r="225" spans="19:21" ht="14.65" thickBot="1" x14ac:dyDescent="0.5">
      <c r="S225" s="37">
        <f t="shared" si="7"/>
        <v>31.375045502371506</v>
      </c>
      <c r="U225" s="26">
        <f t="shared" si="6"/>
        <v>-0.40260000000000001</v>
      </c>
    </row>
    <row r="226" spans="19:21" ht="14.65" thickBot="1" x14ac:dyDescent="0.5">
      <c r="S226" s="37">
        <f t="shared" si="7"/>
        <v>31.688795957395222</v>
      </c>
      <c r="U226" s="26">
        <f t="shared" si="6"/>
        <v>-0.40260000000000001</v>
      </c>
    </row>
    <row r="227" spans="19:21" ht="14.65" thickBot="1" x14ac:dyDescent="0.5">
      <c r="S227" s="37">
        <f t="shared" si="7"/>
        <v>32.005683916969176</v>
      </c>
      <c r="U227" s="26">
        <f t="shared" si="6"/>
        <v>-0.40260000000000001</v>
      </c>
    </row>
    <row r="228" spans="19:21" ht="14.65" thickBot="1" x14ac:dyDescent="0.5">
      <c r="S228" s="37">
        <f t="shared" si="7"/>
        <v>32.32574075613887</v>
      </c>
      <c r="U228" s="26">
        <f t="shared" si="6"/>
        <v>-0.40260000000000001</v>
      </c>
    </row>
    <row r="229" spans="19:21" ht="14.65" thickBot="1" x14ac:dyDescent="0.5">
      <c r="S229" s="37">
        <f t="shared" si="7"/>
        <v>32.648998163700263</v>
      </c>
      <c r="U229" s="26">
        <f t="shared" si="6"/>
        <v>-0.40260000000000001</v>
      </c>
    </row>
    <row r="230" spans="19:21" ht="14.65" thickBot="1" x14ac:dyDescent="0.5">
      <c r="S230" s="37">
        <f t="shared" si="7"/>
        <v>32.975488145337266</v>
      </c>
      <c r="U230" s="26">
        <f t="shared" si="6"/>
        <v>-0.40260000000000001</v>
      </c>
    </row>
    <row r="231" spans="19:21" ht="14.65" thickBot="1" x14ac:dyDescent="0.5">
      <c r="S231" s="37">
        <f t="shared" si="7"/>
        <v>33.305243026790642</v>
      </c>
      <c r="U231" s="26">
        <f t="shared" si="6"/>
        <v>-0.40260000000000001</v>
      </c>
    </row>
    <row r="232" spans="19:21" ht="14.65" thickBot="1" x14ac:dyDescent="0.5">
      <c r="S232" s="37">
        <f t="shared" si="7"/>
        <v>33.638295457058547</v>
      </c>
      <c r="U232" s="26">
        <f t="shared" si="6"/>
        <v>-0.40260000000000001</v>
      </c>
    </row>
    <row r="233" spans="19:21" ht="14.65" thickBot="1" x14ac:dyDescent="0.5">
      <c r="S233" s="37">
        <f t="shared" si="7"/>
        <v>33.974678411629135</v>
      </c>
      <c r="U233" s="26">
        <f t="shared" si="6"/>
        <v>-0.40260000000000001</v>
      </c>
    </row>
    <row r="234" spans="19:21" ht="14.65" thickBot="1" x14ac:dyDescent="0.5">
      <c r="S234" s="37">
        <f t="shared" si="7"/>
        <v>34.314425195745429</v>
      </c>
      <c r="U234" s="26">
        <f t="shared" si="6"/>
        <v>-0.40260000000000001</v>
      </c>
    </row>
    <row r="235" spans="19:21" ht="14.65" thickBot="1" x14ac:dyDescent="0.5">
      <c r="S235" s="37">
        <f t="shared" si="7"/>
        <v>34.657569447702883</v>
      </c>
      <c r="U235" s="26">
        <f t="shared" si="6"/>
        <v>-0.40260000000000001</v>
      </c>
    </row>
    <row r="236" spans="19:21" ht="14.65" thickBot="1" x14ac:dyDescent="0.5">
      <c r="S236" s="37">
        <f t="shared" si="7"/>
        <v>35.004145142179915</v>
      </c>
      <c r="U236" s="26">
        <f t="shared" si="6"/>
        <v>-0.40260000000000001</v>
      </c>
    </row>
    <row r="237" spans="19:21" ht="14.65" thickBot="1" x14ac:dyDescent="0.5">
      <c r="S237" s="37">
        <f t="shared" si="7"/>
        <v>35.354186593601717</v>
      </c>
      <c r="U237" s="26">
        <f t="shared" si="6"/>
        <v>-0.40260000000000001</v>
      </c>
    </row>
    <row r="238" spans="19:21" ht="14.65" thickBot="1" x14ac:dyDescent="0.5">
      <c r="S238" s="37">
        <f t="shared" si="7"/>
        <v>35.707728459537734</v>
      </c>
      <c r="U238" s="26">
        <f t="shared" si="6"/>
        <v>-0.40260000000000001</v>
      </c>
    </row>
    <row r="239" spans="19:21" ht="14.65" thickBot="1" x14ac:dyDescent="0.5">
      <c r="S239" s="37">
        <f t="shared" si="7"/>
        <v>36.06480574413311</v>
      </c>
      <c r="U239" s="26">
        <f t="shared" si="6"/>
        <v>-0.40260000000000001</v>
      </c>
    </row>
    <row r="240" spans="19:21" ht="14.65" thickBot="1" x14ac:dyDescent="0.5">
      <c r="S240" s="37">
        <f t="shared" si="7"/>
        <v>36.425453801574442</v>
      </c>
      <c r="U240" s="26">
        <f t="shared" si="6"/>
        <v>-0.40260000000000001</v>
      </c>
    </row>
    <row r="241" spans="19:21" ht="14.65" thickBot="1" x14ac:dyDescent="0.5">
      <c r="S241" s="37">
        <f t="shared" si="7"/>
        <v>36.789708339590184</v>
      </c>
      <c r="U241" s="26">
        <f t="shared" si="6"/>
        <v>-0.40260000000000001</v>
      </c>
    </row>
    <row r="242" spans="19:21" ht="14.65" thickBot="1" x14ac:dyDescent="0.5">
      <c r="S242" s="37">
        <f t="shared" si="7"/>
        <v>37.157605422986087</v>
      </c>
      <c r="U242" s="26">
        <f t="shared" si="6"/>
        <v>-0.40260000000000001</v>
      </c>
    </row>
    <row r="243" spans="19:21" ht="14.65" thickBot="1" x14ac:dyDescent="0.5">
      <c r="S243" s="37">
        <f t="shared" si="7"/>
        <v>37.52918147721595</v>
      </c>
      <c r="U243" s="26">
        <f t="shared" si="6"/>
        <v>-0.40260000000000001</v>
      </c>
    </row>
    <row r="244" spans="19:21" ht="14.65" thickBot="1" x14ac:dyDescent="0.5">
      <c r="S244" s="37">
        <f t="shared" si="7"/>
        <v>37.904473291988111</v>
      </c>
      <c r="U244" s="26">
        <f t="shared" si="6"/>
        <v>-0.40260000000000001</v>
      </c>
    </row>
    <row r="245" spans="19:21" ht="14.65" thickBot="1" x14ac:dyDescent="0.5">
      <c r="S245" s="37">
        <f t="shared" si="7"/>
        <v>38.283518024907991</v>
      </c>
      <c r="U245" s="26">
        <f t="shared" si="6"/>
        <v>-0.40260000000000001</v>
      </c>
    </row>
    <row r="246" spans="19:21" ht="14.65" thickBot="1" x14ac:dyDescent="0.5">
      <c r="S246" s="37">
        <f t="shared" si="7"/>
        <v>38.666353205157073</v>
      </c>
      <c r="U246" s="26">
        <f t="shared" si="6"/>
        <v>-0.40260000000000001</v>
      </c>
    </row>
    <row r="247" spans="19:21" ht="14.65" thickBot="1" x14ac:dyDescent="0.5">
      <c r="S247" s="37">
        <f t="shared" si="7"/>
        <v>39.053016737208644</v>
      </c>
      <c r="U247" s="26">
        <f t="shared" si="6"/>
        <v>-0.40260000000000001</v>
      </c>
    </row>
    <row r="248" spans="19:21" ht="14.65" thickBot="1" x14ac:dyDescent="0.5">
      <c r="S248" s="37">
        <f t="shared" si="7"/>
        <v>39.443546904580728</v>
      </c>
      <c r="U248" s="26">
        <f t="shared" si="6"/>
        <v>-0.40260000000000001</v>
      </c>
    </row>
    <row r="249" spans="19:21" ht="14.65" thickBot="1" x14ac:dyDescent="0.5">
      <c r="S249" s="37">
        <f t="shared" si="7"/>
        <v>39.837982373626538</v>
      </c>
      <c r="U249" s="26">
        <f t="shared" si="6"/>
        <v>-0.40260000000000001</v>
      </c>
    </row>
    <row r="250" spans="19:21" ht="14.65" thickBot="1" x14ac:dyDescent="0.5">
      <c r="S250" s="37">
        <f t="shared" si="7"/>
        <v>40.236362197362801</v>
      </c>
      <c r="U250" s="26">
        <f t="shared" si="6"/>
        <v>-0.40260000000000001</v>
      </c>
    </row>
    <row r="251" spans="19:21" ht="14.65" thickBot="1" x14ac:dyDescent="0.5">
      <c r="S251" s="37">
        <f t="shared" si="7"/>
        <v>40.638725819336429</v>
      </c>
      <c r="U251" s="26">
        <f t="shared" si="6"/>
        <v>-0.40260000000000001</v>
      </c>
    </row>
    <row r="252" spans="19:21" ht="14.65" thickBot="1" x14ac:dyDescent="0.5">
      <c r="S252" s="37">
        <f t="shared" si="7"/>
        <v>41.045113077529791</v>
      </c>
      <c r="U252" s="26">
        <f t="shared" si="6"/>
        <v>-0.40260000000000001</v>
      </c>
    </row>
    <row r="253" spans="19:21" ht="14.65" thickBot="1" x14ac:dyDescent="0.5">
      <c r="S253" s="37">
        <f t="shared" si="7"/>
        <v>41.455564208305091</v>
      </c>
      <c r="U253" s="26">
        <f t="shared" si="6"/>
        <v>-0.40260000000000001</v>
      </c>
    </row>
    <row r="254" spans="19:21" ht="14.65" thickBot="1" x14ac:dyDescent="0.5">
      <c r="S254" s="37">
        <f t="shared" si="7"/>
        <v>41.870119850388143</v>
      </c>
      <c r="U254" s="26">
        <f t="shared" si="6"/>
        <v>-0.40260000000000001</v>
      </c>
    </row>
    <row r="255" spans="19:21" ht="14.65" thickBot="1" x14ac:dyDescent="0.5">
      <c r="S255" s="37">
        <f t="shared" si="7"/>
        <v>42.288821048892025</v>
      </c>
      <c r="U255" s="26">
        <f t="shared" si="6"/>
        <v>-0.40260000000000001</v>
      </c>
    </row>
    <row r="256" spans="19:21" ht="14.65" thickBot="1" x14ac:dyDescent="0.5">
      <c r="S256" s="37">
        <f t="shared" si="7"/>
        <v>42.711709259380946</v>
      </c>
      <c r="U256" s="26">
        <f t="shared" si="6"/>
        <v>-0.40260000000000001</v>
      </c>
    </row>
    <row r="257" spans="19:21" ht="14.65" thickBot="1" x14ac:dyDescent="0.5">
      <c r="S257" s="37">
        <f t="shared" si="7"/>
        <v>43.138826351974757</v>
      </c>
      <c r="U257" s="26">
        <f t="shared" si="6"/>
        <v>-0.40260000000000001</v>
      </c>
    </row>
    <row r="258" spans="19:21" ht="14.65" thickBot="1" x14ac:dyDescent="0.5">
      <c r="S258" s="37">
        <f t="shared" si="7"/>
        <v>43.570214615494507</v>
      </c>
      <c r="U258" s="26">
        <f t="shared" si="6"/>
        <v>-0.40260000000000001</v>
      </c>
    </row>
    <row r="259" spans="19:21" ht="14.65" thickBot="1" x14ac:dyDescent="0.5">
      <c r="S259" s="37">
        <f t="shared" si="7"/>
        <v>44.005916761649452</v>
      </c>
      <c r="U259" s="26">
        <f t="shared" si="6"/>
        <v>-0.40260000000000001</v>
      </c>
    </row>
    <row r="260" spans="19:21" ht="14.65" thickBot="1" x14ac:dyDescent="0.5">
      <c r="S260" s="37">
        <f t="shared" si="7"/>
        <v>44.445975929265948</v>
      </c>
      <c r="U260" s="26">
        <f t="shared" si="6"/>
        <v>-0.40260000000000001</v>
      </c>
    </row>
    <row r="261" spans="19:21" ht="14.65" thickBot="1" x14ac:dyDescent="0.5">
      <c r="S261" s="37">
        <f t="shared" si="7"/>
        <v>44.890435688558611</v>
      </c>
      <c r="U261" s="26">
        <f t="shared" si="6"/>
        <v>-0.40260000000000001</v>
      </c>
    </row>
    <row r="262" spans="19:21" ht="14.65" thickBot="1" x14ac:dyDescent="0.5">
      <c r="S262" s="37">
        <f t="shared" si="7"/>
        <v>45.339340045444196</v>
      </c>
      <c r="U262" s="26">
        <f t="shared" si="6"/>
        <v>-0.40260000000000001</v>
      </c>
    </row>
    <row r="263" spans="19:21" ht="14.65" thickBot="1" x14ac:dyDescent="0.5">
      <c r="S263" s="37">
        <f t="shared" si="7"/>
        <v>45.792733445898641</v>
      </c>
      <c r="U263" s="26">
        <f t="shared" si="6"/>
        <v>-0.40260000000000001</v>
      </c>
    </row>
    <row r="264" spans="19:21" ht="14.65" thickBot="1" x14ac:dyDescent="0.5">
      <c r="S264" s="37">
        <f t="shared" si="7"/>
        <v>46.250660780357627</v>
      </c>
      <c r="U264" s="26">
        <f t="shared" si="6"/>
        <v>-0.40260000000000001</v>
      </c>
    </row>
    <row r="265" spans="19:21" ht="14.65" thickBot="1" x14ac:dyDescent="0.5">
      <c r="S265" s="37">
        <f t="shared" si="7"/>
        <v>46.713167388161203</v>
      </c>
      <c r="U265" s="26">
        <f t="shared" si="6"/>
        <v>-0.40260000000000001</v>
      </c>
    </row>
    <row r="266" spans="19:21" ht="14.65" thickBot="1" x14ac:dyDescent="0.5">
      <c r="S266" s="37">
        <f t="shared" si="7"/>
        <v>47.180299062042813</v>
      </c>
      <c r="U266" s="26">
        <f t="shared" si="6"/>
        <v>-0.40260000000000001</v>
      </c>
    </row>
    <row r="267" spans="19:21" ht="14.65" thickBot="1" x14ac:dyDescent="0.5">
      <c r="S267" s="37">
        <f t="shared" si="7"/>
        <v>47.652102052663238</v>
      </c>
      <c r="U267" s="26">
        <f t="shared" si="6"/>
        <v>-0.40260000000000001</v>
      </c>
    </row>
    <row r="268" spans="19:21" ht="14.65" thickBot="1" x14ac:dyDescent="0.5">
      <c r="S268" s="37">
        <f t="shared" si="7"/>
        <v>48.128623073189871</v>
      </c>
      <c r="U268" s="26">
        <f t="shared" si="6"/>
        <v>-0.40260000000000001</v>
      </c>
    </row>
    <row r="269" spans="19:21" ht="14.65" thickBot="1" x14ac:dyDescent="0.5">
      <c r="S269" s="37">
        <f t="shared" si="7"/>
        <v>48.609909303921768</v>
      </c>
      <c r="U269" s="26">
        <f t="shared" si="6"/>
        <v>-0.40260000000000001</v>
      </c>
    </row>
    <row r="270" spans="19:21" ht="14.65" thickBot="1" x14ac:dyDescent="0.5">
      <c r="S270" s="37">
        <f t="shared" si="7"/>
        <v>49.096008396960983</v>
      </c>
      <c r="U270" s="26">
        <f t="shared" si="6"/>
        <v>-0.40260000000000001</v>
      </c>
    </row>
    <row r="271" spans="19:21" ht="14.65" thickBot="1" x14ac:dyDescent="0.5">
      <c r="S271" s="37">
        <f t="shared" si="7"/>
        <v>49.586968480930594</v>
      </c>
      <c r="U271" s="26">
        <f t="shared" si="6"/>
        <v>-0.40260000000000001</v>
      </c>
    </row>
    <row r="272" spans="19:21" ht="14.65" thickBot="1" x14ac:dyDescent="0.5">
      <c r="S272" s="37">
        <f t="shared" si="7"/>
        <v>50.082838165739901</v>
      </c>
      <c r="U272" s="26">
        <f t="shared" si="6"/>
        <v>-0.40260000000000001</v>
      </c>
    </row>
    <row r="273" spans="19:21" ht="14.65" thickBot="1" x14ac:dyDescent="0.5">
      <c r="S273" s="37">
        <f t="shared" si="7"/>
        <v>50.5836665473973</v>
      </c>
      <c r="U273" s="26">
        <f t="shared" si="6"/>
        <v>-0.40260000000000001</v>
      </c>
    </row>
    <row r="274" spans="19:21" ht="14.65" thickBot="1" x14ac:dyDescent="0.5">
      <c r="S274" s="37">
        <f t="shared" si="7"/>
        <v>51.089503212871271</v>
      </c>
      <c r="U274" s="26">
        <f t="shared" si="6"/>
        <v>-0.40260000000000001</v>
      </c>
    </row>
    <row r="275" spans="19:21" ht="14.65" thickBot="1" x14ac:dyDescent="0.5">
      <c r="S275" s="37">
        <f t="shared" si="7"/>
        <v>51.600398244999987</v>
      </c>
      <c r="U275" s="26">
        <f t="shared" ref="U275:U338" si="8">IF(S275&gt;$D$7,-$D$9+$D$10,MIN($D$7-S275-$D$9+$D$10,($D$7-$D$8)-$D$9+$D$10))</f>
        <v>-0.40260000000000001</v>
      </c>
    </row>
    <row r="276" spans="19:21" ht="14.65" thickBot="1" x14ac:dyDescent="0.5">
      <c r="S276" s="37">
        <f t="shared" ref="S276:S339" si="9">S275*(1.01)</f>
        <v>52.116402227449989</v>
      </c>
      <c r="U276" s="26">
        <f t="shared" si="8"/>
        <v>-0.40260000000000001</v>
      </c>
    </row>
    <row r="277" spans="19:21" ht="14.65" thickBot="1" x14ac:dyDescent="0.5">
      <c r="S277" s="37">
        <f t="shared" si="9"/>
        <v>52.637566249724486</v>
      </c>
      <c r="U277" s="26">
        <f t="shared" si="8"/>
        <v>-0.40260000000000001</v>
      </c>
    </row>
    <row r="278" spans="19:21" ht="14.65" thickBot="1" x14ac:dyDescent="0.5">
      <c r="S278" s="37">
        <f t="shared" si="9"/>
        <v>53.16394191222173</v>
      </c>
      <c r="U278" s="26">
        <f t="shared" si="8"/>
        <v>-0.40260000000000001</v>
      </c>
    </row>
    <row r="279" spans="19:21" ht="14.65" thickBot="1" x14ac:dyDescent="0.5">
      <c r="S279" s="37">
        <f t="shared" si="9"/>
        <v>53.695581331343945</v>
      </c>
      <c r="U279" s="26">
        <f t="shared" si="8"/>
        <v>-0.40260000000000001</v>
      </c>
    </row>
    <row r="280" spans="19:21" ht="14.65" thickBot="1" x14ac:dyDescent="0.5">
      <c r="S280" s="37">
        <f t="shared" si="9"/>
        <v>54.232537144657385</v>
      </c>
      <c r="U280" s="26">
        <f t="shared" si="8"/>
        <v>-0.40260000000000001</v>
      </c>
    </row>
    <row r="281" spans="19:21" ht="14.65" thickBot="1" x14ac:dyDescent="0.5">
      <c r="S281" s="37">
        <f t="shared" si="9"/>
        <v>54.774862516103958</v>
      </c>
      <c r="U281" s="26">
        <f t="shared" si="8"/>
        <v>-0.40260000000000001</v>
      </c>
    </row>
    <row r="282" spans="19:21" ht="14.65" thickBot="1" x14ac:dyDescent="0.5">
      <c r="S282" s="37">
        <f t="shared" si="9"/>
        <v>55.322611141265</v>
      </c>
      <c r="U282" s="26">
        <f t="shared" si="8"/>
        <v>-0.40260000000000001</v>
      </c>
    </row>
    <row r="283" spans="19:21" ht="14.65" thickBot="1" x14ac:dyDescent="0.5">
      <c r="S283" s="37">
        <f t="shared" si="9"/>
        <v>55.875837252677648</v>
      </c>
      <c r="U283" s="26">
        <f t="shared" si="8"/>
        <v>-0.40260000000000001</v>
      </c>
    </row>
    <row r="284" spans="19:21" ht="14.65" thickBot="1" x14ac:dyDescent="0.5">
      <c r="S284" s="37">
        <f t="shared" si="9"/>
        <v>56.434595625204423</v>
      </c>
      <c r="U284" s="26">
        <f t="shared" si="8"/>
        <v>-0.40260000000000001</v>
      </c>
    </row>
    <row r="285" spans="19:21" ht="14.65" thickBot="1" x14ac:dyDescent="0.5">
      <c r="S285" s="37">
        <f t="shared" si="9"/>
        <v>56.998941581456471</v>
      </c>
      <c r="U285" s="26">
        <f t="shared" si="8"/>
        <v>-0.40260000000000001</v>
      </c>
    </row>
    <row r="286" spans="19:21" ht="14.65" thickBot="1" x14ac:dyDescent="0.5">
      <c r="S286" s="37">
        <f t="shared" si="9"/>
        <v>57.568930997271039</v>
      </c>
      <c r="U286" s="26">
        <f t="shared" si="8"/>
        <v>-0.40260000000000001</v>
      </c>
    </row>
    <row r="287" spans="19:21" ht="14.65" thickBot="1" x14ac:dyDescent="0.5">
      <c r="S287" s="37">
        <f t="shared" si="9"/>
        <v>58.144620307243748</v>
      </c>
      <c r="U287" s="26">
        <f t="shared" si="8"/>
        <v>-0.40260000000000001</v>
      </c>
    </row>
    <row r="288" spans="19:21" ht="14.65" thickBot="1" x14ac:dyDescent="0.5">
      <c r="S288" s="37">
        <f t="shared" si="9"/>
        <v>58.726066510316187</v>
      </c>
      <c r="U288" s="26">
        <f t="shared" si="8"/>
        <v>-0.40260000000000001</v>
      </c>
    </row>
    <row r="289" spans="19:21" ht="14.65" thickBot="1" x14ac:dyDescent="0.5">
      <c r="S289" s="37">
        <f t="shared" si="9"/>
        <v>59.313327175419346</v>
      </c>
      <c r="U289" s="26">
        <f t="shared" si="8"/>
        <v>-0.40260000000000001</v>
      </c>
    </row>
    <row r="290" spans="19:21" ht="14.65" thickBot="1" x14ac:dyDescent="0.5">
      <c r="S290" s="37">
        <f t="shared" si="9"/>
        <v>59.906460447173536</v>
      </c>
      <c r="U290" s="26">
        <f t="shared" si="8"/>
        <v>-0.40260000000000001</v>
      </c>
    </row>
    <row r="291" spans="19:21" ht="14.65" thickBot="1" x14ac:dyDescent="0.5">
      <c r="S291" s="37">
        <f t="shared" si="9"/>
        <v>60.505525051645272</v>
      </c>
      <c r="U291" s="26">
        <f t="shared" si="8"/>
        <v>-0.40260000000000001</v>
      </c>
    </row>
    <row r="292" spans="19:21" ht="14.65" thickBot="1" x14ac:dyDescent="0.5">
      <c r="S292" s="37">
        <f t="shared" si="9"/>
        <v>61.110580302161722</v>
      </c>
      <c r="U292" s="26">
        <f t="shared" si="8"/>
        <v>-0.40260000000000001</v>
      </c>
    </row>
    <row r="293" spans="19:21" ht="14.65" thickBot="1" x14ac:dyDescent="0.5">
      <c r="S293" s="37">
        <f t="shared" si="9"/>
        <v>61.721686105183338</v>
      </c>
      <c r="U293" s="26">
        <f t="shared" si="8"/>
        <v>-0.40260000000000001</v>
      </c>
    </row>
    <row r="294" spans="19:21" ht="14.65" thickBot="1" x14ac:dyDescent="0.5">
      <c r="S294" s="37">
        <f t="shared" si="9"/>
        <v>62.338902966235175</v>
      </c>
      <c r="U294" s="26">
        <f t="shared" si="8"/>
        <v>-0.40260000000000001</v>
      </c>
    </row>
    <row r="295" spans="19:21" ht="14.65" thickBot="1" x14ac:dyDescent="0.5">
      <c r="S295" s="37">
        <f t="shared" si="9"/>
        <v>62.96229199589753</v>
      </c>
      <c r="U295" s="26">
        <f t="shared" si="8"/>
        <v>-0.40260000000000001</v>
      </c>
    </row>
    <row r="296" spans="19:21" ht="14.65" thickBot="1" x14ac:dyDescent="0.5">
      <c r="S296" s="37">
        <f t="shared" si="9"/>
        <v>63.591914915856506</v>
      </c>
      <c r="U296" s="26">
        <f t="shared" si="8"/>
        <v>-0.40260000000000001</v>
      </c>
    </row>
    <row r="297" spans="19:21" ht="14.65" thickBot="1" x14ac:dyDescent="0.5">
      <c r="S297" s="37">
        <f t="shared" si="9"/>
        <v>64.227834065015074</v>
      </c>
      <c r="U297" s="26">
        <f t="shared" si="8"/>
        <v>-0.40260000000000001</v>
      </c>
    </row>
    <row r="298" spans="19:21" ht="14.65" thickBot="1" x14ac:dyDescent="0.5">
      <c r="S298" s="37">
        <f t="shared" si="9"/>
        <v>64.870112405665225</v>
      </c>
      <c r="U298" s="26">
        <f t="shared" si="8"/>
        <v>-0.40260000000000001</v>
      </c>
    </row>
    <row r="299" spans="19:21" ht="14.65" thickBot="1" x14ac:dyDescent="0.5">
      <c r="S299" s="37">
        <f t="shared" si="9"/>
        <v>65.518813529721882</v>
      </c>
      <c r="U299" s="26">
        <f t="shared" si="8"/>
        <v>-0.40260000000000001</v>
      </c>
    </row>
    <row r="300" spans="19:21" ht="14.65" thickBot="1" x14ac:dyDescent="0.5">
      <c r="S300" s="37">
        <f t="shared" si="9"/>
        <v>66.174001665019105</v>
      </c>
      <c r="U300" s="26">
        <f t="shared" si="8"/>
        <v>-0.40260000000000001</v>
      </c>
    </row>
    <row r="301" spans="19:21" ht="14.65" thickBot="1" x14ac:dyDescent="0.5">
      <c r="S301" s="37">
        <f t="shared" si="9"/>
        <v>66.83574168166929</v>
      </c>
      <c r="U301" s="26">
        <f t="shared" si="8"/>
        <v>-0.40260000000000001</v>
      </c>
    </row>
    <row r="302" spans="19:21" ht="14.65" thickBot="1" x14ac:dyDescent="0.5">
      <c r="S302" s="37">
        <f t="shared" si="9"/>
        <v>67.50409909848598</v>
      </c>
      <c r="U302" s="26">
        <f t="shared" si="8"/>
        <v>-0.40260000000000001</v>
      </c>
    </row>
    <row r="303" spans="19:21" ht="14.65" thickBot="1" x14ac:dyDescent="0.5">
      <c r="S303" s="37">
        <f t="shared" si="9"/>
        <v>68.179140089470835</v>
      </c>
      <c r="U303" s="26">
        <f t="shared" si="8"/>
        <v>-0.40260000000000001</v>
      </c>
    </row>
    <row r="304" spans="19:21" ht="14.65" thickBot="1" x14ac:dyDescent="0.5">
      <c r="S304" s="37">
        <f t="shared" si="9"/>
        <v>68.860931490365545</v>
      </c>
      <c r="U304" s="26">
        <f t="shared" si="8"/>
        <v>-0.40260000000000001</v>
      </c>
    </row>
    <row r="305" spans="19:21" ht="14.65" thickBot="1" x14ac:dyDescent="0.5">
      <c r="S305" s="37">
        <f t="shared" si="9"/>
        <v>69.549540805269203</v>
      </c>
      <c r="U305" s="26">
        <f t="shared" si="8"/>
        <v>-0.40260000000000001</v>
      </c>
    </row>
    <row r="306" spans="19:21" ht="14.65" thickBot="1" x14ac:dyDescent="0.5">
      <c r="S306" s="37">
        <f t="shared" si="9"/>
        <v>70.245036213321896</v>
      </c>
      <c r="U306" s="26">
        <f t="shared" si="8"/>
        <v>-0.40260000000000001</v>
      </c>
    </row>
    <row r="307" spans="19:21" ht="14.65" thickBot="1" x14ac:dyDescent="0.5">
      <c r="S307" s="37">
        <f t="shared" si="9"/>
        <v>70.947486575455116</v>
      </c>
      <c r="U307" s="26">
        <f t="shared" si="8"/>
        <v>-0.40260000000000001</v>
      </c>
    </row>
    <row r="308" spans="19:21" ht="14.65" thickBot="1" x14ac:dyDescent="0.5">
      <c r="S308" s="37">
        <f t="shared" si="9"/>
        <v>71.656961441209674</v>
      </c>
      <c r="U308" s="26">
        <f t="shared" si="8"/>
        <v>-0.40260000000000001</v>
      </c>
    </row>
    <row r="309" spans="19:21" ht="14.65" thickBot="1" x14ac:dyDescent="0.5">
      <c r="S309" s="37">
        <f t="shared" si="9"/>
        <v>72.373531055621768</v>
      </c>
      <c r="U309" s="26">
        <f t="shared" si="8"/>
        <v>-0.40260000000000001</v>
      </c>
    </row>
    <row r="310" spans="19:21" ht="14.65" thickBot="1" x14ac:dyDescent="0.5">
      <c r="S310" s="37">
        <f t="shared" si="9"/>
        <v>73.09726636617799</v>
      </c>
      <c r="U310" s="26">
        <f t="shared" si="8"/>
        <v>-0.40260000000000001</v>
      </c>
    </row>
    <row r="311" spans="19:21" ht="14.65" thickBot="1" x14ac:dyDescent="0.5">
      <c r="S311" s="37">
        <f t="shared" si="9"/>
        <v>73.828239029839764</v>
      </c>
      <c r="U311" s="26">
        <f t="shared" si="8"/>
        <v>-0.40260000000000001</v>
      </c>
    </row>
    <row r="312" spans="19:21" ht="14.65" thickBot="1" x14ac:dyDescent="0.5">
      <c r="S312" s="37">
        <f t="shared" si="9"/>
        <v>74.566521420138159</v>
      </c>
      <c r="U312" s="26">
        <f t="shared" si="8"/>
        <v>-0.40260000000000001</v>
      </c>
    </row>
    <row r="313" spans="19:21" ht="14.65" thickBot="1" x14ac:dyDescent="0.5">
      <c r="S313" s="37">
        <f t="shared" si="9"/>
        <v>75.31218663433954</v>
      </c>
      <c r="U313" s="26">
        <f t="shared" si="8"/>
        <v>-0.40260000000000001</v>
      </c>
    </row>
    <row r="314" spans="19:21" ht="14.65" thickBot="1" x14ac:dyDescent="0.5">
      <c r="S314" s="37">
        <f t="shared" si="9"/>
        <v>76.065308500682931</v>
      </c>
      <c r="U314" s="26">
        <f t="shared" si="8"/>
        <v>-0.40260000000000001</v>
      </c>
    </row>
    <row r="315" spans="19:21" ht="14.65" thickBot="1" x14ac:dyDescent="0.5">
      <c r="S315" s="37">
        <f t="shared" si="9"/>
        <v>76.825961585689768</v>
      </c>
      <c r="U315" s="26">
        <f t="shared" si="8"/>
        <v>-0.40260000000000001</v>
      </c>
    </row>
    <row r="316" spans="19:21" ht="14.65" thickBot="1" x14ac:dyDescent="0.5">
      <c r="S316" s="37">
        <f t="shared" si="9"/>
        <v>77.594221201546659</v>
      </c>
      <c r="U316" s="26">
        <f t="shared" si="8"/>
        <v>-0.40260000000000001</v>
      </c>
    </row>
    <row r="317" spans="19:21" ht="14.65" thickBot="1" x14ac:dyDescent="0.5">
      <c r="S317" s="37">
        <f t="shared" si="9"/>
        <v>78.370163413562125</v>
      </c>
      <c r="U317" s="26">
        <f t="shared" si="8"/>
        <v>-0.40260000000000001</v>
      </c>
    </row>
    <row r="318" spans="19:21" ht="14.65" thickBot="1" x14ac:dyDescent="0.5">
      <c r="S318" s="37">
        <f t="shared" si="9"/>
        <v>79.153865047697749</v>
      </c>
      <c r="U318" s="26">
        <f t="shared" si="8"/>
        <v>-0.40260000000000001</v>
      </c>
    </row>
    <row r="319" spans="19:21" ht="14.65" thickBot="1" x14ac:dyDescent="0.5">
      <c r="S319" s="37">
        <f t="shared" si="9"/>
        <v>79.945403698174729</v>
      </c>
      <c r="U319" s="26">
        <f t="shared" si="8"/>
        <v>-0.40260000000000001</v>
      </c>
    </row>
    <row r="320" spans="19:21" ht="14.65" thickBot="1" x14ac:dyDescent="0.5">
      <c r="S320" s="37">
        <f t="shared" si="9"/>
        <v>80.744857735156472</v>
      </c>
      <c r="U320" s="26">
        <f t="shared" si="8"/>
        <v>-0.40260000000000001</v>
      </c>
    </row>
    <row r="321" spans="19:21" ht="14.65" thickBot="1" x14ac:dyDescent="0.5">
      <c r="S321" s="37">
        <f t="shared" si="9"/>
        <v>81.552306312508037</v>
      </c>
      <c r="U321" s="26">
        <f t="shared" si="8"/>
        <v>-0.40260000000000001</v>
      </c>
    </row>
    <row r="322" spans="19:21" ht="14.65" thickBot="1" x14ac:dyDescent="0.5">
      <c r="S322" s="37">
        <f t="shared" si="9"/>
        <v>82.367829375633121</v>
      </c>
      <c r="U322" s="26">
        <f t="shared" si="8"/>
        <v>-0.40260000000000001</v>
      </c>
    </row>
    <row r="323" spans="19:21" ht="14.65" thickBot="1" x14ac:dyDescent="0.5">
      <c r="S323" s="37">
        <f t="shared" si="9"/>
        <v>83.191507669389452</v>
      </c>
      <c r="U323" s="26">
        <f t="shared" si="8"/>
        <v>-0.40260000000000001</v>
      </c>
    </row>
    <row r="324" spans="19:21" ht="14.65" thickBot="1" x14ac:dyDescent="0.5">
      <c r="S324" s="37">
        <f t="shared" si="9"/>
        <v>84.023422746083341</v>
      </c>
      <c r="U324" s="26">
        <f t="shared" si="8"/>
        <v>-0.40260000000000001</v>
      </c>
    </row>
    <row r="325" spans="19:21" ht="14.65" thickBot="1" x14ac:dyDescent="0.5">
      <c r="S325" s="37">
        <f t="shared" si="9"/>
        <v>84.863656973544181</v>
      </c>
      <c r="U325" s="26">
        <f t="shared" si="8"/>
        <v>-0.40260000000000001</v>
      </c>
    </row>
    <row r="326" spans="19:21" ht="14.65" thickBot="1" x14ac:dyDescent="0.5">
      <c r="S326" s="37">
        <f t="shared" si="9"/>
        <v>85.712293543279628</v>
      </c>
      <c r="U326" s="26">
        <f t="shared" si="8"/>
        <v>-0.40260000000000001</v>
      </c>
    </row>
    <row r="327" spans="19:21" ht="14.65" thickBot="1" x14ac:dyDescent="0.5">
      <c r="S327" s="37">
        <f t="shared" si="9"/>
        <v>86.569416478712427</v>
      </c>
      <c r="U327" s="26">
        <f t="shared" si="8"/>
        <v>-0.40260000000000001</v>
      </c>
    </row>
    <row r="328" spans="19:21" ht="14.65" thickBot="1" x14ac:dyDescent="0.5">
      <c r="S328" s="37">
        <f t="shared" si="9"/>
        <v>87.435110643499556</v>
      </c>
      <c r="U328" s="26">
        <f t="shared" si="8"/>
        <v>-0.40260000000000001</v>
      </c>
    </row>
    <row r="329" spans="19:21" ht="14.65" thickBot="1" x14ac:dyDescent="0.5">
      <c r="S329" s="37">
        <f t="shared" si="9"/>
        <v>88.309461749934556</v>
      </c>
      <c r="U329" s="26">
        <f t="shared" si="8"/>
        <v>-0.40260000000000001</v>
      </c>
    </row>
    <row r="330" spans="19:21" ht="14.65" thickBot="1" x14ac:dyDescent="0.5">
      <c r="S330" s="37">
        <f t="shared" si="9"/>
        <v>89.192556367433909</v>
      </c>
      <c r="U330" s="26">
        <f t="shared" si="8"/>
        <v>-0.40260000000000001</v>
      </c>
    </row>
    <row r="331" spans="19:21" ht="14.65" thickBot="1" x14ac:dyDescent="0.5">
      <c r="S331" s="37">
        <f t="shared" si="9"/>
        <v>90.084481931108243</v>
      </c>
      <c r="U331" s="26">
        <f t="shared" si="8"/>
        <v>-0.40260000000000001</v>
      </c>
    </row>
    <row r="332" spans="19:21" ht="14.65" thickBot="1" x14ac:dyDescent="0.5">
      <c r="S332" s="37">
        <f t="shared" si="9"/>
        <v>90.985326750419333</v>
      </c>
      <c r="U332" s="26">
        <f t="shared" si="8"/>
        <v>-0.40260000000000001</v>
      </c>
    </row>
    <row r="333" spans="19:21" ht="14.65" thickBot="1" x14ac:dyDescent="0.5">
      <c r="S333" s="37">
        <f t="shared" si="9"/>
        <v>91.895180017923522</v>
      </c>
      <c r="U333" s="26">
        <f t="shared" si="8"/>
        <v>-0.40260000000000001</v>
      </c>
    </row>
    <row r="334" spans="19:21" ht="14.65" thickBot="1" x14ac:dyDescent="0.5">
      <c r="S334" s="37">
        <f t="shared" si="9"/>
        <v>92.814131818102751</v>
      </c>
      <c r="U334" s="26">
        <f t="shared" si="8"/>
        <v>-0.40260000000000001</v>
      </c>
    </row>
    <row r="335" spans="19:21" ht="14.65" thickBot="1" x14ac:dyDescent="0.5">
      <c r="S335" s="37">
        <f t="shared" si="9"/>
        <v>93.742273136283785</v>
      </c>
      <c r="U335" s="26">
        <f t="shared" si="8"/>
        <v>-0.40260000000000001</v>
      </c>
    </row>
    <row r="336" spans="19:21" ht="14.65" thickBot="1" x14ac:dyDescent="0.5">
      <c r="S336" s="37">
        <f t="shared" si="9"/>
        <v>94.679695867646629</v>
      </c>
      <c r="U336" s="26">
        <f t="shared" si="8"/>
        <v>-0.40260000000000001</v>
      </c>
    </row>
    <row r="337" spans="19:21" ht="14.65" thickBot="1" x14ac:dyDescent="0.5">
      <c r="S337" s="37">
        <f t="shared" si="9"/>
        <v>95.626492826323101</v>
      </c>
      <c r="U337" s="26">
        <f t="shared" si="8"/>
        <v>-0.40260000000000001</v>
      </c>
    </row>
    <row r="338" spans="19:21" ht="14.65" thickBot="1" x14ac:dyDescent="0.5">
      <c r="S338" s="37">
        <f t="shared" si="9"/>
        <v>96.582757754586339</v>
      </c>
      <c r="U338" s="26">
        <f t="shared" si="8"/>
        <v>-0.40260000000000001</v>
      </c>
    </row>
    <row r="339" spans="19:21" ht="14.65" thickBot="1" x14ac:dyDescent="0.5">
      <c r="S339" s="37">
        <f t="shared" si="9"/>
        <v>97.548585332132205</v>
      </c>
      <c r="U339" s="26">
        <f t="shared" ref="U339:U402" si="10">IF(S339&gt;$D$7,-$D$9+$D$10,MIN($D$7-S339-$D$9+$D$10,($D$7-$D$8)-$D$9+$D$10))</f>
        <v>-0.40260000000000001</v>
      </c>
    </row>
    <row r="340" spans="19:21" ht="14.65" thickBot="1" x14ac:dyDescent="0.5">
      <c r="S340" s="37">
        <f t="shared" ref="S340:S403" si="11">S339*(1.01)</f>
        <v>98.524071185453522</v>
      </c>
      <c r="U340" s="26">
        <f t="shared" si="10"/>
        <v>-0.40260000000000001</v>
      </c>
    </row>
    <row r="341" spans="19:21" ht="14.65" thickBot="1" x14ac:dyDescent="0.5">
      <c r="S341" s="37">
        <f t="shared" si="11"/>
        <v>99.509311897308052</v>
      </c>
      <c r="U341" s="26">
        <f t="shared" si="10"/>
        <v>-0.40260000000000001</v>
      </c>
    </row>
    <row r="342" spans="19:21" ht="14.65" thickBot="1" x14ac:dyDescent="0.5">
      <c r="S342" s="37">
        <f t="shared" si="11"/>
        <v>100.50440501628114</v>
      </c>
      <c r="U342" s="26">
        <f t="shared" si="10"/>
        <v>-0.40260000000000001</v>
      </c>
    </row>
    <row r="343" spans="19:21" ht="14.65" thickBot="1" x14ac:dyDescent="0.5">
      <c r="S343" s="37">
        <f t="shared" si="11"/>
        <v>101.50944906644395</v>
      </c>
      <c r="U343" s="26">
        <f t="shared" si="10"/>
        <v>-0.40260000000000001</v>
      </c>
    </row>
    <row r="344" spans="19:21" ht="14.65" thickBot="1" x14ac:dyDescent="0.5">
      <c r="S344" s="37">
        <f t="shared" si="11"/>
        <v>102.52454355710839</v>
      </c>
      <c r="U344" s="26">
        <f t="shared" si="10"/>
        <v>-0.40260000000000001</v>
      </c>
    </row>
    <row r="345" spans="19:21" ht="14.65" thickBot="1" x14ac:dyDescent="0.5">
      <c r="S345" s="37">
        <f t="shared" si="11"/>
        <v>103.54978899267947</v>
      </c>
      <c r="U345" s="26">
        <f t="shared" si="10"/>
        <v>-0.40260000000000001</v>
      </c>
    </row>
    <row r="346" spans="19:21" ht="14.65" thickBot="1" x14ac:dyDescent="0.5">
      <c r="S346" s="37">
        <f t="shared" si="11"/>
        <v>104.58528688260627</v>
      </c>
      <c r="U346" s="26">
        <f t="shared" si="10"/>
        <v>-0.40260000000000001</v>
      </c>
    </row>
    <row r="347" spans="19:21" ht="14.65" thickBot="1" x14ac:dyDescent="0.5">
      <c r="S347" s="37">
        <f t="shared" si="11"/>
        <v>105.63113975143233</v>
      </c>
      <c r="U347" s="26">
        <f t="shared" si="10"/>
        <v>-0.40260000000000001</v>
      </c>
    </row>
    <row r="348" spans="19:21" ht="14.65" thickBot="1" x14ac:dyDescent="0.5">
      <c r="S348" s="37">
        <f t="shared" si="11"/>
        <v>106.68745114894665</v>
      </c>
      <c r="U348" s="26">
        <f t="shared" si="10"/>
        <v>-0.40260000000000001</v>
      </c>
    </row>
    <row r="349" spans="19:21" ht="14.65" thickBot="1" x14ac:dyDescent="0.5">
      <c r="S349" s="37">
        <f t="shared" si="11"/>
        <v>107.75432566043612</v>
      </c>
      <c r="U349" s="26">
        <f t="shared" si="10"/>
        <v>-0.40260000000000001</v>
      </c>
    </row>
    <row r="350" spans="19:21" ht="14.65" thickBot="1" x14ac:dyDescent="0.5">
      <c r="S350" s="37">
        <f t="shared" si="11"/>
        <v>108.83186891704048</v>
      </c>
      <c r="U350" s="26">
        <f t="shared" si="10"/>
        <v>-0.40260000000000001</v>
      </c>
    </row>
    <row r="351" spans="19:21" ht="14.65" thickBot="1" x14ac:dyDescent="0.5">
      <c r="S351" s="37">
        <f t="shared" si="11"/>
        <v>109.92018760621089</v>
      </c>
      <c r="U351" s="26">
        <f t="shared" si="10"/>
        <v>-0.40260000000000001</v>
      </c>
    </row>
    <row r="352" spans="19:21" ht="14.65" thickBot="1" x14ac:dyDescent="0.5">
      <c r="S352" s="37">
        <f t="shared" si="11"/>
        <v>111.019389482273</v>
      </c>
      <c r="U352" s="26">
        <f t="shared" si="10"/>
        <v>-0.40260000000000001</v>
      </c>
    </row>
    <row r="353" spans="19:21" ht="14.65" thickBot="1" x14ac:dyDescent="0.5">
      <c r="S353" s="37">
        <f t="shared" si="11"/>
        <v>112.12958337709573</v>
      </c>
      <c r="U353" s="26">
        <f t="shared" si="10"/>
        <v>-0.40260000000000001</v>
      </c>
    </row>
    <row r="354" spans="19:21" ht="14.65" thickBot="1" x14ac:dyDescent="0.5">
      <c r="S354" s="37">
        <f t="shared" si="11"/>
        <v>113.25087921086669</v>
      </c>
      <c r="U354" s="26">
        <f t="shared" si="10"/>
        <v>-0.40260000000000001</v>
      </c>
    </row>
    <row r="355" spans="19:21" ht="14.65" thickBot="1" x14ac:dyDescent="0.5">
      <c r="S355" s="37">
        <f t="shared" si="11"/>
        <v>114.38338800297535</v>
      </c>
      <c r="U355" s="26">
        <f t="shared" si="10"/>
        <v>-0.40260000000000001</v>
      </c>
    </row>
    <row r="356" spans="19:21" ht="14.65" thickBot="1" x14ac:dyDescent="0.5">
      <c r="S356" s="37">
        <f t="shared" si="11"/>
        <v>115.52722188300511</v>
      </c>
      <c r="U356" s="26">
        <f t="shared" si="10"/>
        <v>-0.40260000000000001</v>
      </c>
    </row>
    <row r="357" spans="19:21" ht="14.65" thickBot="1" x14ac:dyDescent="0.5">
      <c r="S357" s="37">
        <f t="shared" si="11"/>
        <v>116.68249410183516</v>
      </c>
      <c r="U357" s="26">
        <f t="shared" si="10"/>
        <v>-0.40260000000000001</v>
      </c>
    </row>
    <row r="358" spans="19:21" ht="14.65" thickBot="1" x14ac:dyDescent="0.5">
      <c r="S358" s="37">
        <f t="shared" si="11"/>
        <v>117.84931904285351</v>
      </c>
      <c r="U358" s="26">
        <f t="shared" si="10"/>
        <v>-0.40260000000000001</v>
      </c>
    </row>
    <row r="359" spans="19:21" ht="14.65" thickBot="1" x14ac:dyDescent="0.5">
      <c r="S359" s="37">
        <f t="shared" si="11"/>
        <v>119.02781223328205</v>
      </c>
      <c r="U359" s="26">
        <f t="shared" si="10"/>
        <v>-0.40260000000000001</v>
      </c>
    </row>
    <row r="360" spans="19:21" ht="14.65" thickBot="1" x14ac:dyDescent="0.5">
      <c r="S360" s="37">
        <f t="shared" si="11"/>
        <v>120.21809035561488</v>
      </c>
      <c r="U360" s="26">
        <f t="shared" si="10"/>
        <v>-0.40260000000000001</v>
      </c>
    </row>
    <row r="361" spans="19:21" ht="14.65" thickBot="1" x14ac:dyDescent="0.5">
      <c r="S361" s="37">
        <f t="shared" si="11"/>
        <v>121.42027125917103</v>
      </c>
      <c r="U361" s="26">
        <f t="shared" si="10"/>
        <v>-0.40260000000000001</v>
      </c>
    </row>
    <row r="362" spans="19:21" ht="14.65" thickBot="1" x14ac:dyDescent="0.5">
      <c r="S362" s="37">
        <f t="shared" si="11"/>
        <v>122.63447397176274</v>
      </c>
      <c r="U362" s="26">
        <f t="shared" si="10"/>
        <v>-0.40260000000000001</v>
      </c>
    </row>
    <row r="363" spans="19:21" ht="14.65" thickBot="1" x14ac:dyDescent="0.5">
      <c r="S363" s="37">
        <f t="shared" si="11"/>
        <v>123.86081871148038</v>
      </c>
      <c r="U363" s="26">
        <f t="shared" si="10"/>
        <v>-0.40260000000000001</v>
      </c>
    </row>
    <row r="364" spans="19:21" ht="14.65" thickBot="1" x14ac:dyDescent="0.5">
      <c r="S364" s="37">
        <f t="shared" si="11"/>
        <v>125.09942689859518</v>
      </c>
      <c r="U364" s="26">
        <f t="shared" si="10"/>
        <v>-0.40260000000000001</v>
      </c>
    </row>
    <row r="365" spans="19:21" ht="14.65" thickBot="1" x14ac:dyDescent="0.5">
      <c r="S365" s="37">
        <f t="shared" si="11"/>
        <v>126.35042116758113</v>
      </c>
      <c r="U365" s="26">
        <f t="shared" si="10"/>
        <v>-0.40260000000000001</v>
      </c>
    </row>
    <row r="366" spans="19:21" ht="14.65" thickBot="1" x14ac:dyDescent="0.5">
      <c r="S366" s="37">
        <f t="shared" si="11"/>
        <v>127.61392537925694</v>
      </c>
      <c r="U366" s="26">
        <f t="shared" si="10"/>
        <v>-0.40260000000000001</v>
      </c>
    </row>
    <row r="367" spans="19:21" ht="14.65" thickBot="1" x14ac:dyDescent="0.5">
      <c r="S367" s="37">
        <f t="shared" si="11"/>
        <v>128.89006463304952</v>
      </c>
      <c r="U367" s="26">
        <f t="shared" si="10"/>
        <v>-0.40260000000000001</v>
      </c>
    </row>
    <row r="368" spans="19:21" ht="14.65" thickBot="1" x14ac:dyDescent="0.5">
      <c r="S368" s="37">
        <f t="shared" si="11"/>
        <v>130.17896527938001</v>
      </c>
      <c r="U368" s="26">
        <f t="shared" si="10"/>
        <v>-0.40260000000000001</v>
      </c>
    </row>
    <row r="369" spans="19:21" ht="14.65" thickBot="1" x14ac:dyDescent="0.5">
      <c r="S369" s="37">
        <f t="shared" si="11"/>
        <v>131.48075493217382</v>
      </c>
      <c r="U369" s="26">
        <f t="shared" si="10"/>
        <v>-0.40260000000000001</v>
      </c>
    </row>
    <row r="370" spans="19:21" ht="14.65" thickBot="1" x14ac:dyDescent="0.5">
      <c r="S370" s="37">
        <f t="shared" si="11"/>
        <v>132.79556248149555</v>
      </c>
      <c r="U370" s="26">
        <f t="shared" si="10"/>
        <v>-0.40260000000000001</v>
      </c>
    </row>
    <row r="371" spans="19:21" ht="14.65" thickBot="1" x14ac:dyDescent="0.5">
      <c r="S371" s="37">
        <f t="shared" si="11"/>
        <v>134.12351810631051</v>
      </c>
      <c r="U371" s="26">
        <f t="shared" si="10"/>
        <v>-0.40260000000000001</v>
      </c>
    </row>
    <row r="372" spans="19:21" ht="14.65" thickBot="1" x14ac:dyDescent="0.5">
      <c r="S372" s="37">
        <f t="shared" si="11"/>
        <v>135.46475328737361</v>
      </c>
      <c r="U372" s="26">
        <f t="shared" si="10"/>
        <v>-0.40260000000000001</v>
      </c>
    </row>
    <row r="373" spans="19:21" ht="14.65" thickBot="1" x14ac:dyDescent="0.5">
      <c r="S373" s="37">
        <f t="shared" si="11"/>
        <v>136.81940082024735</v>
      </c>
      <c r="U373" s="26">
        <f t="shared" si="10"/>
        <v>-0.40260000000000001</v>
      </c>
    </row>
    <row r="374" spans="19:21" ht="14.65" thickBot="1" x14ac:dyDescent="0.5">
      <c r="S374" s="37">
        <f t="shared" si="11"/>
        <v>138.18759482844982</v>
      </c>
      <c r="U374" s="26">
        <f t="shared" si="10"/>
        <v>-0.40260000000000001</v>
      </c>
    </row>
    <row r="375" spans="19:21" ht="14.65" thickBot="1" x14ac:dyDescent="0.5">
      <c r="S375" s="37">
        <f t="shared" si="11"/>
        <v>139.56947077673431</v>
      </c>
      <c r="U375" s="26">
        <f t="shared" si="10"/>
        <v>-0.40260000000000001</v>
      </c>
    </row>
    <row r="376" spans="19:21" ht="14.65" thickBot="1" x14ac:dyDescent="0.5">
      <c r="S376" s="37">
        <f t="shared" si="11"/>
        <v>140.96516548450165</v>
      </c>
      <c r="U376" s="26">
        <f t="shared" si="10"/>
        <v>-0.40260000000000001</v>
      </c>
    </row>
    <row r="377" spans="19:21" ht="14.65" thickBot="1" x14ac:dyDescent="0.5">
      <c r="S377" s="37">
        <f t="shared" si="11"/>
        <v>142.37481713934667</v>
      </c>
      <c r="U377" s="26">
        <f t="shared" si="10"/>
        <v>-0.40260000000000001</v>
      </c>
    </row>
    <row r="378" spans="19:21" ht="14.65" thickBot="1" x14ac:dyDescent="0.5">
      <c r="S378" s="37">
        <f t="shared" si="11"/>
        <v>143.79856531074014</v>
      </c>
      <c r="U378" s="26">
        <f t="shared" si="10"/>
        <v>-0.40260000000000001</v>
      </c>
    </row>
    <row r="379" spans="19:21" ht="14.65" thickBot="1" x14ac:dyDescent="0.5">
      <c r="S379" s="37">
        <f t="shared" si="11"/>
        <v>145.23655096384755</v>
      </c>
      <c r="U379" s="26">
        <f t="shared" si="10"/>
        <v>-0.40260000000000001</v>
      </c>
    </row>
    <row r="380" spans="19:21" ht="14.65" thickBot="1" x14ac:dyDescent="0.5">
      <c r="S380" s="37">
        <f t="shared" si="11"/>
        <v>146.68891647348602</v>
      </c>
      <c r="U380" s="26">
        <f t="shared" si="10"/>
        <v>-0.40260000000000001</v>
      </c>
    </row>
    <row r="381" spans="19:21" ht="14.65" thickBot="1" x14ac:dyDescent="0.5">
      <c r="S381" s="37">
        <f t="shared" si="11"/>
        <v>148.15580563822087</v>
      </c>
      <c r="U381" s="26">
        <f t="shared" si="10"/>
        <v>-0.40260000000000001</v>
      </c>
    </row>
    <row r="382" spans="19:21" ht="14.65" thickBot="1" x14ac:dyDescent="0.5">
      <c r="S382" s="37">
        <f t="shared" si="11"/>
        <v>149.63736369460307</v>
      </c>
      <c r="U382" s="26">
        <f t="shared" si="10"/>
        <v>-0.40260000000000001</v>
      </c>
    </row>
    <row r="383" spans="19:21" ht="14.65" thickBot="1" x14ac:dyDescent="0.5">
      <c r="S383" s="37">
        <f t="shared" si="11"/>
        <v>151.1337373315491</v>
      </c>
      <c r="U383" s="26">
        <f t="shared" si="10"/>
        <v>-0.40260000000000001</v>
      </c>
    </row>
    <row r="384" spans="19:21" ht="14.65" thickBot="1" x14ac:dyDescent="0.5">
      <c r="S384" s="37">
        <f t="shared" si="11"/>
        <v>152.64507470486458</v>
      </c>
      <c r="U384" s="26">
        <f t="shared" si="10"/>
        <v>-0.40260000000000001</v>
      </c>
    </row>
    <row r="385" spans="19:21" ht="14.65" thickBot="1" x14ac:dyDescent="0.5">
      <c r="S385" s="37">
        <f t="shared" si="11"/>
        <v>154.17152545191323</v>
      </c>
      <c r="U385" s="26">
        <f t="shared" si="10"/>
        <v>-0.40260000000000001</v>
      </c>
    </row>
    <row r="386" spans="19:21" ht="14.65" thickBot="1" x14ac:dyDescent="0.5">
      <c r="S386" s="37">
        <f t="shared" si="11"/>
        <v>155.71324070643237</v>
      </c>
      <c r="U386" s="26">
        <f t="shared" si="10"/>
        <v>-0.40260000000000001</v>
      </c>
    </row>
    <row r="387" spans="19:21" ht="14.65" thickBot="1" x14ac:dyDescent="0.5">
      <c r="S387" s="37">
        <f t="shared" si="11"/>
        <v>157.2703731134967</v>
      </c>
      <c r="U387" s="26">
        <f t="shared" si="10"/>
        <v>-0.40260000000000001</v>
      </c>
    </row>
    <row r="388" spans="19:21" ht="14.65" thickBot="1" x14ac:dyDescent="0.5">
      <c r="S388" s="37">
        <f t="shared" si="11"/>
        <v>158.84307684463167</v>
      </c>
      <c r="U388" s="26">
        <f t="shared" si="10"/>
        <v>-0.40260000000000001</v>
      </c>
    </row>
    <row r="389" spans="19:21" ht="14.65" thickBot="1" x14ac:dyDescent="0.5">
      <c r="S389" s="37">
        <f t="shared" si="11"/>
        <v>160.431507613078</v>
      </c>
      <c r="U389" s="26">
        <f t="shared" si="10"/>
        <v>-0.40260000000000001</v>
      </c>
    </row>
    <row r="390" spans="19:21" ht="14.65" thickBot="1" x14ac:dyDescent="0.5">
      <c r="S390" s="37">
        <f t="shared" si="11"/>
        <v>162.03582268920877</v>
      </c>
      <c r="U390" s="26">
        <f t="shared" si="10"/>
        <v>-0.40260000000000001</v>
      </c>
    </row>
    <row r="391" spans="19:21" ht="14.65" thickBot="1" x14ac:dyDescent="0.5">
      <c r="S391" s="37">
        <f t="shared" si="11"/>
        <v>163.65618091610085</v>
      </c>
      <c r="U391" s="26">
        <f t="shared" si="10"/>
        <v>-0.40260000000000001</v>
      </c>
    </row>
    <row r="392" spans="19:21" ht="14.65" thickBot="1" x14ac:dyDescent="0.5">
      <c r="S392" s="37">
        <f t="shared" si="11"/>
        <v>165.29274272526186</v>
      </c>
      <c r="U392" s="26">
        <f t="shared" si="10"/>
        <v>-0.40260000000000001</v>
      </c>
    </row>
    <row r="393" spans="19:21" ht="14.65" thickBot="1" x14ac:dyDescent="0.5">
      <c r="S393" s="37">
        <f t="shared" si="11"/>
        <v>166.94567015251448</v>
      </c>
      <c r="U393" s="26">
        <f t="shared" si="10"/>
        <v>-0.40260000000000001</v>
      </c>
    </row>
    <row r="394" spans="19:21" ht="14.65" thickBot="1" x14ac:dyDescent="0.5">
      <c r="S394" s="37">
        <f t="shared" si="11"/>
        <v>168.61512685403963</v>
      </c>
      <c r="U394" s="26">
        <f t="shared" si="10"/>
        <v>-0.40260000000000001</v>
      </c>
    </row>
    <row r="395" spans="19:21" ht="14.65" thickBot="1" x14ac:dyDescent="0.5">
      <c r="S395" s="37">
        <f t="shared" si="11"/>
        <v>170.30127812258002</v>
      </c>
      <c r="U395" s="26">
        <f t="shared" si="10"/>
        <v>-0.40260000000000001</v>
      </c>
    </row>
    <row r="396" spans="19:21" ht="14.65" thickBot="1" x14ac:dyDescent="0.5">
      <c r="S396" s="37">
        <f t="shared" si="11"/>
        <v>172.00429090380581</v>
      </c>
      <c r="U396" s="26">
        <f t="shared" si="10"/>
        <v>-0.40260000000000001</v>
      </c>
    </row>
    <row r="397" spans="19:21" ht="14.65" thickBot="1" x14ac:dyDescent="0.5">
      <c r="S397" s="37">
        <f t="shared" si="11"/>
        <v>173.72433381284387</v>
      </c>
      <c r="U397" s="26">
        <f t="shared" si="10"/>
        <v>-0.40260000000000001</v>
      </c>
    </row>
    <row r="398" spans="19:21" ht="14.65" thickBot="1" x14ac:dyDescent="0.5">
      <c r="S398" s="37">
        <f t="shared" si="11"/>
        <v>175.46157715097232</v>
      </c>
      <c r="U398" s="26">
        <f t="shared" si="10"/>
        <v>-0.40260000000000001</v>
      </c>
    </row>
    <row r="399" spans="19:21" ht="14.65" thickBot="1" x14ac:dyDescent="0.5">
      <c r="S399" s="37">
        <f t="shared" si="11"/>
        <v>177.21619292248204</v>
      </c>
      <c r="U399" s="26">
        <f t="shared" si="10"/>
        <v>-0.40260000000000001</v>
      </c>
    </row>
    <row r="400" spans="19:21" ht="14.65" thickBot="1" x14ac:dyDescent="0.5">
      <c r="S400" s="37">
        <f t="shared" si="11"/>
        <v>178.98835485170684</v>
      </c>
      <c r="U400" s="26">
        <f t="shared" si="10"/>
        <v>-0.40260000000000001</v>
      </c>
    </row>
    <row r="401" spans="19:21" ht="14.65" thickBot="1" x14ac:dyDescent="0.5">
      <c r="S401" s="37">
        <f t="shared" si="11"/>
        <v>180.77823840022393</v>
      </c>
      <c r="U401" s="26">
        <f t="shared" si="10"/>
        <v>-0.40260000000000001</v>
      </c>
    </row>
    <row r="402" spans="19:21" ht="14.65" thickBot="1" x14ac:dyDescent="0.5">
      <c r="S402" s="37">
        <f t="shared" si="11"/>
        <v>182.58602078422618</v>
      </c>
      <c r="U402" s="26">
        <f t="shared" si="10"/>
        <v>-0.40260000000000001</v>
      </c>
    </row>
    <row r="403" spans="19:21" ht="14.65" thickBot="1" x14ac:dyDescent="0.5">
      <c r="S403" s="37">
        <f t="shared" si="11"/>
        <v>184.41188099206843</v>
      </c>
      <c r="U403" s="26">
        <f t="shared" ref="U403:U466" si="12">IF(S403&gt;$D$7,-$D$9+$D$10,MIN($D$7-S403-$D$9+$D$10,($D$7-$D$8)-$D$9+$D$10))</f>
        <v>-0.40260000000000001</v>
      </c>
    </row>
    <row r="404" spans="19:21" ht="14.65" thickBot="1" x14ac:dyDescent="0.5">
      <c r="S404" s="37">
        <f t="shared" ref="S404:S467" si="13">S403*(1.01)</f>
        <v>186.25599980198911</v>
      </c>
      <c r="U404" s="26">
        <f t="shared" si="12"/>
        <v>-0.40260000000000001</v>
      </c>
    </row>
    <row r="405" spans="19:21" ht="14.65" thickBot="1" x14ac:dyDescent="0.5">
      <c r="S405" s="37">
        <f t="shared" si="13"/>
        <v>188.118559800009</v>
      </c>
      <c r="U405" s="26">
        <f t="shared" si="12"/>
        <v>-0.40260000000000001</v>
      </c>
    </row>
    <row r="406" spans="19:21" ht="14.65" thickBot="1" x14ac:dyDescent="0.5">
      <c r="S406" s="37">
        <f t="shared" si="13"/>
        <v>189.99974539800908</v>
      </c>
      <c r="U406" s="26">
        <f t="shared" si="12"/>
        <v>-0.40260000000000001</v>
      </c>
    </row>
    <row r="407" spans="19:21" ht="14.65" thickBot="1" x14ac:dyDescent="0.5">
      <c r="S407" s="37">
        <f t="shared" si="13"/>
        <v>191.89974285198917</v>
      </c>
      <c r="U407" s="26">
        <f t="shared" si="12"/>
        <v>-0.40260000000000001</v>
      </c>
    </row>
    <row r="408" spans="19:21" ht="14.65" thickBot="1" x14ac:dyDescent="0.5">
      <c r="S408" s="37">
        <f t="shared" si="13"/>
        <v>193.81874028050908</v>
      </c>
      <c r="U408" s="26">
        <f t="shared" si="12"/>
        <v>-0.40260000000000001</v>
      </c>
    </row>
    <row r="409" spans="19:21" ht="14.65" thickBot="1" x14ac:dyDescent="0.5">
      <c r="S409" s="37">
        <f t="shared" si="13"/>
        <v>195.75692768331416</v>
      </c>
      <c r="U409" s="26">
        <f t="shared" si="12"/>
        <v>-0.40260000000000001</v>
      </c>
    </row>
    <row r="410" spans="19:21" ht="14.65" thickBot="1" x14ac:dyDescent="0.5">
      <c r="S410" s="37">
        <f t="shared" si="13"/>
        <v>197.7144969601473</v>
      </c>
      <c r="U410" s="26">
        <f t="shared" si="12"/>
        <v>-0.40260000000000001</v>
      </c>
    </row>
    <row r="411" spans="19:21" ht="14.65" thickBot="1" x14ac:dyDescent="0.5">
      <c r="S411" s="37">
        <f t="shared" si="13"/>
        <v>199.69164192974878</v>
      </c>
      <c r="U411" s="26">
        <f t="shared" si="12"/>
        <v>-0.40260000000000001</v>
      </c>
    </row>
    <row r="412" spans="19:21" ht="14.65" thickBot="1" x14ac:dyDescent="0.5">
      <c r="S412" s="37">
        <f t="shared" si="13"/>
        <v>201.68855834904627</v>
      </c>
      <c r="U412" s="26">
        <f t="shared" si="12"/>
        <v>-0.40260000000000001</v>
      </c>
    </row>
    <row r="413" spans="19:21" ht="14.65" thickBot="1" x14ac:dyDescent="0.5">
      <c r="S413" s="37">
        <f t="shared" si="13"/>
        <v>203.70544393253675</v>
      </c>
      <c r="U413" s="26">
        <f t="shared" si="12"/>
        <v>-0.40260000000000001</v>
      </c>
    </row>
    <row r="414" spans="19:21" ht="14.65" thickBot="1" x14ac:dyDescent="0.5">
      <c r="S414" s="37">
        <f t="shared" si="13"/>
        <v>205.74249837186213</v>
      </c>
      <c r="U414" s="26">
        <f t="shared" si="12"/>
        <v>-0.40260000000000001</v>
      </c>
    </row>
    <row r="415" spans="19:21" ht="14.65" thickBot="1" x14ac:dyDescent="0.5">
      <c r="S415" s="37">
        <f t="shared" si="13"/>
        <v>207.79992335558075</v>
      </c>
      <c r="U415" s="26">
        <f t="shared" si="12"/>
        <v>-0.40260000000000001</v>
      </c>
    </row>
    <row r="416" spans="19:21" ht="14.65" thickBot="1" x14ac:dyDescent="0.5">
      <c r="S416" s="37">
        <f t="shared" si="13"/>
        <v>209.87792258913655</v>
      </c>
      <c r="U416" s="26">
        <f t="shared" si="12"/>
        <v>-0.40260000000000001</v>
      </c>
    </row>
    <row r="417" spans="19:21" ht="14.65" thickBot="1" x14ac:dyDescent="0.5">
      <c r="S417" s="37">
        <f t="shared" si="13"/>
        <v>211.97670181502792</v>
      </c>
      <c r="U417" s="26">
        <f t="shared" si="12"/>
        <v>-0.40260000000000001</v>
      </c>
    </row>
    <row r="418" spans="19:21" ht="14.65" thickBot="1" x14ac:dyDescent="0.5">
      <c r="S418" s="37">
        <f t="shared" si="13"/>
        <v>214.09646883317819</v>
      </c>
      <c r="U418" s="26">
        <f t="shared" si="12"/>
        <v>-0.40260000000000001</v>
      </c>
    </row>
    <row r="419" spans="19:21" ht="14.65" thickBot="1" x14ac:dyDescent="0.5">
      <c r="S419" s="37">
        <f t="shared" si="13"/>
        <v>216.23743352150998</v>
      </c>
      <c r="U419" s="26">
        <f t="shared" si="12"/>
        <v>-0.40260000000000001</v>
      </c>
    </row>
    <row r="420" spans="19:21" ht="14.65" thickBot="1" x14ac:dyDescent="0.5">
      <c r="S420" s="37">
        <f t="shared" si="13"/>
        <v>218.39980785672509</v>
      </c>
      <c r="U420" s="26">
        <f t="shared" si="12"/>
        <v>-0.40260000000000001</v>
      </c>
    </row>
    <row r="421" spans="19:21" ht="14.65" thickBot="1" x14ac:dyDescent="0.5">
      <c r="S421" s="37">
        <f t="shared" si="13"/>
        <v>220.58380593529233</v>
      </c>
      <c r="U421" s="26">
        <f t="shared" si="12"/>
        <v>-0.40260000000000001</v>
      </c>
    </row>
    <row r="422" spans="19:21" ht="14.65" thickBot="1" x14ac:dyDescent="0.5">
      <c r="S422" s="37">
        <f t="shared" si="13"/>
        <v>222.78964399464525</v>
      </c>
      <c r="U422" s="26">
        <f t="shared" si="12"/>
        <v>-0.40260000000000001</v>
      </c>
    </row>
    <row r="423" spans="19:21" ht="14.65" thickBot="1" x14ac:dyDescent="0.5">
      <c r="S423" s="37">
        <f t="shared" si="13"/>
        <v>225.01754043459169</v>
      </c>
      <c r="U423" s="26">
        <f t="shared" si="12"/>
        <v>-0.40260000000000001</v>
      </c>
    </row>
    <row r="424" spans="19:21" ht="14.65" thickBot="1" x14ac:dyDescent="0.5">
      <c r="S424" s="37">
        <f t="shared" si="13"/>
        <v>227.26771583893762</v>
      </c>
      <c r="U424" s="26">
        <f t="shared" si="12"/>
        <v>-0.40260000000000001</v>
      </c>
    </row>
    <row r="425" spans="19:21" ht="14.65" thickBot="1" x14ac:dyDescent="0.5">
      <c r="S425" s="37">
        <f t="shared" si="13"/>
        <v>229.54039299732699</v>
      </c>
      <c r="U425" s="26">
        <f t="shared" si="12"/>
        <v>-0.40260000000000001</v>
      </c>
    </row>
    <row r="426" spans="19:21" ht="14.65" thickBot="1" x14ac:dyDescent="0.5">
      <c r="S426" s="37">
        <f t="shared" si="13"/>
        <v>231.83579692730027</v>
      </c>
      <c r="U426" s="26">
        <f t="shared" si="12"/>
        <v>-0.40260000000000001</v>
      </c>
    </row>
    <row r="427" spans="19:21" ht="14.65" thickBot="1" x14ac:dyDescent="0.5">
      <c r="S427" s="37">
        <f t="shared" si="13"/>
        <v>234.15415489657326</v>
      </c>
      <c r="U427" s="26">
        <f t="shared" si="12"/>
        <v>-0.40260000000000001</v>
      </c>
    </row>
    <row r="428" spans="19:21" ht="14.65" thickBot="1" x14ac:dyDescent="0.5">
      <c r="S428" s="37">
        <f t="shared" si="13"/>
        <v>236.49569644553898</v>
      </c>
      <c r="U428" s="26">
        <f t="shared" si="12"/>
        <v>-0.40260000000000001</v>
      </c>
    </row>
    <row r="429" spans="19:21" ht="14.65" thickBot="1" x14ac:dyDescent="0.5">
      <c r="S429" s="37">
        <f t="shared" si="13"/>
        <v>238.86065340999437</v>
      </c>
      <c r="U429" s="26">
        <f t="shared" si="12"/>
        <v>-0.40260000000000001</v>
      </c>
    </row>
    <row r="430" spans="19:21" ht="14.65" thickBot="1" x14ac:dyDescent="0.5">
      <c r="S430" s="37">
        <f t="shared" si="13"/>
        <v>241.24925994409432</v>
      </c>
      <c r="U430" s="26">
        <f t="shared" si="12"/>
        <v>-0.40260000000000001</v>
      </c>
    </row>
    <row r="431" spans="19:21" ht="14.65" thickBot="1" x14ac:dyDescent="0.5">
      <c r="S431" s="37">
        <f t="shared" si="13"/>
        <v>243.66175254353527</v>
      </c>
      <c r="U431" s="26">
        <f t="shared" si="12"/>
        <v>-0.40260000000000001</v>
      </c>
    </row>
    <row r="432" spans="19:21" ht="14.65" thickBot="1" x14ac:dyDescent="0.5">
      <c r="S432" s="37">
        <f t="shared" si="13"/>
        <v>246.09837006897064</v>
      </c>
      <c r="U432" s="26">
        <f t="shared" si="12"/>
        <v>-0.40260000000000001</v>
      </c>
    </row>
    <row r="433" spans="19:21" ht="14.65" thickBot="1" x14ac:dyDescent="0.5">
      <c r="S433" s="37">
        <f t="shared" si="13"/>
        <v>248.55935376966033</v>
      </c>
      <c r="U433" s="26">
        <f t="shared" si="12"/>
        <v>-0.40260000000000001</v>
      </c>
    </row>
    <row r="434" spans="19:21" ht="14.65" thickBot="1" x14ac:dyDescent="0.5">
      <c r="S434" s="37">
        <f t="shared" si="13"/>
        <v>251.04494730735695</v>
      </c>
      <c r="U434" s="26">
        <f t="shared" si="12"/>
        <v>-0.40260000000000001</v>
      </c>
    </row>
    <row r="435" spans="19:21" ht="14.65" thickBot="1" x14ac:dyDescent="0.5">
      <c r="S435" s="37">
        <f t="shared" si="13"/>
        <v>253.55539678043053</v>
      </c>
      <c r="U435" s="26">
        <f t="shared" si="12"/>
        <v>-0.40260000000000001</v>
      </c>
    </row>
    <row r="436" spans="19:21" ht="14.65" thickBot="1" x14ac:dyDescent="0.5">
      <c r="S436" s="37">
        <f t="shared" si="13"/>
        <v>256.09095074823483</v>
      </c>
      <c r="U436" s="26">
        <f t="shared" si="12"/>
        <v>-0.40260000000000001</v>
      </c>
    </row>
    <row r="437" spans="19:21" ht="14.65" thickBot="1" x14ac:dyDescent="0.5">
      <c r="S437" s="37">
        <f t="shared" si="13"/>
        <v>258.65186025571717</v>
      </c>
      <c r="U437" s="26">
        <f t="shared" si="12"/>
        <v>-0.40260000000000001</v>
      </c>
    </row>
    <row r="438" spans="19:21" ht="14.65" thickBot="1" x14ac:dyDescent="0.5">
      <c r="S438" s="37">
        <f t="shared" si="13"/>
        <v>261.23837885827436</v>
      </c>
      <c r="U438" s="26">
        <f t="shared" si="12"/>
        <v>-0.40260000000000001</v>
      </c>
    </row>
    <row r="439" spans="19:21" ht="14.65" thickBot="1" x14ac:dyDescent="0.5">
      <c r="S439" s="37">
        <f t="shared" si="13"/>
        <v>263.85076264685711</v>
      </c>
      <c r="U439" s="26">
        <f t="shared" si="12"/>
        <v>-0.40260000000000001</v>
      </c>
    </row>
    <row r="440" spans="19:21" ht="14.65" thickBot="1" x14ac:dyDescent="0.5">
      <c r="S440" s="37">
        <f t="shared" si="13"/>
        <v>266.4892702733257</v>
      </c>
      <c r="U440" s="26">
        <f t="shared" si="12"/>
        <v>-0.40260000000000001</v>
      </c>
    </row>
    <row r="441" spans="19:21" ht="14.65" thickBot="1" x14ac:dyDescent="0.5">
      <c r="S441" s="37">
        <f t="shared" si="13"/>
        <v>269.15416297605896</v>
      </c>
      <c r="U441" s="26">
        <f t="shared" si="12"/>
        <v>-0.40260000000000001</v>
      </c>
    </row>
    <row r="442" spans="19:21" ht="14.65" thickBot="1" x14ac:dyDescent="0.5">
      <c r="S442" s="37">
        <f t="shared" si="13"/>
        <v>271.84570460581955</v>
      </c>
      <c r="U442" s="26">
        <f t="shared" si="12"/>
        <v>-0.40260000000000001</v>
      </c>
    </row>
    <row r="443" spans="19:21" ht="14.65" thickBot="1" x14ac:dyDescent="0.5">
      <c r="S443" s="37">
        <f t="shared" si="13"/>
        <v>274.56416165187773</v>
      </c>
      <c r="U443" s="26">
        <f t="shared" si="12"/>
        <v>-0.40260000000000001</v>
      </c>
    </row>
    <row r="444" spans="19:21" ht="14.65" thickBot="1" x14ac:dyDescent="0.5">
      <c r="S444" s="37">
        <f t="shared" si="13"/>
        <v>277.30980326839648</v>
      </c>
      <c r="U444" s="26">
        <f t="shared" si="12"/>
        <v>-0.40260000000000001</v>
      </c>
    </row>
    <row r="445" spans="19:21" ht="14.65" thickBot="1" x14ac:dyDescent="0.5">
      <c r="S445" s="37">
        <f t="shared" si="13"/>
        <v>280.08290130108043</v>
      </c>
      <c r="U445" s="26">
        <f t="shared" si="12"/>
        <v>-0.40260000000000001</v>
      </c>
    </row>
    <row r="446" spans="19:21" ht="14.65" thickBot="1" x14ac:dyDescent="0.5">
      <c r="S446" s="37">
        <f t="shared" si="13"/>
        <v>282.88373031409122</v>
      </c>
      <c r="U446" s="26">
        <f t="shared" si="12"/>
        <v>-0.40260000000000001</v>
      </c>
    </row>
    <row r="447" spans="19:21" ht="14.65" thickBot="1" x14ac:dyDescent="0.5">
      <c r="S447" s="37">
        <f t="shared" si="13"/>
        <v>285.71256761723214</v>
      </c>
      <c r="U447" s="26">
        <f t="shared" si="12"/>
        <v>-0.40260000000000001</v>
      </c>
    </row>
    <row r="448" spans="19:21" ht="14.65" thickBot="1" x14ac:dyDescent="0.5">
      <c r="S448" s="37">
        <f t="shared" si="13"/>
        <v>288.56969329340444</v>
      </c>
      <c r="U448" s="26">
        <f t="shared" si="12"/>
        <v>-0.40260000000000001</v>
      </c>
    </row>
    <row r="449" spans="19:21" ht="14.65" thickBot="1" x14ac:dyDescent="0.5">
      <c r="S449" s="37">
        <f t="shared" si="13"/>
        <v>291.45539022633847</v>
      </c>
      <c r="U449" s="26">
        <f t="shared" si="12"/>
        <v>-0.40260000000000001</v>
      </c>
    </row>
    <row r="450" spans="19:21" ht="14.65" thickBot="1" x14ac:dyDescent="0.5">
      <c r="S450" s="37">
        <f t="shared" si="13"/>
        <v>294.36994412860184</v>
      </c>
      <c r="U450" s="26">
        <f t="shared" si="12"/>
        <v>-0.40260000000000001</v>
      </c>
    </row>
    <row r="451" spans="19:21" ht="14.65" thickBot="1" x14ac:dyDescent="0.5">
      <c r="S451" s="37">
        <f t="shared" si="13"/>
        <v>297.31364356988786</v>
      </c>
      <c r="U451" s="26">
        <f t="shared" si="12"/>
        <v>-0.40260000000000001</v>
      </c>
    </row>
    <row r="452" spans="19:21" ht="14.65" thickBot="1" x14ac:dyDescent="0.5">
      <c r="S452" s="37">
        <f t="shared" si="13"/>
        <v>300.28678000558676</v>
      </c>
      <c r="U452" s="26">
        <f t="shared" si="12"/>
        <v>-0.40260000000000001</v>
      </c>
    </row>
    <row r="453" spans="19:21" ht="14.65" thickBot="1" x14ac:dyDescent="0.5">
      <c r="S453" s="37">
        <f t="shared" si="13"/>
        <v>303.28964780564263</v>
      </c>
      <c r="U453" s="26">
        <f t="shared" si="12"/>
        <v>-0.40260000000000001</v>
      </c>
    </row>
    <row r="454" spans="19:21" ht="14.65" thickBot="1" x14ac:dyDescent="0.5">
      <c r="S454" s="37">
        <f t="shared" si="13"/>
        <v>306.32254428369907</v>
      </c>
      <c r="U454" s="26">
        <f t="shared" si="12"/>
        <v>-0.40260000000000001</v>
      </c>
    </row>
    <row r="455" spans="19:21" ht="14.65" thickBot="1" x14ac:dyDescent="0.5">
      <c r="S455" s="37">
        <f t="shared" si="13"/>
        <v>309.38576972653607</v>
      </c>
      <c r="U455" s="26">
        <f t="shared" si="12"/>
        <v>-0.40260000000000001</v>
      </c>
    </row>
    <row r="456" spans="19:21" ht="14.65" thickBot="1" x14ac:dyDescent="0.5">
      <c r="S456" s="37">
        <f t="shared" si="13"/>
        <v>312.47962742380145</v>
      </c>
      <c r="U456" s="26">
        <f t="shared" si="12"/>
        <v>-0.40260000000000001</v>
      </c>
    </row>
    <row r="457" spans="19:21" ht="14.65" thickBot="1" x14ac:dyDescent="0.5">
      <c r="S457" s="37">
        <f t="shared" si="13"/>
        <v>315.60442369803945</v>
      </c>
      <c r="U457" s="26">
        <f t="shared" si="12"/>
        <v>-0.40260000000000001</v>
      </c>
    </row>
    <row r="458" spans="19:21" ht="14.65" thickBot="1" x14ac:dyDescent="0.5">
      <c r="S458" s="37">
        <f t="shared" si="13"/>
        <v>318.76046793501985</v>
      </c>
      <c r="U458" s="26">
        <f t="shared" si="12"/>
        <v>-0.40260000000000001</v>
      </c>
    </row>
    <row r="459" spans="19:21" ht="14.65" thickBot="1" x14ac:dyDescent="0.5">
      <c r="S459" s="37">
        <f t="shared" si="13"/>
        <v>321.94807261437006</v>
      </c>
      <c r="U459" s="26">
        <f t="shared" si="12"/>
        <v>-0.40260000000000001</v>
      </c>
    </row>
    <row r="460" spans="19:21" ht="14.65" thickBot="1" x14ac:dyDescent="0.5">
      <c r="S460" s="37">
        <f t="shared" si="13"/>
        <v>325.16755334051379</v>
      </c>
      <c r="U460" s="26">
        <f t="shared" si="12"/>
        <v>-0.40260000000000001</v>
      </c>
    </row>
    <row r="461" spans="19:21" ht="14.65" thickBot="1" x14ac:dyDescent="0.5">
      <c r="S461" s="37">
        <f t="shared" si="13"/>
        <v>328.41922887391894</v>
      </c>
      <c r="U461" s="26">
        <f t="shared" si="12"/>
        <v>-0.40260000000000001</v>
      </c>
    </row>
    <row r="462" spans="19:21" ht="14.65" thickBot="1" x14ac:dyDescent="0.5">
      <c r="S462" s="37">
        <f t="shared" si="13"/>
        <v>331.70342116265812</v>
      </c>
      <c r="U462" s="26">
        <f t="shared" si="12"/>
        <v>-0.40260000000000001</v>
      </c>
    </row>
    <row r="463" spans="19:21" ht="14.65" thickBot="1" x14ac:dyDescent="0.5">
      <c r="S463" s="37">
        <f t="shared" si="13"/>
        <v>335.02045537428472</v>
      </c>
      <c r="U463" s="26">
        <f t="shared" si="12"/>
        <v>-0.40260000000000001</v>
      </c>
    </row>
    <row r="464" spans="19:21" ht="14.65" thickBot="1" x14ac:dyDescent="0.5">
      <c r="S464" s="37">
        <f t="shared" si="13"/>
        <v>338.37065992802758</v>
      </c>
      <c r="U464" s="26">
        <f t="shared" si="12"/>
        <v>-0.40260000000000001</v>
      </c>
    </row>
    <row r="465" spans="19:21" ht="14.65" thickBot="1" x14ac:dyDescent="0.5">
      <c r="S465" s="37">
        <f t="shared" si="13"/>
        <v>341.75436652730787</v>
      </c>
      <c r="U465" s="26">
        <f t="shared" si="12"/>
        <v>-0.40260000000000001</v>
      </c>
    </row>
    <row r="466" spans="19:21" ht="14.65" thickBot="1" x14ac:dyDescent="0.5">
      <c r="S466" s="37">
        <f t="shared" si="13"/>
        <v>345.17191019258092</v>
      </c>
      <c r="U466" s="26">
        <f t="shared" si="12"/>
        <v>-0.40260000000000001</v>
      </c>
    </row>
    <row r="467" spans="19:21" ht="14.65" thickBot="1" x14ac:dyDescent="0.5">
      <c r="S467" s="37">
        <f t="shared" si="13"/>
        <v>348.62362929450671</v>
      </c>
      <c r="U467" s="26">
        <f t="shared" ref="U467:U530" si="14">IF(S467&gt;$D$7,-$D$9+$D$10,MIN($D$7-S467-$D$9+$D$10,($D$7-$D$8)-$D$9+$D$10))</f>
        <v>-0.40260000000000001</v>
      </c>
    </row>
    <row r="468" spans="19:21" ht="14.65" thickBot="1" x14ac:dyDescent="0.5">
      <c r="S468" s="37">
        <f t="shared" ref="S468:S531" si="15">S467*(1.01)</f>
        <v>352.10986558745179</v>
      </c>
      <c r="U468" s="26">
        <f t="shared" si="14"/>
        <v>-0.40260000000000001</v>
      </c>
    </row>
    <row r="469" spans="19:21" ht="14.65" thickBot="1" x14ac:dyDescent="0.5">
      <c r="S469" s="37">
        <f t="shared" si="15"/>
        <v>355.63096424332633</v>
      </c>
      <c r="U469" s="26">
        <f t="shared" si="14"/>
        <v>-0.40260000000000001</v>
      </c>
    </row>
    <row r="470" spans="19:21" ht="14.65" thickBot="1" x14ac:dyDescent="0.5">
      <c r="S470" s="37">
        <f t="shared" si="15"/>
        <v>359.18727388575962</v>
      </c>
      <c r="U470" s="26">
        <f t="shared" si="14"/>
        <v>-0.40260000000000001</v>
      </c>
    </row>
    <row r="471" spans="19:21" ht="14.65" thickBot="1" x14ac:dyDescent="0.5">
      <c r="S471" s="37">
        <f t="shared" si="15"/>
        <v>362.77914662461723</v>
      </c>
      <c r="U471" s="26">
        <f t="shared" si="14"/>
        <v>-0.40260000000000001</v>
      </c>
    </row>
    <row r="472" spans="19:21" ht="14.65" thickBot="1" x14ac:dyDescent="0.5">
      <c r="S472" s="37">
        <f t="shared" si="15"/>
        <v>366.40693809086338</v>
      </c>
      <c r="U472" s="26">
        <f t="shared" si="14"/>
        <v>-0.40260000000000001</v>
      </c>
    </row>
    <row r="473" spans="19:21" ht="14.65" thickBot="1" x14ac:dyDescent="0.5">
      <c r="S473" s="37">
        <f t="shared" si="15"/>
        <v>370.07100747177202</v>
      </c>
      <c r="U473" s="26">
        <f t="shared" si="14"/>
        <v>-0.40260000000000001</v>
      </c>
    </row>
    <row r="474" spans="19:21" ht="14.65" thickBot="1" x14ac:dyDescent="0.5">
      <c r="S474" s="37">
        <f t="shared" si="15"/>
        <v>373.77171754648975</v>
      </c>
      <c r="U474" s="26">
        <f t="shared" si="14"/>
        <v>-0.40260000000000001</v>
      </c>
    </row>
    <row r="475" spans="19:21" ht="14.65" thickBot="1" x14ac:dyDescent="0.5">
      <c r="S475" s="37">
        <f t="shared" si="15"/>
        <v>377.50943472195468</v>
      </c>
      <c r="U475" s="26">
        <f t="shared" si="14"/>
        <v>-0.40260000000000001</v>
      </c>
    </row>
    <row r="476" spans="19:21" ht="14.65" thickBot="1" x14ac:dyDescent="0.5">
      <c r="S476" s="37">
        <f t="shared" si="15"/>
        <v>381.2845290691742</v>
      </c>
      <c r="U476" s="26">
        <f t="shared" si="14"/>
        <v>-0.40260000000000001</v>
      </c>
    </row>
    <row r="477" spans="19:21" ht="14.65" thickBot="1" x14ac:dyDescent="0.5">
      <c r="S477" s="37">
        <f t="shared" si="15"/>
        <v>385.09737435986597</v>
      </c>
      <c r="U477" s="26">
        <f t="shared" si="14"/>
        <v>-0.40260000000000001</v>
      </c>
    </row>
    <row r="478" spans="19:21" ht="14.65" thickBot="1" x14ac:dyDescent="0.5">
      <c r="S478" s="37">
        <f t="shared" si="15"/>
        <v>388.94834810346464</v>
      </c>
      <c r="U478" s="26">
        <f t="shared" si="14"/>
        <v>-0.40260000000000001</v>
      </c>
    </row>
    <row r="479" spans="19:21" ht="14.65" thickBot="1" x14ac:dyDescent="0.5">
      <c r="S479" s="37">
        <f t="shared" si="15"/>
        <v>392.83783158449927</v>
      </c>
      <c r="U479" s="26">
        <f t="shared" si="14"/>
        <v>-0.40260000000000001</v>
      </c>
    </row>
    <row r="480" spans="19:21" ht="14.65" thickBot="1" x14ac:dyDescent="0.5">
      <c r="S480" s="37">
        <f t="shared" si="15"/>
        <v>396.76620990034428</v>
      </c>
      <c r="U480" s="26">
        <f t="shared" si="14"/>
        <v>-0.40260000000000001</v>
      </c>
    </row>
    <row r="481" spans="19:21" ht="14.65" thickBot="1" x14ac:dyDescent="0.5">
      <c r="S481" s="37">
        <f t="shared" si="15"/>
        <v>400.73387199934774</v>
      </c>
      <c r="U481" s="26">
        <f t="shared" si="14"/>
        <v>-0.40260000000000001</v>
      </c>
    </row>
    <row r="482" spans="19:21" ht="14.65" thickBot="1" x14ac:dyDescent="0.5">
      <c r="S482" s="37">
        <f t="shared" si="15"/>
        <v>404.74121071934121</v>
      </c>
      <c r="U482" s="26">
        <f t="shared" si="14"/>
        <v>-0.40260000000000001</v>
      </c>
    </row>
    <row r="483" spans="19:21" ht="14.65" thickBot="1" x14ac:dyDescent="0.5">
      <c r="S483" s="37">
        <f t="shared" si="15"/>
        <v>408.78862282653461</v>
      </c>
      <c r="U483" s="26">
        <f t="shared" si="14"/>
        <v>-0.40260000000000001</v>
      </c>
    </row>
    <row r="484" spans="19:21" ht="14.65" thickBot="1" x14ac:dyDescent="0.5">
      <c r="S484" s="37">
        <f t="shared" si="15"/>
        <v>412.87650905479995</v>
      </c>
      <c r="U484" s="26">
        <f t="shared" si="14"/>
        <v>-0.40260000000000001</v>
      </c>
    </row>
    <row r="485" spans="19:21" ht="14.65" thickBot="1" x14ac:dyDescent="0.5">
      <c r="S485" s="37">
        <f t="shared" si="15"/>
        <v>417.00527414534798</v>
      </c>
      <c r="U485" s="26">
        <f t="shared" si="14"/>
        <v>-0.40260000000000001</v>
      </c>
    </row>
    <row r="486" spans="19:21" ht="14.65" thickBot="1" x14ac:dyDescent="0.5">
      <c r="S486" s="37">
        <f t="shared" si="15"/>
        <v>421.17532688680149</v>
      </c>
      <c r="U486" s="26">
        <f t="shared" si="14"/>
        <v>-0.40260000000000001</v>
      </c>
    </row>
    <row r="487" spans="19:21" ht="14.65" thickBot="1" x14ac:dyDescent="0.5">
      <c r="S487" s="37">
        <f t="shared" si="15"/>
        <v>425.38708015566948</v>
      </c>
      <c r="U487" s="26">
        <f t="shared" si="14"/>
        <v>-0.40260000000000001</v>
      </c>
    </row>
    <row r="488" spans="19:21" ht="14.65" thickBot="1" x14ac:dyDescent="0.5">
      <c r="S488" s="37">
        <f t="shared" si="15"/>
        <v>429.64095095722615</v>
      </c>
      <c r="U488" s="26">
        <f t="shared" si="14"/>
        <v>-0.40260000000000001</v>
      </c>
    </row>
    <row r="489" spans="19:21" ht="14.65" thickBot="1" x14ac:dyDescent="0.5">
      <c r="S489" s="37">
        <f t="shared" si="15"/>
        <v>433.9373604667984</v>
      </c>
      <c r="U489" s="26">
        <f t="shared" si="14"/>
        <v>-0.40260000000000001</v>
      </c>
    </row>
    <row r="490" spans="19:21" ht="14.65" thickBot="1" x14ac:dyDescent="0.5">
      <c r="S490" s="37">
        <f t="shared" si="15"/>
        <v>438.27673407146636</v>
      </c>
      <c r="U490" s="26">
        <f t="shared" si="14"/>
        <v>-0.40260000000000001</v>
      </c>
    </row>
    <row r="491" spans="19:21" ht="14.65" thickBot="1" x14ac:dyDescent="0.5">
      <c r="S491" s="37">
        <f t="shared" si="15"/>
        <v>442.65950141218104</v>
      </c>
      <c r="U491" s="26">
        <f t="shared" si="14"/>
        <v>-0.40260000000000001</v>
      </c>
    </row>
    <row r="492" spans="19:21" ht="14.65" thickBot="1" x14ac:dyDescent="0.5">
      <c r="S492" s="37">
        <f t="shared" si="15"/>
        <v>447.08609642630284</v>
      </c>
      <c r="U492" s="26">
        <f t="shared" si="14"/>
        <v>-0.40260000000000001</v>
      </c>
    </row>
    <row r="493" spans="19:21" ht="14.65" thickBot="1" x14ac:dyDescent="0.5">
      <c r="S493" s="37">
        <f t="shared" si="15"/>
        <v>451.55695739056586</v>
      </c>
      <c r="U493" s="26">
        <f t="shared" si="14"/>
        <v>-0.40260000000000001</v>
      </c>
    </row>
    <row r="494" spans="19:21" ht="14.65" thickBot="1" x14ac:dyDescent="0.5">
      <c r="S494" s="37">
        <f t="shared" si="15"/>
        <v>456.07252696447154</v>
      </c>
      <c r="U494" s="26">
        <f t="shared" si="14"/>
        <v>-0.40260000000000001</v>
      </c>
    </row>
    <row r="495" spans="19:21" ht="14.65" thickBot="1" x14ac:dyDescent="0.5">
      <c r="S495" s="37">
        <f t="shared" si="15"/>
        <v>460.63325223411624</v>
      </c>
      <c r="U495" s="26">
        <f t="shared" si="14"/>
        <v>-0.40260000000000001</v>
      </c>
    </row>
    <row r="496" spans="19:21" ht="14.65" thickBot="1" x14ac:dyDescent="0.5">
      <c r="S496" s="37">
        <f t="shared" si="15"/>
        <v>465.23958475645742</v>
      </c>
      <c r="U496" s="26">
        <f t="shared" si="14"/>
        <v>-0.40260000000000001</v>
      </c>
    </row>
    <row r="497" spans="19:21" ht="14.65" thickBot="1" x14ac:dyDescent="0.5">
      <c r="S497" s="37">
        <f t="shared" si="15"/>
        <v>469.89198060402202</v>
      </c>
      <c r="U497" s="26">
        <f t="shared" si="14"/>
        <v>-0.40260000000000001</v>
      </c>
    </row>
    <row r="498" spans="19:21" ht="14.65" thickBot="1" x14ac:dyDescent="0.5">
      <c r="S498" s="37">
        <f t="shared" si="15"/>
        <v>474.59090041006226</v>
      </c>
      <c r="U498" s="26">
        <f t="shared" si="14"/>
        <v>-0.40260000000000001</v>
      </c>
    </row>
    <row r="499" spans="19:21" ht="14.65" thickBot="1" x14ac:dyDescent="0.5">
      <c r="S499" s="37">
        <f t="shared" si="15"/>
        <v>479.33680941416287</v>
      </c>
      <c r="U499" s="26">
        <f t="shared" si="14"/>
        <v>-0.40260000000000001</v>
      </c>
    </row>
    <row r="500" spans="19:21" ht="14.65" thickBot="1" x14ac:dyDescent="0.5">
      <c r="S500" s="37">
        <f t="shared" si="15"/>
        <v>484.13017750830448</v>
      </c>
      <c r="U500" s="26">
        <f t="shared" si="14"/>
        <v>-0.40260000000000001</v>
      </c>
    </row>
    <row r="501" spans="19:21" ht="14.65" thickBot="1" x14ac:dyDescent="0.5">
      <c r="S501" s="37">
        <f t="shared" si="15"/>
        <v>488.97147928338751</v>
      </c>
      <c r="U501" s="26">
        <f t="shared" si="14"/>
        <v>-0.40260000000000001</v>
      </c>
    </row>
    <row r="502" spans="19:21" ht="14.65" thickBot="1" x14ac:dyDescent="0.5">
      <c r="S502" s="37">
        <f t="shared" si="15"/>
        <v>493.86119407622141</v>
      </c>
      <c r="U502" s="26">
        <f t="shared" si="14"/>
        <v>-0.40260000000000001</v>
      </c>
    </row>
    <row r="503" spans="19:21" ht="14.65" thickBot="1" x14ac:dyDescent="0.5">
      <c r="S503" s="37">
        <f t="shared" si="15"/>
        <v>498.79980601698361</v>
      </c>
      <c r="U503" s="26">
        <f t="shared" si="14"/>
        <v>-0.40260000000000001</v>
      </c>
    </row>
    <row r="504" spans="19:21" ht="14.65" thickBot="1" x14ac:dyDescent="0.5">
      <c r="S504" s="37">
        <f t="shared" si="15"/>
        <v>503.78780407715345</v>
      </c>
      <c r="U504" s="26">
        <f t="shared" si="14"/>
        <v>-0.40260000000000001</v>
      </c>
    </row>
    <row r="505" spans="19:21" ht="14.65" thickBot="1" x14ac:dyDescent="0.5">
      <c r="S505" s="37">
        <f t="shared" si="15"/>
        <v>508.825682117925</v>
      </c>
      <c r="U505" s="26">
        <f t="shared" si="14"/>
        <v>-0.40260000000000001</v>
      </c>
    </row>
    <row r="506" spans="19:21" ht="14.65" thickBot="1" x14ac:dyDescent="0.5">
      <c r="S506" s="37">
        <f t="shared" si="15"/>
        <v>513.91393893910424</v>
      </c>
      <c r="U506" s="26">
        <f t="shared" si="14"/>
        <v>-0.40260000000000001</v>
      </c>
    </row>
    <row r="507" spans="19:21" ht="14.65" thickBot="1" x14ac:dyDescent="0.5">
      <c r="S507" s="37">
        <f t="shared" si="15"/>
        <v>519.0530783284953</v>
      </c>
      <c r="U507" s="26">
        <f t="shared" si="14"/>
        <v>-0.40260000000000001</v>
      </c>
    </row>
    <row r="508" spans="19:21" ht="14.65" thickBot="1" x14ac:dyDescent="0.5">
      <c r="S508" s="37">
        <f t="shared" si="15"/>
        <v>524.2436091117803</v>
      </c>
      <c r="U508" s="26">
        <f t="shared" si="14"/>
        <v>-0.40260000000000001</v>
      </c>
    </row>
    <row r="509" spans="19:21" ht="14.65" thickBot="1" x14ac:dyDescent="0.5">
      <c r="S509" s="37">
        <f t="shared" si="15"/>
        <v>529.48604520289814</v>
      </c>
      <c r="U509" s="26">
        <f t="shared" si="14"/>
        <v>-0.40260000000000001</v>
      </c>
    </row>
    <row r="510" spans="19:21" ht="14.65" thickBot="1" x14ac:dyDescent="0.5">
      <c r="S510" s="37">
        <f t="shared" si="15"/>
        <v>534.7809056549271</v>
      </c>
      <c r="U510" s="26">
        <f t="shared" si="14"/>
        <v>-0.40260000000000001</v>
      </c>
    </row>
    <row r="511" spans="19:21" ht="14.65" thickBot="1" x14ac:dyDescent="0.5">
      <c r="S511" s="37">
        <f t="shared" si="15"/>
        <v>540.12871471147639</v>
      </c>
      <c r="U511" s="26">
        <f t="shared" si="14"/>
        <v>-0.40260000000000001</v>
      </c>
    </row>
    <row r="512" spans="19:21" ht="14.65" thickBot="1" x14ac:dyDescent="0.5">
      <c r="S512" s="37">
        <f t="shared" si="15"/>
        <v>545.53000185859116</v>
      </c>
      <c r="U512" s="26">
        <f t="shared" si="14"/>
        <v>-0.40260000000000001</v>
      </c>
    </row>
    <row r="513" spans="19:21" ht="14.65" thickBot="1" x14ac:dyDescent="0.5">
      <c r="S513" s="37">
        <f t="shared" si="15"/>
        <v>550.98530187717711</v>
      </c>
      <c r="U513" s="26">
        <f t="shared" si="14"/>
        <v>-0.40260000000000001</v>
      </c>
    </row>
    <row r="514" spans="19:21" ht="14.65" thickBot="1" x14ac:dyDescent="0.5">
      <c r="S514" s="37">
        <f t="shared" si="15"/>
        <v>556.49515489594887</v>
      </c>
      <c r="U514" s="26">
        <f t="shared" si="14"/>
        <v>-0.40260000000000001</v>
      </c>
    </row>
    <row r="515" spans="19:21" ht="14.65" thickBot="1" x14ac:dyDescent="0.5">
      <c r="S515" s="37">
        <f t="shared" si="15"/>
        <v>562.06010644490834</v>
      </c>
      <c r="U515" s="26">
        <f t="shared" si="14"/>
        <v>-0.40260000000000001</v>
      </c>
    </row>
    <row r="516" spans="19:21" ht="14.65" thickBot="1" x14ac:dyDescent="0.5">
      <c r="S516" s="37">
        <f t="shared" si="15"/>
        <v>567.68070750935738</v>
      </c>
      <c r="U516" s="26">
        <f t="shared" si="14"/>
        <v>-0.40260000000000001</v>
      </c>
    </row>
    <row r="517" spans="19:21" ht="14.65" thickBot="1" x14ac:dyDescent="0.5">
      <c r="S517" s="37">
        <f t="shared" si="15"/>
        <v>573.357514584451</v>
      </c>
      <c r="U517" s="26">
        <f t="shared" si="14"/>
        <v>-0.40260000000000001</v>
      </c>
    </row>
    <row r="518" spans="19:21" ht="14.65" thickBot="1" x14ac:dyDescent="0.5">
      <c r="S518" s="37">
        <f t="shared" si="15"/>
        <v>579.09108973029549</v>
      </c>
      <c r="U518" s="26">
        <f t="shared" si="14"/>
        <v>-0.40260000000000001</v>
      </c>
    </row>
    <row r="519" spans="19:21" ht="14.65" thickBot="1" x14ac:dyDescent="0.5">
      <c r="S519" s="37">
        <f t="shared" si="15"/>
        <v>584.88200062759847</v>
      </c>
      <c r="U519" s="26">
        <f t="shared" si="14"/>
        <v>-0.40260000000000001</v>
      </c>
    </row>
    <row r="520" spans="19:21" ht="14.65" thickBot="1" x14ac:dyDescent="0.5">
      <c r="S520" s="37">
        <f t="shared" si="15"/>
        <v>590.73082063387449</v>
      </c>
      <c r="U520" s="26">
        <f t="shared" si="14"/>
        <v>-0.40260000000000001</v>
      </c>
    </row>
    <row r="521" spans="19:21" ht="14.65" thickBot="1" x14ac:dyDescent="0.5">
      <c r="S521" s="37">
        <f t="shared" si="15"/>
        <v>596.6381288402132</v>
      </c>
      <c r="U521" s="26">
        <f t="shared" si="14"/>
        <v>-0.40260000000000001</v>
      </c>
    </row>
    <row r="522" spans="19:21" ht="14.65" thickBot="1" x14ac:dyDescent="0.5">
      <c r="S522" s="37">
        <f t="shared" si="15"/>
        <v>602.60451012861529</v>
      </c>
      <c r="U522" s="26">
        <f t="shared" si="14"/>
        <v>-0.40260000000000001</v>
      </c>
    </row>
    <row r="523" spans="19:21" ht="14.65" thickBot="1" x14ac:dyDescent="0.5">
      <c r="S523" s="37">
        <f t="shared" si="15"/>
        <v>608.63055522990146</v>
      </c>
      <c r="U523" s="26">
        <f t="shared" si="14"/>
        <v>-0.40260000000000001</v>
      </c>
    </row>
    <row r="524" spans="19:21" ht="14.65" thickBot="1" x14ac:dyDescent="0.5">
      <c r="S524" s="37">
        <f t="shared" si="15"/>
        <v>614.71686078220046</v>
      </c>
      <c r="U524" s="26">
        <f t="shared" si="14"/>
        <v>-0.40260000000000001</v>
      </c>
    </row>
    <row r="525" spans="19:21" ht="14.65" thickBot="1" x14ac:dyDescent="0.5">
      <c r="S525" s="37">
        <f t="shared" si="15"/>
        <v>620.86402939002244</v>
      </c>
      <c r="U525" s="26">
        <f t="shared" si="14"/>
        <v>-0.40260000000000001</v>
      </c>
    </row>
    <row r="526" spans="19:21" ht="14.65" thickBot="1" x14ac:dyDescent="0.5">
      <c r="S526" s="37">
        <f t="shared" si="15"/>
        <v>627.07266968392264</v>
      </c>
      <c r="U526" s="26">
        <f t="shared" si="14"/>
        <v>-0.40260000000000001</v>
      </c>
    </row>
    <row r="527" spans="19:21" ht="14.65" thickBot="1" x14ac:dyDescent="0.5">
      <c r="S527" s="37">
        <f t="shared" si="15"/>
        <v>633.34339638076187</v>
      </c>
      <c r="U527" s="26">
        <f t="shared" si="14"/>
        <v>-0.40260000000000001</v>
      </c>
    </row>
    <row r="528" spans="19:21" ht="14.65" thickBot="1" x14ac:dyDescent="0.5">
      <c r="S528" s="37">
        <f t="shared" si="15"/>
        <v>639.67683034456945</v>
      </c>
      <c r="U528" s="26">
        <f t="shared" si="14"/>
        <v>-0.40260000000000001</v>
      </c>
    </row>
    <row r="529" spans="19:21" ht="14.65" thickBot="1" x14ac:dyDescent="0.5">
      <c r="S529" s="37">
        <f t="shared" si="15"/>
        <v>646.07359864801515</v>
      </c>
      <c r="U529" s="26">
        <f t="shared" si="14"/>
        <v>-0.40260000000000001</v>
      </c>
    </row>
    <row r="530" spans="19:21" ht="14.65" thickBot="1" x14ac:dyDescent="0.5">
      <c r="S530" s="37">
        <f t="shared" si="15"/>
        <v>652.53433463449528</v>
      </c>
      <c r="U530" s="26">
        <f t="shared" si="14"/>
        <v>-0.40260000000000001</v>
      </c>
    </row>
    <row r="531" spans="19:21" ht="14.65" thickBot="1" x14ac:dyDescent="0.5">
      <c r="S531" s="37">
        <f t="shared" si="15"/>
        <v>659.05967798084021</v>
      </c>
      <c r="U531" s="26">
        <f t="shared" ref="U531:U594" si="16">IF(S531&gt;$D$7,-$D$9+$D$10,MIN($D$7-S531-$D$9+$D$10,($D$7-$D$8)-$D$9+$D$10))</f>
        <v>-0.40260000000000001</v>
      </c>
    </row>
    <row r="532" spans="19:21" ht="14.65" thickBot="1" x14ac:dyDescent="0.5">
      <c r="S532" s="37">
        <f t="shared" ref="S532:S595" si="17">S531*(1.01)</f>
        <v>665.65027476064859</v>
      </c>
      <c r="U532" s="26">
        <f t="shared" si="16"/>
        <v>-0.40260000000000001</v>
      </c>
    </row>
    <row r="533" spans="19:21" ht="14.65" thickBot="1" x14ac:dyDescent="0.5">
      <c r="S533" s="37">
        <f t="shared" si="17"/>
        <v>672.3067775082551</v>
      </c>
      <c r="U533" s="26">
        <f t="shared" si="16"/>
        <v>-0.40260000000000001</v>
      </c>
    </row>
    <row r="534" spans="19:21" ht="14.65" thickBot="1" x14ac:dyDescent="0.5">
      <c r="S534" s="37">
        <f t="shared" si="17"/>
        <v>679.02984528333764</v>
      </c>
      <c r="U534" s="26">
        <f t="shared" si="16"/>
        <v>-0.40260000000000001</v>
      </c>
    </row>
    <row r="535" spans="19:21" ht="14.65" thickBot="1" x14ac:dyDescent="0.5">
      <c r="S535" s="37">
        <f t="shared" si="17"/>
        <v>685.82014373617096</v>
      </c>
      <c r="U535" s="26">
        <f t="shared" si="16"/>
        <v>-0.40260000000000001</v>
      </c>
    </row>
    <row r="536" spans="19:21" ht="14.65" thickBot="1" x14ac:dyDescent="0.5">
      <c r="S536" s="37">
        <f t="shared" si="17"/>
        <v>692.67834517353265</v>
      </c>
      <c r="U536" s="26">
        <f t="shared" si="16"/>
        <v>-0.40260000000000001</v>
      </c>
    </row>
    <row r="537" spans="19:21" ht="14.65" thickBot="1" x14ac:dyDescent="0.5">
      <c r="S537" s="37">
        <f t="shared" si="17"/>
        <v>699.60512862526798</v>
      </c>
      <c r="U537" s="26">
        <f t="shared" si="16"/>
        <v>-0.40260000000000001</v>
      </c>
    </row>
    <row r="538" spans="19:21" ht="14.65" thickBot="1" x14ac:dyDescent="0.5">
      <c r="S538" s="37">
        <f t="shared" si="17"/>
        <v>706.60117991152072</v>
      </c>
      <c r="U538" s="26">
        <f t="shared" si="16"/>
        <v>-0.40260000000000001</v>
      </c>
    </row>
    <row r="539" spans="19:21" ht="14.65" thickBot="1" x14ac:dyDescent="0.5">
      <c r="S539" s="37">
        <f t="shared" si="17"/>
        <v>713.66719171063596</v>
      </c>
      <c r="U539" s="26">
        <f t="shared" si="16"/>
        <v>-0.40260000000000001</v>
      </c>
    </row>
    <row r="540" spans="19:21" ht="14.65" thickBot="1" x14ac:dyDescent="0.5">
      <c r="S540" s="37">
        <f t="shared" si="17"/>
        <v>720.80386362774232</v>
      </c>
      <c r="U540" s="26">
        <f t="shared" si="16"/>
        <v>-0.40260000000000001</v>
      </c>
    </row>
    <row r="541" spans="19:21" ht="14.65" thickBot="1" x14ac:dyDescent="0.5">
      <c r="S541" s="37">
        <f t="shared" si="17"/>
        <v>728.0119022640198</v>
      </c>
      <c r="U541" s="26">
        <f t="shared" si="16"/>
        <v>-0.40260000000000001</v>
      </c>
    </row>
    <row r="542" spans="19:21" ht="14.65" thickBot="1" x14ac:dyDescent="0.5">
      <c r="S542" s="37">
        <f t="shared" si="17"/>
        <v>735.29202128665997</v>
      </c>
      <c r="U542" s="26">
        <f t="shared" si="16"/>
        <v>-0.40260000000000001</v>
      </c>
    </row>
    <row r="543" spans="19:21" ht="14.65" thickBot="1" x14ac:dyDescent="0.5">
      <c r="S543" s="37">
        <f t="shared" si="17"/>
        <v>742.64494149952657</v>
      </c>
      <c r="U543" s="26">
        <f t="shared" si="16"/>
        <v>-0.40260000000000001</v>
      </c>
    </row>
    <row r="544" spans="19:21" ht="14.65" thickBot="1" x14ac:dyDescent="0.5">
      <c r="S544" s="37">
        <f t="shared" si="17"/>
        <v>750.07139091452188</v>
      </c>
      <c r="U544" s="26">
        <f t="shared" si="16"/>
        <v>-0.40260000000000001</v>
      </c>
    </row>
    <row r="545" spans="19:21" ht="14.65" thickBot="1" x14ac:dyDescent="0.5">
      <c r="S545" s="37">
        <f t="shared" si="17"/>
        <v>757.57210482366713</v>
      </c>
      <c r="U545" s="26">
        <f t="shared" si="16"/>
        <v>-0.40260000000000001</v>
      </c>
    </row>
    <row r="546" spans="19:21" ht="14.65" thickBot="1" x14ac:dyDescent="0.5">
      <c r="S546" s="37">
        <f t="shared" si="17"/>
        <v>765.14782587190382</v>
      </c>
      <c r="U546" s="26">
        <f t="shared" si="16"/>
        <v>-0.40260000000000001</v>
      </c>
    </row>
    <row r="547" spans="19:21" ht="14.65" thickBot="1" x14ac:dyDescent="0.5">
      <c r="S547" s="37">
        <f t="shared" si="17"/>
        <v>772.79930413062289</v>
      </c>
      <c r="U547" s="26">
        <f t="shared" si="16"/>
        <v>-0.40260000000000001</v>
      </c>
    </row>
    <row r="548" spans="19:21" ht="14.65" thickBot="1" x14ac:dyDescent="0.5">
      <c r="S548" s="37">
        <f t="shared" si="17"/>
        <v>780.52729717192915</v>
      </c>
      <c r="U548" s="26">
        <f t="shared" si="16"/>
        <v>-0.40260000000000001</v>
      </c>
    </row>
    <row r="549" spans="19:21" ht="14.65" thickBot="1" x14ac:dyDescent="0.5">
      <c r="S549" s="37">
        <f t="shared" si="17"/>
        <v>788.33257014364847</v>
      </c>
      <c r="U549" s="26">
        <f t="shared" si="16"/>
        <v>-0.40260000000000001</v>
      </c>
    </row>
    <row r="550" spans="19:21" ht="14.65" thickBot="1" x14ac:dyDescent="0.5">
      <c r="S550" s="37">
        <f t="shared" si="17"/>
        <v>796.21589584508502</v>
      </c>
      <c r="U550" s="26">
        <f t="shared" si="16"/>
        <v>-0.40260000000000001</v>
      </c>
    </row>
    <row r="551" spans="19:21" ht="14.65" thickBot="1" x14ac:dyDescent="0.5">
      <c r="S551" s="37">
        <f t="shared" si="17"/>
        <v>804.17805480353593</v>
      </c>
      <c r="U551" s="26">
        <f t="shared" si="16"/>
        <v>-0.40260000000000001</v>
      </c>
    </row>
    <row r="552" spans="19:21" ht="14.65" thickBot="1" x14ac:dyDescent="0.5">
      <c r="S552" s="37">
        <f t="shared" si="17"/>
        <v>812.21983535157131</v>
      </c>
      <c r="U552" s="26">
        <f t="shared" si="16"/>
        <v>-0.40260000000000001</v>
      </c>
    </row>
    <row r="553" spans="19:21" ht="14.65" thickBot="1" x14ac:dyDescent="0.5">
      <c r="S553" s="37">
        <f t="shared" si="17"/>
        <v>820.34203370508703</v>
      </c>
      <c r="U553" s="26">
        <f t="shared" si="16"/>
        <v>-0.40260000000000001</v>
      </c>
    </row>
    <row r="554" spans="19:21" ht="14.65" thickBot="1" x14ac:dyDescent="0.5">
      <c r="S554" s="37">
        <f t="shared" si="17"/>
        <v>828.54545404213786</v>
      </c>
      <c r="U554" s="26">
        <f t="shared" si="16"/>
        <v>-0.40260000000000001</v>
      </c>
    </row>
    <row r="555" spans="19:21" ht="14.65" thickBot="1" x14ac:dyDescent="0.5">
      <c r="S555" s="37">
        <f t="shared" si="17"/>
        <v>836.83090858255923</v>
      </c>
      <c r="U555" s="26">
        <f t="shared" si="16"/>
        <v>-0.40260000000000001</v>
      </c>
    </row>
    <row r="556" spans="19:21" ht="14.65" thickBot="1" x14ac:dyDescent="0.5">
      <c r="S556" s="37">
        <f t="shared" si="17"/>
        <v>845.19921766838479</v>
      </c>
      <c r="U556" s="26">
        <f t="shared" si="16"/>
        <v>-0.40260000000000001</v>
      </c>
    </row>
    <row r="557" spans="19:21" ht="14.65" thickBot="1" x14ac:dyDescent="0.5">
      <c r="S557" s="37">
        <f t="shared" si="17"/>
        <v>853.65120984506859</v>
      </c>
      <c r="U557" s="26">
        <f t="shared" si="16"/>
        <v>-0.40260000000000001</v>
      </c>
    </row>
    <row r="558" spans="19:21" ht="14.65" thickBot="1" x14ac:dyDescent="0.5">
      <c r="S558" s="37">
        <f t="shared" si="17"/>
        <v>862.18772194351925</v>
      </c>
      <c r="U558" s="26">
        <f t="shared" si="16"/>
        <v>-0.40260000000000001</v>
      </c>
    </row>
    <row r="559" spans="19:21" ht="14.65" thickBot="1" x14ac:dyDescent="0.5">
      <c r="S559" s="37">
        <f t="shared" si="17"/>
        <v>870.80959916295444</v>
      </c>
      <c r="U559" s="26">
        <f t="shared" si="16"/>
        <v>-0.40260000000000001</v>
      </c>
    </row>
    <row r="560" spans="19:21" ht="14.65" thickBot="1" x14ac:dyDescent="0.5">
      <c r="S560" s="37">
        <f t="shared" si="17"/>
        <v>879.51769515458398</v>
      </c>
      <c r="U560" s="26">
        <f t="shared" si="16"/>
        <v>-0.40260000000000001</v>
      </c>
    </row>
    <row r="561" spans="19:21" ht="14.65" thickBot="1" x14ac:dyDescent="0.5">
      <c r="S561" s="37">
        <f t="shared" si="17"/>
        <v>888.31287210612982</v>
      </c>
      <c r="U561" s="26">
        <f t="shared" si="16"/>
        <v>-0.40260000000000001</v>
      </c>
    </row>
    <row r="562" spans="19:21" ht="14.65" thickBot="1" x14ac:dyDescent="0.5">
      <c r="S562" s="37">
        <f t="shared" si="17"/>
        <v>897.19600082719114</v>
      </c>
      <c r="U562" s="26">
        <f t="shared" si="16"/>
        <v>-0.40260000000000001</v>
      </c>
    </row>
    <row r="563" spans="19:21" ht="14.65" thickBot="1" x14ac:dyDescent="0.5">
      <c r="S563" s="37">
        <f t="shared" si="17"/>
        <v>906.16796083546308</v>
      </c>
      <c r="U563" s="26">
        <f t="shared" si="16"/>
        <v>-0.40260000000000001</v>
      </c>
    </row>
    <row r="564" spans="19:21" ht="14.65" thickBot="1" x14ac:dyDescent="0.5">
      <c r="S564" s="37">
        <f t="shared" si="17"/>
        <v>915.22964044381774</v>
      </c>
      <c r="U564" s="26">
        <f t="shared" si="16"/>
        <v>-0.40260000000000001</v>
      </c>
    </row>
    <row r="565" spans="19:21" ht="14.65" thickBot="1" x14ac:dyDescent="0.5">
      <c r="S565" s="37">
        <f t="shared" si="17"/>
        <v>924.38193684825592</v>
      </c>
      <c r="U565" s="26">
        <f t="shared" si="16"/>
        <v>-0.40260000000000001</v>
      </c>
    </row>
    <row r="566" spans="19:21" ht="14.65" thickBot="1" x14ac:dyDescent="0.5">
      <c r="S566" s="37">
        <f t="shared" si="17"/>
        <v>933.62575621673852</v>
      </c>
      <c r="U566" s="26">
        <f t="shared" si="16"/>
        <v>-0.40260000000000001</v>
      </c>
    </row>
    <row r="567" spans="19:21" ht="14.65" thickBot="1" x14ac:dyDescent="0.5">
      <c r="S567" s="37">
        <f t="shared" si="17"/>
        <v>942.96201377890588</v>
      </c>
      <c r="U567" s="26">
        <f t="shared" si="16"/>
        <v>-0.40260000000000001</v>
      </c>
    </row>
    <row r="568" spans="19:21" ht="14.65" thickBot="1" x14ac:dyDescent="0.5">
      <c r="S568" s="37">
        <f t="shared" si="17"/>
        <v>952.3916339166949</v>
      </c>
      <c r="U568" s="26">
        <f t="shared" si="16"/>
        <v>-0.40260000000000001</v>
      </c>
    </row>
    <row r="569" spans="19:21" ht="14.65" thickBot="1" x14ac:dyDescent="0.5">
      <c r="S569" s="37">
        <f t="shared" si="17"/>
        <v>961.91555025586183</v>
      </c>
      <c r="U569" s="26">
        <f t="shared" si="16"/>
        <v>-0.40260000000000001</v>
      </c>
    </row>
    <row r="570" spans="19:21" ht="14.65" thickBot="1" x14ac:dyDescent="0.5">
      <c r="S570" s="37">
        <f t="shared" si="17"/>
        <v>971.5347057584205</v>
      </c>
      <c r="U570" s="26">
        <f t="shared" si="16"/>
        <v>-0.40260000000000001</v>
      </c>
    </row>
    <row r="571" spans="19:21" ht="14.65" thickBot="1" x14ac:dyDescent="0.5">
      <c r="S571" s="37">
        <f t="shared" si="17"/>
        <v>981.25005281600477</v>
      </c>
      <c r="U571" s="26">
        <f t="shared" si="16"/>
        <v>-0.40260000000000001</v>
      </c>
    </row>
    <row r="572" spans="19:21" ht="14.65" thickBot="1" x14ac:dyDescent="0.5">
      <c r="S572" s="37">
        <f t="shared" si="17"/>
        <v>991.06255334416483</v>
      </c>
      <c r="U572" s="26">
        <f t="shared" si="16"/>
        <v>-0.40260000000000001</v>
      </c>
    </row>
    <row r="573" spans="19:21" ht="14.65" thickBot="1" x14ac:dyDescent="0.5">
      <c r="S573" s="37">
        <f t="shared" si="17"/>
        <v>1000.9731788776065</v>
      </c>
      <c r="U573" s="26">
        <f t="shared" si="16"/>
        <v>-0.40260000000000001</v>
      </c>
    </row>
    <row r="574" spans="19:21" ht="14.65" thickBot="1" x14ac:dyDescent="0.5">
      <c r="S574" s="37">
        <f t="shared" si="17"/>
        <v>1010.9829106663826</v>
      </c>
      <c r="U574" s="26">
        <f t="shared" si="16"/>
        <v>-0.40260000000000001</v>
      </c>
    </row>
    <row r="575" spans="19:21" ht="14.65" thickBot="1" x14ac:dyDescent="0.5">
      <c r="S575" s="37">
        <f t="shared" si="17"/>
        <v>1021.0927397730464</v>
      </c>
      <c r="U575" s="26">
        <f t="shared" si="16"/>
        <v>-0.40260000000000001</v>
      </c>
    </row>
    <row r="576" spans="19:21" ht="14.65" thickBot="1" x14ac:dyDescent="0.5">
      <c r="S576" s="37">
        <f t="shared" si="17"/>
        <v>1031.3036671707769</v>
      </c>
      <c r="U576" s="26">
        <f t="shared" si="16"/>
        <v>-0.40260000000000001</v>
      </c>
    </row>
    <row r="577" spans="19:21" ht="14.65" thickBot="1" x14ac:dyDescent="0.5">
      <c r="S577" s="37">
        <f t="shared" si="17"/>
        <v>1041.6167038424846</v>
      </c>
      <c r="U577" s="26">
        <f t="shared" si="16"/>
        <v>-0.40260000000000001</v>
      </c>
    </row>
    <row r="578" spans="19:21" ht="14.65" thickBot="1" x14ac:dyDescent="0.5">
      <c r="S578" s="37">
        <f t="shared" si="17"/>
        <v>1052.0328708809095</v>
      </c>
      <c r="U578" s="26">
        <f t="shared" si="16"/>
        <v>-0.40260000000000001</v>
      </c>
    </row>
    <row r="579" spans="19:21" ht="14.65" thickBot="1" x14ac:dyDescent="0.5">
      <c r="S579" s="37">
        <f t="shared" si="17"/>
        <v>1062.5531995897186</v>
      </c>
      <c r="U579" s="26">
        <f t="shared" si="16"/>
        <v>-0.40260000000000001</v>
      </c>
    </row>
    <row r="580" spans="19:21" ht="14.65" thickBot="1" x14ac:dyDescent="0.5">
      <c r="S580" s="37">
        <f t="shared" si="17"/>
        <v>1073.1787315856159</v>
      </c>
      <c r="U580" s="26">
        <f t="shared" si="16"/>
        <v>-0.40260000000000001</v>
      </c>
    </row>
    <row r="581" spans="19:21" ht="14.65" thickBot="1" x14ac:dyDescent="0.5">
      <c r="S581" s="37">
        <f t="shared" si="17"/>
        <v>1083.910518901472</v>
      </c>
      <c r="U581" s="26">
        <f t="shared" si="16"/>
        <v>-0.40260000000000001</v>
      </c>
    </row>
    <row r="582" spans="19:21" ht="14.65" thickBot="1" x14ac:dyDescent="0.5">
      <c r="S582" s="37">
        <f t="shared" si="17"/>
        <v>1094.7496240904866</v>
      </c>
      <c r="U582" s="26">
        <f t="shared" si="16"/>
        <v>-0.40260000000000001</v>
      </c>
    </row>
    <row r="583" spans="19:21" ht="14.65" thickBot="1" x14ac:dyDescent="0.5">
      <c r="S583" s="37">
        <f t="shared" si="17"/>
        <v>1105.6971203313915</v>
      </c>
      <c r="U583" s="26">
        <f t="shared" si="16"/>
        <v>-0.40260000000000001</v>
      </c>
    </row>
    <row r="584" spans="19:21" ht="14.65" thickBot="1" x14ac:dyDescent="0.5">
      <c r="S584" s="37">
        <f t="shared" si="17"/>
        <v>1116.7540915347054</v>
      </c>
      <c r="U584" s="26">
        <f t="shared" si="16"/>
        <v>-0.40260000000000001</v>
      </c>
    </row>
    <row r="585" spans="19:21" ht="14.65" thickBot="1" x14ac:dyDescent="0.5">
      <c r="S585" s="37">
        <f t="shared" si="17"/>
        <v>1127.9216324500524</v>
      </c>
      <c r="U585" s="26">
        <f t="shared" si="16"/>
        <v>-0.40260000000000001</v>
      </c>
    </row>
    <row r="586" spans="19:21" ht="14.65" thickBot="1" x14ac:dyDescent="0.5">
      <c r="S586" s="37">
        <f t="shared" si="17"/>
        <v>1139.2008487745529</v>
      </c>
      <c r="U586" s="26">
        <f t="shared" si="16"/>
        <v>-0.40260000000000001</v>
      </c>
    </row>
    <row r="587" spans="19:21" ht="14.65" thickBot="1" x14ac:dyDescent="0.5">
      <c r="S587" s="37">
        <f t="shared" si="17"/>
        <v>1150.5928572622984</v>
      </c>
      <c r="U587" s="26">
        <f t="shared" si="16"/>
        <v>-0.40260000000000001</v>
      </c>
    </row>
    <row r="588" spans="19:21" ht="14.65" thickBot="1" x14ac:dyDescent="0.5">
      <c r="S588" s="37">
        <f t="shared" si="17"/>
        <v>1162.0987858349213</v>
      </c>
      <c r="U588" s="26">
        <f t="shared" si="16"/>
        <v>-0.40260000000000001</v>
      </c>
    </row>
    <row r="589" spans="19:21" ht="14.65" thickBot="1" x14ac:dyDescent="0.5">
      <c r="S589" s="37">
        <f t="shared" si="17"/>
        <v>1173.7197736932706</v>
      </c>
      <c r="U589" s="26">
        <f t="shared" si="16"/>
        <v>-0.40260000000000001</v>
      </c>
    </row>
    <row r="590" spans="19:21" ht="14.65" thickBot="1" x14ac:dyDescent="0.5">
      <c r="S590" s="37">
        <f t="shared" si="17"/>
        <v>1185.4569714302033</v>
      </c>
      <c r="U590" s="26">
        <f t="shared" si="16"/>
        <v>-0.40260000000000001</v>
      </c>
    </row>
    <row r="591" spans="19:21" ht="14.65" thickBot="1" x14ac:dyDescent="0.5">
      <c r="S591" s="37">
        <f t="shared" si="17"/>
        <v>1197.3115411445053</v>
      </c>
      <c r="U591" s="26">
        <f t="shared" si="16"/>
        <v>-0.40260000000000001</v>
      </c>
    </row>
    <row r="592" spans="19:21" ht="14.65" thickBot="1" x14ac:dyDescent="0.5">
      <c r="S592" s="37">
        <f t="shared" si="17"/>
        <v>1209.2846565559503</v>
      </c>
      <c r="U592" s="26">
        <f t="shared" si="16"/>
        <v>-0.40260000000000001</v>
      </c>
    </row>
    <row r="593" spans="19:21" ht="14.65" thickBot="1" x14ac:dyDescent="0.5">
      <c r="S593" s="37">
        <f t="shared" si="17"/>
        <v>1221.3775031215098</v>
      </c>
      <c r="U593" s="26">
        <f t="shared" si="16"/>
        <v>-0.40260000000000001</v>
      </c>
    </row>
    <row r="594" spans="19:21" ht="14.65" thickBot="1" x14ac:dyDescent="0.5">
      <c r="S594" s="37">
        <f t="shared" si="17"/>
        <v>1233.591278152725</v>
      </c>
      <c r="U594" s="26">
        <f t="shared" si="16"/>
        <v>-0.40260000000000001</v>
      </c>
    </row>
    <row r="595" spans="19:21" ht="14.65" thickBot="1" x14ac:dyDescent="0.5">
      <c r="S595" s="37">
        <f t="shared" si="17"/>
        <v>1245.9271909342522</v>
      </c>
      <c r="U595" s="26">
        <f t="shared" ref="U595:U658" si="18">IF(S595&gt;$D$7,-$D$9+$D$10,MIN($D$7-S595-$D$9+$D$10,($D$7-$D$8)-$D$9+$D$10))</f>
        <v>-0.40260000000000001</v>
      </c>
    </row>
    <row r="596" spans="19:21" ht="14.65" thickBot="1" x14ac:dyDescent="0.5">
      <c r="S596" s="37">
        <f t="shared" ref="S596:S659" si="19">S595*(1.01)</f>
        <v>1258.3864628435947</v>
      </c>
      <c r="U596" s="26">
        <f t="shared" si="18"/>
        <v>-0.40260000000000001</v>
      </c>
    </row>
    <row r="597" spans="19:21" ht="14.65" thickBot="1" x14ac:dyDescent="0.5">
      <c r="S597" s="37">
        <f t="shared" si="19"/>
        <v>1270.9703274720307</v>
      </c>
      <c r="U597" s="26">
        <f t="shared" si="18"/>
        <v>-0.40260000000000001</v>
      </c>
    </row>
    <row r="598" spans="19:21" ht="14.65" thickBot="1" x14ac:dyDescent="0.5">
      <c r="S598" s="37">
        <f t="shared" si="19"/>
        <v>1283.6800307467511</v>
      </c>
      <c r="U598" s="26">
        <f t="shared" si="18"/>
        <v>-0.40260000000000001</v>
      </c>
    </row>
    <row r="599" spans="19:21" ht="14.65" thickBot="1" x14ac:dyDescent="0.5">
      <c r="S599" s="37">
        <f t="shared" si="19"/>
        <v>1296.5168310542185</v>
      </c>
      <c r="U599" s="26">
        <f t="shared" si="18"/>
        <v>-0.40260000000000001</v>
      </c>
    </row>
    <row r="600" spans="19:21" ht="14.65" thickBot="1" x14ac:dyDescent="0.5">
      <c r="S600" s="37">
        <f t="shared" si="19"/>
        <v>1309.4819993647607</v>
      </c>
      <c r="U600" s="26">
        <f t="shared" si="18"/>
        <v>-0.40260000000000001</v>
      </c>
    </row>
    <row r="601" spans="19:21" ht="14.65" thickBot="1" x14ac:dyDescent="0.5">
      <c r="S601" s="37">
        <f t="shared" si="19"/>
        <v>1322.5768193584083</v>
      </c>
      <c r="U601" s="26">
        <f t="shared" si="18"/>
        <v>-0.40260000000000001</v>
      </c>
    </row>
    <row r="602" spans="19:21" ht="14.65" thickBot="1" x14ac:dyDescent="0.5">
      <c r="S602" s="37">
        <f t="shared" si="19"/>
        <v>1335.8025875519925</v>
      </c>
      <c r="U602" s="26">
        <f t="shared" si="18"/>
        <v>-0.40260000000000001</v>
      </c>
    </row>
    <row r="603" spans="19:21" ht="14.65" thickBot="1" x14ac:dyDescent="0.5">
      <c r="S603" s="37">
        <f t="shared" si="19"/>
        <v>1349.1606134275123</v>
      </c>
      <c r="U603" s="26">
        <f t="shared" si="18"/>
        <v>-0.40260000000000001</v>
      </c>
    </row>
    <row r="604" spans="19:21" ht="14.65" thickBot="1" x14ac:dyDescent="0.5">
      <c r="S604" s="37">
        <f t="shared" si="19"/>
        <v>1362.6522195617874</v>
      </c>
      <c r="U604" s="26">
        <f t="shared" si="18"/>
        <v>-0.40260000000000001</v>
      </c>
    </row>
    <row r="605" spans="19:21" ht="14.65" thickBot="1" x14ac:dyDescent="0.5">
      <c r="S605" s="37">
        <f t="shared" si="19"/>
        <v>1376.2787417574052</v>
      </c>
      <c r="U605" s="26">
        <f t="shared" si="18"/>
        <v>-0.40260000000000001</v>
      </c>
    </row>
    <row r="606" spans="19:21" ht="14.65" thickBot="1" x14ac:dyDescent="0.5">
      <c r="S606" s="37">
        <f t="shared" si="19"/>
        <v>1390.0415291749794</v>
      </c>
      <c r="U606" s="26">
        <f t="shared" si="18"/>
        <v>-0.40260000000000001</v>
      </c>
    </row>
    <row r="607" spans="19:21" ht="14.65" thickBot="1" x14ac:dyDescent="0.5">
      <c r="S607" s="37">
        <f t="shared" si="19"/>
        <v>1403.9419444667292</v>
      </c>
      <c r="U607" s="26">
        <f t="shared" si="18"/>
        <v>-0.40260000000000001</v>
      </c>
    </row>
    <row r="608" spans="19:21" ht="14.65" thickBot="1" x14ac:dyDescent="0.5">
      <c r="S608" s="37">
        <f t="shared" si="19"/>
        <v>1417.9813639113966</v>
      </c>
      <c r="U608" s="26">
        <f t="shared" si="18"/>
        <v>-0.40260000000000001</v>
      </c>
    </row>
    <row r="609" spans="19:21" ht="14.65" thickBot="1" x14ac:dyDescent="0.5">
      <c r="S609" s="37">
        <f t="shared" si="19"/>
        <v>1432.1611775505105</v>
      </c>
      <c r="U609" s="26">
        <f t="shared" si="18"/>
        <v>-0.40260000000000001</v>
      </c>
    </row>
    <row r="610" spans="19:21" ht="14.65" thickBot="1" x14ac:dyDescent="0.5">
      <c r="S610" s="37">
        <f t="shared" si="19"/>
        <v>1446.4827893260156</v>
      </c>
      <c r="U610" s="26">
        <f t="shared" si="18"/>
        <v>-0.40260000000000001</v>
      </c>
    </row>
    <row r="611" spans="19:21" ht="14.65" thickBot="1" x14ac:dyDescent="0.5">
      <c r="S611" s="37">
        <f t="shared" si="19"/>
        <v>1460.9476172192758</v>
      </c>
      <c r="U611" s="26">
        <f t="shared" si="18"/>
        <v>-0.40260000000000001</v>
      </c>
    </row>
    <row r="612" spans="19:21" ht="14.65" thickBot="1" x14ac:dyDescent="0.5">
      <c r="S612" s="37">
        <f t="shared" si="19"/>
        <v>1475.5570933914685</v>
      </c>
      <c r="U612" s="26">
        <f t="shared" si="18"/>
        <v>-0.40260000000000001</v>
      </c>
    </row>
    <row r="613" spans="19:21" ht="14.65" thickBot="1" x14ac:dyDescent="0.5">
      <c r="S613" s="37">
        <f t="shared" si="19"/>
        <v>1490.3126643253831</v>
      </c>
      <c r="U613" s="26">
        <f t="shared" si="18"/>
        <v>-0.40260000000000001</v>
      </c>
    </row>
    <row r="614" spans="19:21" ht="14.65" thickBot="1" x14ac:dyDescent="0.5">
      <c r="S614" s="37">
        <f t="shared" si="19"/>
        <v>1505.2157909686371</v>
      </c>
      <c r="U614" s="26">
        <f t="shared" si="18"/>
        <v>-0.40260000000000001</v>
      </c>
    </row>
    <row r="615" spans="19:21" ht="14.65" thickBot="1" x14ac:dyDescent="0.5">
      <c r="S615" s="37">
        <f t="shared" si="19"/>
        <v>1520.2679488783235</v>
      </c>
      <c r="U615" s="26">
        <f t="shared" si="18"/>
        <v>-0.40260000000000001</v>
      </c>
    </row>
    <row r="616" spans="19:21" ht="14.65" thickBot="1" x14ac:dyDescent="0.5">
      <c r="S616" s="37">
        <f t="shared" si="19"/>
        <v>1535.4706283671069</v>
      </c>
      <c r="U616" s="26">
        <f t="shared" si="18"/>
        <v>-0.40260000000000001</v>
      </c>
    </row>
    <row r="617" spans="19:21" ht="14.65" thickBot="1" x14ac:dyDescent="0.5">
      <c r="S617" s="37">
        <f t="shared" si="19"/>
        <v>1550.8253346507779</v>
      </c>
      <c r="U617" s="26">
        <f t="shared" si="18"/>
        <v>-0.40260000000000001</v>
      </c>
    </row>
    <row r="618" spans="19:21" ht="14.65" thickBot="1" x14ac:dyDescent="0.5">
      <c r="S618" s="37">
        <f t="shared" si="19"/>
        <v>1566.3335879972858</v>
      </c>
      <c r="U618" s="26">
        <f t="shared" si="18"/>
        <v>-0.40260000000000001</v>
      </c>
    </row>
    <row r="619" spans="19:21" ht="14.65" thickBot="1" x14ac:dyDescent="0.5">
      <c r="S619" s="37">
        <f t="shared" si="19"/>
        <v>1581.9969238772587</v>
      </c>
      <c r="U619" s="26">
        <f t="shared" si="18"/>
        <v>-0.40260000000000001</v>
      </c>
    </row>
    <row r="620" spans="19:21" ht="14.65" thickBot="1" x14ac:dyDescent="0.5">
      <c r="S620" s="37">
        <f t="shared" si="19"/>
        <v>1597.8168931160312</v>
      </c>
      <c r="U620" s="26">
        <f t="shared" si="18"/>
        <v>-0.40260000000000001</v>
      </c>
    </row>
    <row r="621" spans="19:21" ht="14.65" thickBot="1" x14ac:dyDescent="0.5">
      <c r="S621" s="37">
        <f t="shared" si="19"/>
        <v>1613.7950620471915</v>
      </c>
      <c r="U621" s="26">
        <f t="shared" si="18"/>
        <v>-0.40260000000000001</v>
      </c>
    </row>
    <row r="622" spans="19:21" ht="14.65" thickBot="1" x14ac:dyDescent="0.5">
      <c r="S622" s="37">
        <f t="shared" si="19"/>
        <v>1629.9330126676634</v>
      </c>
      <c r="U622" s="26">
        <f t="shared" si="18"/>
        <v>-0.40260000000000001</v>
      </c>
    </row>
    <row r="623" spans="19:21" ht="14.65" thickBot="1" x14ac:dyDescent="0.5">
      <c r="S623" s="37">
        <f t="shared" si="19"/>
        <v>1646.2323427943402</v>
      </c>
      <c r="U623" s="26">
        <f t="shared" si="18"/>
        <v>-0.40260000000000001</v>
      </c>
    </row>
    <row r="624" spans="19:21" ht="14.65" thickBot="1" x14ac:dyDescent="0.5">
      <c r="S624" s="37">
        <f t="shared" si="19"/>
        <v>1662.6946662222836</v>
      </c>
      <c r="U624" s="26">
        <f t="shared" si="18"/>
        <v>-0.40260000000000001</v>
      </c>
    </row>
    <row r="625" spans="19:21" ht="14.65" thickBot="1" x14ac:dyDescent="0.5">
      <c r="S625" s="37">
        <f t="shared" si="19"/>
        <v>1679.3216128845065</v>
      </c>
      <c r="U625" s="26">
        <f t="shared" si="18"/>
        <v>-0.40260000000000001</v>
      </c>
    </row>
    <row r="626" spans="19:21" ht="14.65" thickBot="1" x14ac:dyDescent="0.5">
      <c r="S626" s="37">
        <f t="shared" si="19"/>
        <v>1696.1148290133517</v>
      </c>
      <c r="U626" s="26">
        <f t="shared" si="18"/>
        <v>-0.40260000000000001</v>
      </c>
    </row>
    <row r="627" spans="19:21" ht="14.65" thickBot="1" x14ac:dyDescent="0.5">
      <c r="S627" s="37">
        <f t="shared" si="19"/>
        <v>1713.0759773034852</v>
      </c>
      <c r="U627" s="26">
        <f t="shared" si="18"/>
        <v>-0.40260000000000001</v>
      </c>
    </row>
    <row r="628" spans="19:21" ht="14.65" thickBot="1" x14ac:dyDescent="0.5">
      <c r="S628" s="37">
        <f t="shared" si="19"/>
        <v>1730.2067370765201</v>
      </c>
      <c r="U628" s="26">
        <f t="shared" si="18"/>
        <v>-0.40260000000000001</v>
      </c>
    </row>
    <row r="629" spans="19:21" ht="14.65" thickBot="1" x14ac:dyDescent="0.5">
      <c r="S629" s="37">
        <f t="shared" si="19"/>
        <v>1747.5088044472852</v>
      </c>
      <c r="U629" s="26">
        <f t="shared" si="18"/>
        <v>-0.40260000000000001</v>
      </c>
    </row>
    <row r="630" spans="19:21" ht="14.65" thickBot="1" x14ac:dyDescent="0.5">
      <c r="S630" s="37">
        <f t="shared" si="19"/>
        <v>1764.9838924917581</v>
      </c>
      <c r="U630" s="26">
        <f t="shared" si="18"/>
        <v>-0.40260000000000001</v>
      </c>
    </row>
    <row r="631" spans="19:21" ht="14.65" thickBot="1" x14ac:dyDescent="0.5">
      <c r="S631" s="37">
        <f t="shared" si="19"/>
        <v>1782.6337314166756</v>
      </c>
      <c r="U631" s="26">
        <f t="shared" si="18"/>
        <v>-0.40260000000000001</v>
      </c>
    </row>
    <row r="632" spans="19:21" ht="14.65" thickBot="1" x14ac:dyDescent="0.5">
      <c r="S632" s="37">
        <f t="shared" si="19"/>
        <v>1800.4600687308423</v>
      </c>
      <c r="U632" s="26">
        <f t="shared" si="18"/>
        <v>-0.40260000000000001</v>
      </c>
    </row>
    <row r="633" spans="19:21" ht="14.65" thickBot="1" x14ac:dyDescent="0.5">
      <c r="S633" s="37">
        <f t="shared" si="19"/>
        <v>1818.4646694181508</v>
      </c>
      <c r="U633" s="26">
        <f t="shared" si="18"/>
        <v>-0.40260000000000001</v>
      </c>
    </row>
    <row r="634" spans="19:21" ht="14.65" thickBot="1" x14ac:dyDescent="0.5">
      <c r="S634" s="37">
        <f t="shared" si="19"/>
        <v>1836.6493161123324</v>
      </c>
      <c r="U634" s="26">
        <f t="shared" si="18"/>
        <v>-0.40260000000000001</v>
      </c>
    </row>
    <row r="635" spans="19:21" ht="14.65" thickBot="1" x14ac:dyDescent="0.5">
      <c r="S635" s="37">
        <f t="shared" si="19"/>
        <v>1855.0158092734557</v>
      </c>
      <c r="U635" s="26">
        <f t="shared" si="18"/>
        <v>-0.40260000000000001</v>
      </c>
    </row>
    <row r="636" spans="19:21" ht="14.65" thickBot="1" x14ac:dyDescent="0.5">
      <c r="S636" s="37">
        <f t="shared" si="19"/>
        <v>1873.5659673661903</v>
      </c>
      <c r="U636" s="26">
        <f t="shared" si="18"/>
        <v>-0.40260000000000001</v>
      </c>
    </row>
    <row r="637" spans="19:21" ht="14.65" thickBot="1" x14ac:dyDescent="0.5">
      <c r="S637" s="37">
        <f t="shared" si="19"/>
        <v>1892.3016270398523</v>
      </c>
      <c r="U637" s="26">
        <f t="shared" si="18"/>
        <v>-0.40260000000000001</v>
      </c>
    </row>
    <row r="638" spans="19:21" ht="14.65" thickBot="1" x14ac:dyDescent="0.5">
      <c r="S638" s="37">
        <f t="shared" si="19"/>
        <v>1911.2246433102509</v>
      </c>
      <c r="U638" s="26">
        <f t="shared" si="18"/>
        <v>-0.40260000000000001</v>
      </c>
    </row>
    <row r="639" spans="19:21" ht="14.65" thickBot="1" x14ac:dyDescent="0.5">
      <c r="S639" s="37">
        <f t="shared" si="19"/>
        <v>1930.3368897433534</v>
      </c>
      <c r="U639" s="26">
        <f t="shared" si="18"/>
        <v>-0.40260000000000001</v>
      </c>
    </row>
    <row r="640" spans="19:21" ht="14.65" thickBot="1" x14ac:dyDescent="0.5">
      <c r="S640" s="37">
        <f t="shared" si="19"/>
        <v>1949.6402586407869</v>
      </c>
      <c r="U640" s="26">
        <f t="shared" si="18"/>
        <v>-0.40260000000000001</v>
      </c>
    </row>
    <row r="641" spans="19:21" ht="14.65" thickBot="1" x14ac:dyDescent="0.5">
      <c r="S641" s="37">
        <f t="shared" si="19"/>
        <v>1969.1366612271947</v>
      </c>
      <c r="U641" s="26">
        <f t="shared" si="18"/>
        <v>-0.40260000000000001</v>
      </c>
    </row>
    <row r="642" spans="19:21" ht="14.65" thickBot="1" x14ac:dyDescent="0.5">
      <c r="S642" s="37">
        <f t="shared" si="19"/>
        <v>1988.8280278394668</v>
      </c>
      <c r="U642" s="26">
        <f t="shared" si="18"/>
        <v>-0.40260000000000001</v>
      </c>
    </row>
    <row r="643" spans="19:21" ht="14.65" thickBot="1" x14ac:dyDescent="0.5">
      <c r="S643" s="37">
        <f t="shared" si="19"/>
        <v>2008.7163081178614</v>
      </c>
      <c r="U643" s="26">
        <f t="shared" si="18"/>
        <v>-0.40260000000000001</v>
      </c>
    </row>
    <row r="644" spans="19:21" ht="14.65" thickBot="1" x14ac:dyDescent="0.5">
      <c r="S644" s="37">
        <f t="shared" si="19"/>
        <v>2028.8034711990401</v>
      </c>
      <c r="U644" s="26">
        <f t="shared" si="18"/>
        <v>-0.40260000000000001</v>
      </c>
    </row>
    <row r="645" spans="19:21" ht="14.65" thickBot="1" x14ac:dyDescent="0.5">
      <c r="S645" s="37">
        <f t="shared" si="19"/>
        <v>2049.0915059110307</v>
      </c>
      <c r="U645" s="26">
        <f t="shared" si="18"/>
        <v>-0.40260000000000001</v>
      </c>
    </row>
    <row r="646" spans="19:21" ht="14.65" thickBot="1" x14ac:dyDescent="0.5">
      <c r="S646" s="37">
        <f t="shared" si="19"/>
        <v>2069.5824209701409</v>
      </c>
      <c r="U646" s="26">
        <f t="shared" si="18"/>
        <v>-0.40260000000000001</v>
      </c>
    </row>
    <row r="647" spans="19:21" ht="14.65" thickBot="1" x14ac:dyDescent="0.5">
      <c r="S647" s="37">
        <f t="shared" si="19"/>
        <v>2090.2782451798425</v>
      </c>
      <c r="U647" s="26">
        <f t="shared" si="18"/>
        <v>-0.40260000000000001</v>
      </c>
    </row>
    <row r="648" spans="19:21" ht="14.65" thickBot="1" x14ac:dyDescent="0.5">
      <c r="S648" s="37">
        <f t="shared" si="19"/>
        <v>2111.181027631641</v>
      </c>
      <c r="U648" s="26">
        <f t="shared" si="18"/>
        <v>-0.40260000000000001</v>
      </c>
    </row>
    <row r="649" spans="19:21" ht="14.65" thickBot="1" x14ac:dyDescent="0.5">
      <c r="S649" s="37">
        <f t="shared" si="19"/>
        <v>2132.2928379079576</v>
      </c>
      <c r="U649" s="26">
        <f t="shared" si="18"/>
        <v>-0.40260000000000001</v>
      </c>
    </row>
    <row r="650" spans="19:21" ht="14.65" thickBot="1" x14ac:dyDescent="0.5">
      <c r="S650" s="37">
        <f t="shared" si="19"/>
        <v>2153.6157662870373</v>
      </c>
      <c r="U650" s="26">
        <f t="shared" si="18"/>
        <v>-0.40260000000000001</v>
      </c>
    </row>
    <row r="651" spans="19:21" ht="14.65" thickBot="1" x14ac:dyDescent="0.5">
      <c r="S651" s="37">
        <f t="shared" si="19"/>
        <v>2175.1519239499075</v>
      </c>
      <c r="U651" s="26">
        <f t="shared" si="18"/>
        <v>-0.40260000000000001</v>
      </c>
    </row>
    <row r="652" spans="19:21" ht="14.65" thickBot="1" x14ac:dyDescent="0.5">
      <c r="S652" s="37">
        <f t="shared" si="19"/>
        <v>2196.9034431894065</v>
      </c>
      <c r="U652" s="26">
        <f t="shared" si="18"/>
        <v>-0.40260000000000001</v>
      </c>
    </row>
    <row r="653" spans="19:21" ht="14.65" thickBot="1" x14ac:dyDescent="0.5">
      <c r="S653" s="37">
        <f t="shared" si="19"/>
        <v>2218.8724776213007</v>
      </c>
      <c r="U653" s="26">
        <f t="shared" si="18"/>
        <v>-0.40260000000000001</v>
      </c>
    </row>
    <row r="654" spans="19:21" ht="14.65" thickBot="1" x14ac:dyDescent="0.5">
      <c r="S654" s="37">
        <f t="shared" si="19"/>
        <v>2241.0612023975136</v>
      </c>
      <c r="U654" s="26">
        <f t="shared" si="18"/>
        <v>-0.40260000000000001</v>
      </c>
    </row>
    <row r="655" spans="19:21" ht="14.65" thickBot="1" x14ac:dyDescent="0.5">
      <c r="S655" s="37">
        <f t="shared" si="19"/>
        <v>2263.4718144214889</v>
      </c>
      <c r="U655" s="26">
        <f t="shared" si="18"/>
        <v>-0.40260000000000001</v>
      </c>
    </row>
    <row r="656" spans="19:21" ht="14.65" thickBot="1" x14ac:dyDescent="0.5">
      <c r="S656" s="37">
        <f t="shared" si="19"/>
        <v>2286.1065325657037</v>
      </c>
      <c r="U656" s="26">
        <f t="shared" si="18"/>
        <v>-0.40260000000000001</v>
      </c>
    </row>
    <row r="657" spans="19:21" ht="14.65" thickBot="1" x14ac:dyDescent="0.5">
      <c r="S657" s="37">
        <f t="shared" si="19"/>
        <v>2308.9675978913606</v>
      </c>
      <c r="U657" s="26">
        <f t="shared" si="18"/>
        <v>-0.40260000000000001</v>
      </c>
    </row>
    <row r="658" spans="19:21" ht="14.65" thickBot="1" x14ac:dyDescent="0.5">
      <c r="S658" s="37">
        <f t="shared" si="19"/>
        <v>2332.057273870274</v>
      </c>
      <c r="U658" s="26">
        <f t="shared" si="18"/>
        <v>-0.40260000000000001</v>
      </c>
    </row>
    <row r="659" spans="19:21" ht="14.65" thickBot="1" x14ac:dyDescent="0.5">
      <c r="S659" s="37">
        <f t="shared" si="19"/>
        <v>2355.3778466089766</v>
      </c>
      <c r="U659" s="26">
        <f t="shared" ref="U659:U722" si="20">IF(S659&gt;$D$7,-$D$9+$D$10,MIN($D$7-S659-$D$9+$D$10,($D$7-$D$8)-$D$9+$D$10))</f>
        <v>-0.40260000000000001</v>
      </c>
    </row>
    <row r="660" spans="19:21" ht="14.65" thickBot="1" x14ac:dyDescent="0.5">
      <c r="S660" s="37">
        <f t="shared" ref="S660:S723" si="21">S659*(1.01)</f>
        <v>2378.9316250750662</v>
      </c>
      <c r="U660" s="26">
        <f t="shared" si="20"/>
        <v>-0.40260000000000001</v>
      </c>
    </row>
    <row r="661" spans="19:21" ht="14.65" thickBot="1" x14ac:dyDescent="0.5">
      <c r="S661" s="37">
        <f t="shared" si="21"/>
        <v>2402.720941325817</v>
      </c>
      <c r="U661" s="26">
        <f t="shared" si="20"/>
        <v>-0.40260000000000001</v>
      </c>
    </row>
    <row r="662" spans="19:21" ht="14.65" thickBot="1" x14ac:dyDescent="0.5">
      <c r="S662" s="37">
        <f t="shared" si="21"/>
        <v>2426.7481507390753</v>
      </c>
      <c r="U662" s="26">
        <f t="shared" si="20"/>
        <v>-0.40260000000000001</v>
      </c>
    </row>
    <row r="663" spans="19:21" ht="14.65" thickBot="1" x14ac:dyDescent="0.5">
      <c r="S663" s="37">
        <f t="shared" si="21"/>
        <v>2451.0156322464659</v>
      </c>
      <c r="U663" s="26">
        <f t="shared" si="20"/>
        <v>-0.40260000000000001</v>
      </c>
    </row>
    <row r="664" spans="19:21" ht="14.65" thickBot="1" x14ac:dyDescent="0.5">
      <c r="S664" s="37">
        <f t="shared" si="21"/>
        <v>2475.5257885689307</v>
      </c>
      <c r="U664" s="26">
        <f t="shared" si="20"/>
        <v>-0.40260000000000001</v>
      </c>
    </row>
    <row r="665" spans="19:21" ht="14.65" thickBot="1" x14ac:dyDescent="0.5">
      <c r="S665" s="37">
        <f t="shared" si="21"/>
        <v>2500.2810464546201</v>
      </c>
      <c r="U665" s="26">
        <f t="shared" si="20"/>
        <v>-0.40260000000000001</v>
      </c>
    </row>
    <row r="666" spans="19:21" ht="14.65" thickBot="1" x14ac:dyDescent="0.5">
      <c r="S666" s="37">
        <f t="shared" si="21"/>
        <v>2525.2838569191663</v>
      </c>
      <c r="U666" s="26">
        <f t="shared" si="20"/>
        <v>-0.40260000000000001</v>
      </c>
    </row>
    <row r="667" spans="19:21" ht="14.65" thickBot="1" x14ac:dyDescent="0.5">
      <c r="S667" s="37">
        <f t="shared" si="21"/>
        <v>2550.536695488358</v>
      </c>
      <c r="U667" s="26">
        <f t="shared" si="20"/>
        <v>-0.40260000000000001</v>
      </c>
    </row>
    <row r="668" spans="19:21" ht="14.65" thickBot="1" x14ac:dyDescent="0.5">
      <c r="S668" s="37">
        <f t="shared" si="21"/>
        <v>2576.0420624432418</v>
      </c>
      <c r="U668" s="26">
        <f t="shared" si="20"/>
        <v>-0.40260000000000001</v>
      </c>
    </row>
    <row r="669" spans="19:21" ht="14.65" thickBot="1" x14ac:dyDescent="0.5">
      <c r="S669" s="37">
        <f t="shared" si="21"/>
        <v>2601.8024830676741</v>
      </c>
      <c r="U669" s="26">
        <f t="shared" si="20"/>
        <v>-0.40260000000000001</v>
      </c>
    </row>
    <row r="670" spans="19:21" ht="14.65" thickBot="1" x14ac:dyDescent="0.5">
      <c r="S670" s="37">
        <f t="shared" si="21"/>
        <v>2627.820507898351</v>
      </c>
      <c r="U670" s="26">
        <f t="shared" si="20"/>
        <v>-0.40260000000000001</v>
      </c>
    </row>
    <row r="671" spans="19:21" ht="14.65" thickBot="1" x14ac:dyDescent="0.5">
      <c r="S671" s="37">
        <f t="shared" si="21"/>
        <v>2654.0987129773343</v>
      </c>
      <c r="U671" s="26">
        <f t="shared" si="20"/>
        <v>-0.40260000000000001</v>
      </c>
    </row>
    <row r="672" spans="19:21" ht="14.65" thickBot="1" x14ac:dyDescent="0.5">
      <c r="S672" s="37">
        <f t="shared" si="21"/>
        <v>2680.6397001071077</v>
      </c>
      <c r="U672" s="26">
        <f t="shared" si="20"/>
        <v>-0.40260000000000001</v>
      </c>
    </row>
    <row r="673" spans="19:21" ht="14.65" thickBot="1" x14ac:dyDescent="0.5">
      <c r="S673" s="37">
        <f t="shared" si="21"/>
        <v>2707.4460971081789</v>
      </c>
      <c r="U673" s="26">
        <f t="shared" si="20"/>
        <v>-0.40260000000000001</v>
      </c>
    </row>
    <row r="674" spans="19:21" ht="14.65" thickBot="1" x14ac:dyDescent="0.5">
      <c r="S674" s="37">
        <f t="shared" si="21"/>
        <v>2734.5205580792608</v>
      </c>
      <c r="U674" s="26">
        <f t="shared" si="20"/>
        <v>-0.40260000000000001</v>
      </c>
    </row>
    <row r="675" spans="19:21" ht="14.65" thickBot="1" x14ac:dyDescent="0.5">
      <c r="S675" s="37">
        <f t="shared" si="21"/>
        <v>2761.8657636600533</v>
      </c>
      <c r="U675" s="26">
        <f t="shared" si="20"/>
        <v>-0.40260000000000001</v>
      </c>
    </row>
    <row r="676" spans="19:21" ht="14.65" thickBot="1" x14ac:dyDescent="0.5">
      <c r="S676" s="37">
        <f t="shared" si="21"/>
        <v>2789.4844212966536</v>
      </c>
      <c r="U676" s="26">
        <f t="shared" si="20"/>
        <v>-0.40260000000000001</v>
      </c>
    </row>
    <row r="677" spans="19:21" ht="14.65" thickBot="1" x14ac:dyDescent="0.5">
      <c r="S677" s="37">
        <f t="shared" si="21"/>
        <v>2817.3792655096204</v>
      </c>
      <c r="U677" s="26">
        <f t="shared" si="20"/>
        <v>-0.40260000000000001</v>
      </c>
    </row>
    <row r="678" spans="19:21" ht="14.65" thickBot="1" x14ac:dyDescent="0.5">
      <c r="S678" s="37">
        <f t="shared" si="21"/>
        <v>2845.5530581647167</v>
      </c>
      <c r="U678" s="26">
        <f t="shared" si="20"/>
        <v>-0.40260000000000001</v>
      </c>
    </row>
    <row r="679" spans="19:21" ht="14.65" thickBot="1" x14ac:dyDescent="0.5">
      <c r="S679" s="37">
        <f t="shared" si="21"/>
        <v>2874.0085887463638</v>
      </c>
      <c r="U679" s="26">
        <f t="shared" si="20"/>
        <v>-0.40260000000000001</v>
      </c>
    </row>
    <row r="680" spans="19:21" ht="14.65" thickBot="1" x14ac:dyDescent="0.5">
      <c r="S680" s="37">
        <f t="shared" si="21"/>
        <v>2902.7486746338272</v>
      </c>
      <c r="U680" s="26">
        <f t="shared" si="20"/>
        <v>-0.40260000000000001</v>
      </c>
    </row>
    <row r="681" spans="19:21" ht="14.65" thickBot="1" x14ac:dyDescent="0.5">
      <c r="S681" s="37">
        <f t="shared" si="21"/>
        <v>2931.7761613801654</v>
      </c>
      <c r="U681" s="26">
        <f t="shared" si="20"/>
        <v>-0.40260000000000001</v>
      </c>
    </row>
    <row r="682" spans="19:21" ht="14.65" thickBot="1" x14ac:dyDescent="0.5">
      <c r="S682" s="37">
        <f t="shared" si="21"/>
        <v>2961.0939229939672</v>
      </c>
      <c r="U682" s="26">
        <f t="shared" si="20"/>
        <v>-0.40260000000000001</v>
      </c>
    </row>
    <row r="683" spans="19:21" ht="14.65" thickBot="1" x14ac:dyDescent="0.5">
      <c r="S683" s="37">
        <f t="shared" si="21"/>
        <v>2990.7048622239067</v>
      </c>
      <c r="U683" s="26">
        <f t="shared" si="20"/>
        <v>-0.40260000000000001</v>
      </c>
    </row>
    <row r="684" spans="19:21" ht="14.65" thickBot="1" x14ac:dyDescent="0.5">
      <c r="S684" s="37">
        <f t="shared" si="21"/>
        <v>3020.6119108461457</v>
      </c>
      <c r="U684" s="26">
        <f t="shared" si="20"/>
        <v>-0.40260000000000001</v>
      </c>
    </row>
    <row r="685" spans="19:21" ht="14.65" thickBot="1" x14ac:dyDescent="0.5">
      <c r="S685" s="37">
        <f t="shared" si="21"/>
        <v>3050.818029954607</v>
      </c>
      <c r="U685" s="26">
        <f t="shared" si="20"/>
        <v>-0.40260000000000001</v>
      </c>
    </row>
    <row r="686" spans="19:21" ht="14.65" thickBot="1" x14ac:dyDescent="0.5">
      <c r="S686" s="37">
        <f t="shared" si="21"/>
        <v>3081.326210254153</v>
      </c>
      <c r="U686" s="26">
        <f t="shared" si="20"/>
        <v>-0.40260000000000001</v>
      </c>
    </row>
    <row r="687" spans="19:21" ht="14.65" thickBot="1" x14ac:dyDescent="0.5">
      <c r="S687" s="37">
        <f t="shared" si="21"/>
        <v>3112.1394723566946</v>
      </c>
      <c r="U687" s="26">
        <f t="shared" si="20"/>
        <v>-0.40260000000000001</v>
      </c>
    </row>
    <row r="688" spans="19:21" ht="14.65" thickBot="1" x14ac:dyDescent="0.5">
      <c r="S688" s="37">
        <f t="shared" si="21"/>
        <v>3143.2608670802615</v>
      </c>
      <c r="U688" s="26">
        <f t="shared" si="20"/>
        <v>-0.40260000000000001</v>
      </c>
    </row>
    <row r="689" spans="19:21" ht="14.65" thickBot="1" x14ac:dyDescent="0.5">
      <c r="S689" s="37">
        <f t="shared" si="21"/>
        <v>3174.6934757510639</v>
      </c>
      <c r="U689" s="26">
        <f t="shared" si="20"/>
        <v>-0.40260000000000001</v>
      </c>
    </row>
    <row r="690" spans="19:21" ht="14.65" thickBot="1" x14ac:dyDescent="0.5">
      <c r="S690" s="37">
        <f t="shared" si="21"/>
        <v>3206.4404105085746</v>
      </c>
      <c r="U690" s="26">
        <f t="shared" si="20"/>
        <v>-0.40260000000000001</v>
      </c>
    </row>
    <row r="691" spans="19:21" ht="14.65" thickBot="1" x14ac:dyDescent="0.5">
      <c r="S691" s="37">
        <f t="shared" si="21"/>
        <v>3238.5048146136605</v>
      </c>
      <c r="U691" s="26">
        <f t="shared" si="20"/>
        <v>-0.40260000000000001</v>
      </c>
    </row>
    <row r="692" spans="19:21" ht="14.65" thickBot="1" x14ac:dyDescent="0.5">
      <c r="S692" s="37">
        <f t="shared" si="21"/>
        <v>3270.8898627597973</v>
      </c>
      <c r="U692" s="26">
        <f t="shared" si="20"/>
        <v>-0.40260000000000001</v>
      </c>
    </row>
    <row r="693" spans="19:21" ht="14.65" thickBot="1" x14ac:dyDescent="0.5">
      <c r="S693" s="37">
        <f t="shared" si="21"/>
        <v>3303.5987613873954</v>
      </c>
      <c r="U693" s="26">
        <f t="shared" si="20"/>
        <v>-0.40260000000000001</v>
      </c>
    </row>
    <row r="694" spans="19:21" ht="14.65" thickBot="1" x14ac:dyDescent="0.5">
      <c r="S694" s="37">
        <f t="shared" si="21"/>
        <v>3336.6347490012695</v>
      </c>
      <c r="U694" s="26">
        <f t="shared" si="20"/>
        <v>-0.40260000000000001</v>
      </c>
    </row>
    <row r="695" spans="19:21" ht="14.65" thickBot="1" x14ac:dyDescent="0.5">
      <c r="S695" s="37">
        <f t="shared" si="21"/>
        <v>3370.0010964912822</v>
      </c>
      <c r="U695" s="26">
        <f t="shared" si="20"/>
        <v>-0.40260000000000001</v>
      </c>
    </row>
    <row r="696" spans="19:21" ht="14.65" thickBot="1" x14ac:dyDescent="0.5">
      <c r="S696" s="37">
        <f t="shared" si="21"/>
        <v>3403.7011074561951</v>
      </c>
      <c r="U696" s="26">
        <f t="shared" si="20"/>
        <v>-0.40260000000000001</v>
      </c>
    </row>
    <row r="697" spans="19:21" ht="14.65" thickBot="1" x14ac:dyDescent="0.5">
      <c r="S697" s="37">
        <f t="shared" si="21"/>
        <v>3437.7381185307572</v>
      </c>
      <c r="U697" s="26">
        <f t="shared" si="20"/>
        <v>-0.40260000000000001</v>
      </c>
    </row>
    <row r="698" spans="19:21" ht="14.65" thickBot="1" x14ac:dyDescent="0.5">
      <c r="S698" s="37">
        <f t="shared" si="21"/>
        <v>3472.1154997160647</v>
      </c>
      <c r="U698" s="26">
        <f t="shared" si="20"/>
        <v>-0.40260000000000001</v>
      </c>
    </row>
    <row r="699" spans="19:21" ht="14.65" thickBot="1" x14ac:dyDescent="0.5">
      <c r="S699" s="37">
        <f t="shared" si="21"/>
        <v>3506.8366547132255</v>
      </c>
      <c r="U699" s="26">
        <f t="shared" si="20"/>
        <v>-0.40260000000000001</v>
      </c>
    </row>
    <row r="700" spans="19:21" ht="14.65" thickBot="1" x14ac:dyDescent="0.5">
      <c r="S700" s="37">
        <f t="shared" si="21"/>
        <v>3541.9050212603579</v>
      </c>
      <c r="U700" s="26">
        <f t="shared" si="20"/>
        <v>-0.40260000000000001</v>
      </c>
    </row>
    <row r="701" spans="19:21" ht="14.65" thickBot="1" x14ac:dyDescent="0.5">
      <c r="S701" s="37">
        <f t="shared" si="21"/>
        <v>3577.3240714729614</v>
      </c>
      <c r="U701" s="26">
        <f t="shared" si="20"/>
        <v>-0.40260000000000001</v>
      </c>
    </row>
    <row r="702" spans="19:21" ht="14.65" thickBot="1" x14ac:dyDescent="0.5">
      <c r="S702" s="37">
        <f t="shared" si="21"/>
        <v>3613.0973121876909</v>
      </c>
      <c r="U702" s="26">
        <f t="shared" si="20"/>
        <v>-0.40260000000000001</v>
      </c>
    </row>
    <row r="703" spans="19:21" ht="14.65" thickBot="1" x14ac:dyDescent="0.5">
      <c r="S703" s="37">
        <f t="shared" si="21"/>
        <v>3649.228285309568</v>
      </c>
      <c r="U703" s="26">
        <f t="shared" si="20"/>
        <v>-0.40260000000000001</v>
      </c>
    </row>
    <row r="704" spans="19:21" ht="14.65" thickBot="1" x14ac:dyDescent="0.5">
      <c r="S704" s="37">
        <f t="shared" si="21"/>
        <v>3685.7205681626638</v>
      </c>
      <c r="U704" s="26">
        <f t="shared" si="20"/>
        <v>-0.40260000000000001</v>
      </c>
    </row>
    <row r="705" spans="19:21" ht="14.65" thickBot="1" x14ac:dyDescent="0.5">
      <c r="S705" s="37">
        <f t="shared" si="21"/>
        <v>3722.5777738442903</v>
      </c>
      <c r="U705" s="26">
        <f t="shared" si="20"/>
        <v>-0.40260000000000001</v>
      </c>
    </row>
    <row r="706" spans="19:21" ht="14.65" thickBot="1" x14ac:dyDescent="0.5">
      <c r="S706" s="37">
        <f t="shared" si="21"/>
        <v>3759.8035515827332</v>
      </c>
      <c r="U706" s="26">
        <f t="shared" si="20"/>
        <v>-0.40260000000000001</v>
      </c>
    </row>
    <row r="707" spans="19:21" ht="14.65" thickBot="1" x14ac:dyDescent="0.5">
      <c r="S707" s="37">
        <f t="shared" si="21"/>
        <v>3797.4015870985604</v>
      </c>
      <c r="U707" s="26">
        <f t="shared" si="20"/>
        <v>-0.40260000000000001</v>
      </c>
    </row>
    <row r="708" spans="19:21" ht="14.65" thickBot="1" x14ac:dyDescent="0.5">
      <c r="S708" s="37">
        <f t="shared" si="21"/>
        <v>3835.375602969546</v>
      </c>
      <c r="U708" s="26">
        <f t="shared" si="20"/>
        <v>-0.40260000000000001</v>
      </c>
    </row>
    <row r="709" spans="19:21" ht="14.65" thickBot="1" x14ac:dyDescent="0.5">
      <c r="S709" s="37">
        <f t="shared" si="21"/>
        <v>3873.7293589992414</v>
      </c>
      <c r="U709" s="26">
        <f t="shared" si="20"/>
        <v>-0.40260000000000001</v>
      </c>
    </row>
    <row r="710" spans="19:21" ht="14.65" thickBot="1" x14ac:dyDescent="0.5">
      <c r="S710" s="37">
        <f t="shared" si="21"/>
        <v>3912.4666525892339</v>
      </c>
      <c r="U710" s="26">
        <f t="shared" si="20"/>
        <v>-0.40260000000000001</v>
      </c>
    </row>
    <row r="711" spans="19:21" ht="14.65" thickBot="1" x14ac:dyDescent="0.5">
      <c r="S711" s="37">
        <f t="shared" si="21"/>
        <v>3951.5913191151262</v>
      </c>
      <c r="U711" s="26">
        <f t="shared" si="20"/>
        <v>-0.40260000000000001</v>
      </c>
    </row>
    <row r="712" spans="19:21" ht="14.65" thickBot="1" x14ac:dyDescent="0.5">
      <c r="S712" s="37">
        <f t="shared" si="21"/>
        <v>3991.1072323062776</v>
      </c>
      <c r="U712" s="26">
        <f t="shared" si="20"/>
        <v>-0.40260000000000001</v>
      </c>
    </row>
    <row r="713" spans="19:21" ht="14.65" thickBot="1" x14ac:dyDescent="0.5">
      <c r="S713" s="37">
        <f t="shared" si="21"/>
        <v>4031.0183046293405</v>
      </c>
      <c r="U713" s="26">
        <f t="shared" si="20"/>
        <v>-0.40260000000000001</v>
      </c>
    </row>
    <row r="714" spans="19:21" ht="14.65" thickBot="1" x14ac:dyDescent="0.5">
      <c r="S714" s="37">
        <f t="shared" si="21"/>
        <v>4071.3284876756338</v>
      </c>
      <c r="U714" s="26">
        <f t="shared" si="20"/>
        <v>-0.40260000000000001</v>
      </c>
    </row>
    <row r="715" spans="19:21" ht="14.65" thickBot="1" x14ac:dyDescent="0.5">
      <c r="S715" s="37">
        <f t="shared" si="21"/>
        <v>4112.0417725523903</v>
      </c>
      <c r="U715" s="26">
        <f t="shared" si="20"/>
        <v>-0.40260000000000001</v>
      </c>
    </row>
    <row r="716" spans="19:21" ht="14.65" thickBot="1" x14ac:dyDescent="0.5">
      <c r="S716" s="37">
        <f t="shared" si="21"/>
        <v>4153.1621902779143</v>
      </c>
      <c r="U716" s="26">
        <f t="shared" si="20"/>
        <v>-0.40260000000000001</v>
      </c>
    </row>
    <row r="717" spans="19:21" ht="14.65" thickBot="1" x14ac:dyDescent="0.5">
      <c r="S717" s="37">
        <f t="shared" si="21"/>
        <v>4194.6938121806934</v>
      </c>
      <c r="U717" s="26">
        <f t="shared" si="20"/>
        <v>-0.40260000000000001</v>
      </c>
    </row>
    <row r="718" spans="19:21" ht="14.65" thickBot="1" x14ac:dyDescent="0.5">
      <c r="S718" s="37">
        <f t="shared" si="21"/>
        <v>4236.6407503025002</v>
      </c>
      <c r="U718" s="26">
        <f t="shared" si="20"/>
        <v>-0.40260000000000001</v>
      </c>
    </row>
    <row r="719" spans="19:21" ht="14.65" thickBot="1" x14ac:dyDescent="0.5">
      <c r="S719" s="37">
        <f t="shared" si="21"/>
        <v>4279.0071578055249</v>
      </c>
      <c r="U719" s="26">
        <f t="shared" si="20"/>
        <v>-0.40260000000000001</v>
      </c>
    </row>
    <row r="720" spans="19:21" ht="14.65" thickBot="1" x14ac:dyDescent="0.5">
      <c r="S720" s="37">
        <f t="shared" si="21"/>
        <v>4321.7972293835801</v>
      </c>
      <c r="U720" s="26">
        <f t="shared" si="20"/>
        <v>-0.40260000000000001</v>
      </c>
    </row>
    <row r="721" spans="19:21" ht="14.65" thickBot="1" x14ac:dyDescent="0.5">
      <c r="S721" s="37">
        <f t="shared" si="21"/>
        <v>4365.0152016774164</v>
      </c>
      <c r="U721" s="26">
        <f t="shared" si="20"/>
        <v>-0.40260000000000001</v>
      </c>
    </row>
    <row r="722" spans="19:21" ht="14.65" thickBot="1" x14ac:dyDescent="0.5">
      <c r="S722" s="37">
        <f t="shared" si="21"/>
        <v>4408.6653536941903</v>
      </c>
      <c r="U722" s="26">
        <f t="shared" si="20"/>
        <v>-0.40260000000000001</v>
      </c>
    </row>
    <row r="723" spans="19:21" ht="14.65" thickBot="1" x14ac:dyDescent="0.5">
      <c r="S723" s="37">
        <f t="shared" si="21"/>
        <v>4452.7520072311327</v>
      </c>
      <c r="U723" s="26">
        <f t="shared" ref="U723:U786" si="22">IF(S723&gt;$D$7,-$D$9+$D$10,MIN($D$7-S723-$D$9+$D$10,($D$7-$D$8)-$D$9+$D$10))</f>
        <v>-0.40260000000000001</v>
      </c>
    </row>
    <row r="724" spans="19:21" ht="14.65" thickBot="1" x14ac:dyDescent="0.5">
      <c r="S724" s="37">
        <f t="shared" ref="S724:S787" si="23">S723*(1.01)</f>
        <v>4497.2795273034444</v>
      </c>
      <c r="U724" s="26">
        <f t="shared" si="22"/>
        <v>-0.40260000000000001</v>
      </c>
    </row>
    <row r="725" spans="19:21" ht="14.65" thickBot="1" x14ac:dyDescent="0.5">
      <c r="S725" s="37">
        <f t="shared" si="23"/>
        <v>4542.2523225764789</v>
      </c>
      <c r="U725" s="26">
        <f t="shared" si="22"/>
        <v>-0.40260000000000001</v>
      </c>
    </row>
    <row r="726" spans="19:21" ht="14.65" thickBot="1" x14ac:dyDescent="0.5">
      <c r="S726" s="37">
        <f t="shared" si="23"/>
        <v>4587.6748458022439</v>
      </c>
      <c r="U726" s="26">
        <f t="shared" si="22"/>
        <v>-0.40260000000000001</v>
      </c>
    </row>
    <row r="727" spans="19:21" ht="14.65" thickBot="1" x14ac:dyDescent="0.5">
      <c r="S727" s="37">
        <f t="shared" si="23"/>
        <v>4633.551594260266</v>
      </c>
      <c r="U727" s="26">
        <f t="shared" si="22"/>
        <v>-0.40260000000000001</v>
      </c>
    </row>
    <row r="728" spans="19:21" ht="14.65" thickBot="1" x14ac:dyDescent="0.5">
      <c r="S728" s="37">
        <f t="shared" si="23"/>
        <v>4679.8871102028688</v>
      </c>
      <c r="U728" s="26">
        <f t="shared" si="22"/>
        <v>-0.40260000000000001</v>
      </c>
    </row>
    <row r="729" spans="19:21" ht="14.65" thickBot="1" x14ac:dyDescent="0.5">
      <c r="S729" s="37">
        <f t="shared" si="23"/>
        <v>4726.6859813048977</v>
      </c>
      <c r="U729" s="26">
        <f t="shared" si="22"/>
        <v>-0.40260000000000001</v>
      </c>
    </row>
    <row r="730" spans="19:21" ht="14.65" thickBot="1" x14ac:dyDescent="0.5">
      <c r="S730" s="37">
        <f t="shared" si="23"/>
        <v>4773.9528411179472</v>
      </c>
      <c r="U730" s="26">
        <f t="shared" si="22"/>
        <v>-0.40260000000000001</v>
      </c>
    </row>
    <row r="731" spans="19:21" ht="14.65" thickBot="1" x14ac:dyDescent="0.5">
      <c r="S731" s="37">
        <f t="shared" si="23"/>
        <v>4821.6923695291271</v>
      </c>
      <c r="U731" s="26">
        <f t="shared" si="22"/>
        <v>-0.40260000000000001</v>
      </c>
    </row>
    <row r="732" spans="19:21" ht="14.65" thickBot="1" x14ac:dyDescent="0.5">
      <c r="S732" s="37">
        <f t="shared" si="23"/>
        <v>4869.9092932244184</v>
      </c>
      <c r="U732" s="26">
        <f t="shared" si="22"/>
        <v>-0.40260000000000001</v>
      </c>
    </row>
    <row r="733" spans="19:21" ht="14.65" thickBot="1" x14ac:dyDescent="0.5">
      <c r="S733" s="37">
        <f t="shared" si="23"/>
        <v>4918.6083861566631</v>
      </c>
      <c r="U733" s="26">
        <f t="shared" si="22"/>
        <v>-0.40260000000000001</v>
      </c>
    </row>
    <row r="734" spans="19:21" ht="14.65" thickBot="1" x14ac:dyDescent="0.5">
      <c r="S734" s="37">
        <f t="shared" si="23"/>
        <v>4967.7944700182297</v>
      </c>
      <c r="U734" s="26">
        <f t="shared" si="22"/>
        <v>-0.40260000000000001</v>
      </c>
    </row>
    <row r="735" spans="19:21" ht="14.65" thickBot="1" x14ac:dyDescent="0.5">
      <c r="S735" s="37">
        <f t="shared" si="23"/>
        <v>5017.4724147184124</v>
      </c>
      <c r="U735" s="26">
        <f t="shared" si="22"/>
        <v>-0.40260000000000001</v>
      </c>
    </row>
    <row r="736" spans="19:21" ht="14.65" thickBot="1" x14ac:dyDescent="0.5">
      <c r="S736" s="37">
        <f t="shared" si="23"/>
        <v>5067.6471388655964</v>
      </c>
      <c r="U736" s="26">
        <f t="shared" si="22"/>
        <v>-0.40260000000000001</v>
      </c>
    </row>
    <row r="737" spans="19:21" ht="14.65" thickBot="1" x14ac:dyDescent="0.5">
      <c r="S737" s="37">
        <f t="shared" si="23"/>
        <v>5118.3236102542523</v>
      </c>
      <c r="U737" s="26">
        <f t="shared" si="22"/>
        <v>-0.40260000000000001</v>
      </c>
    </row>
    <row r="738" spans="19:21" ht="14.65" thickBot="1" x14ac:dyDescent="0.5">
      <c r="S738" s="37">
        <f t="shared" si="23"/>
        <v>5169.506846356795</v>
      </c>
      <c r="U738" s="26">
        <f t="shared" si="22"/>
        <v>-0.40260000000000001</v>
      </c>
    </row>
    <row r="739" spans="19:21" ht="14.65" thickBot="1" x14ac:dyDescent="0.5">
      <c r="S739" s="37">
        <f t="shared" si="23"/>
        <v>5221.2019148203626</v>
      </c>
      <c r="U739" s="26">
        <f t="shared" si="22"/>
        <v>-0.40260000000000001</v>
      </c>
    </row>
    <row r="740" spans="19:21" ht="14.65" thickBot="1" x14ac:dyDescent="0.5">
      <c r="S740" s="37">
        <f t="shared" si="23"/>
        <v>5273.4139339685662</v>
      </c>
      <c r="U740" s="26">
        <f t="shared" si="22"/>
        <v>-0.40260000000000001</v>
      </c>
    </row>
    <row r="741" spans="19:21" ht="14.65" thickBot="1" x14ac:dyDescent="0.5">
      <c r="S741" s="37">
        <f t="shared" si="23"/>
        <v>5326.1480733082517</v>
      </c>
      <c r="U741" s="26">
        <f t="shared" si="22"/>
        <v>-0.40260000000000001</v>
      </c>
    </row>
    <row r="742" spans="19:21" ht="14.65" thickBot="1" x14ac:dyDescent="0.5">
      <c r="S742" s="37">
        <f t="shared" si="23"/>
        <v>5379.4095540413346</v>
      </c>
      <c r="U742" s="26">
        <f t="shared" si="22"/>
        <v>-0.40260000000000001</v>
      </c>
    </row>
    <row r="743" spans="19:21" ht="14.65" thickBot="1" x14ac:dyDescent="0.5">
      <c r="S743" s="37">
        <f t="shared" si="23"/>
        <v>5433.2036495817483</v>
      </c>
      <c r="U743" s="26">
        <f t="shared" si="22"/>
        <v>-0.40260000000000001</v>
      </c>
    </row>
    <row r="744" spans="19:21" ht="14.65" thickBot="1" x14ac:dyDescent="0.5">
      <c r="S744" s="37">
        <f t="shared" si="23"/>
        <v>5487.5356860775655</v>
      </c>
      <c r="U744" s="26">
        <f t="shared" si="22"/>
        <v>-0.40260000000000001</v>
      </c>
    </row>
    <row r="745" spans="19:21" ht="14.65" thickBot="1" x14ac:dyDescent="0.5">
      <c r="S745" s="37">
        <f t="shared" si="23"/>
        <v>5542.4110429383409</v>
      </c>
      <c r="U745" s="26">
        <f t="shared" si="22"/>
        <v>-0.40260000000000001</v>
      </c>
    </row>
    <row r="746" spans="19:21" ht="14.65" thickBot="1" x14ac:dyDescent="0.5">
      <c r="S746" s="37">
        <f t="shared" si="23"/>
        <v>5597.8351533677242</v>
      </c>
      <c r="U746" s="26">
        <f t="shared" si="22"/>
        <v>-0.40260000000000001</v>
      </c>
    </row>
    <row r="747" spans="19:21" ht="14.65" thickBot="1" x14ac:dyDescent="0.5">
      <c r="S747" s="37">
        <f t="shared" si="23"/>
        <v>5653.8135049014018</v>
      </c>
      <c r="U747" s="26">
        <f t="shared" si="22"/>
        <v>-0.40260000000000001</v>
      </c>
    </row>
    <row r="748" spans="19:21" ht="14.65" thickBot="1" x14ac:dyDescent="0.5">
      <c r="S748" s="37">
        <f t="shared" si="23"/>
        <v>5710.351639950416</v>
      </c>
      <c r="U748" s="26">
        <f t="shared" si="22"/>
        <v>-0.40260000000000001</v>
      </c>
    </row>
    <row r="749" spans="19:21" ht="14.65" thickBot="1" x14ac:dyDescent="0.5">
      <c r="S749" s="37">
        <f t="shared" si="23"/>
        <v>5767.4551563499199</v>
      </c>
      <c r="U749" s="26">
        <f t="shared" si="22"/>
        <v>-0.40260000000000001</v>
      </c>
    </row>
    <row r="750" spans="19:21" ht="14.65" thickBot="1" x14ac:dyDescent="0.5">
      <c r="S750" s="37">
        <f t="shared" si="23"/>
        <v>5825.1297079134192</v>
      </c>
      <c r="U750" s="26">
        <f t="shared" si="22"/>
        <v>-0.40260000000000001</v>
      </c>
    </row>
    <row r="751" spans="19:21" ht="14.65" thickBot="1" x14ac:dyDescent="0.5">
      <c r="S751" s="37">
        <f t="shared" si="23"/>
        <v>5883.3810049925532</v>
      </c>
      <c r="U751" s="26">
        <f t="shared" si="22"/>
        <v>-0.40260000000000001</v>
      </c>
    </row>
    <row r="752" spans="19:21" ht="14.65" thickBot="1" x14ac:dyDescent="0.5">
      <c r="S752" s="37">
        <f t="shared" si="23"/>
        <v>5942.2148150424791</v>
      </c>
      <c r="U752" s="26">
        <f t="shared" si="22"/>
        <v>-0.40260000000000001</v>
      </c>
    </row>
    <row r="753" spans="19:21" ht="14.65" thickBot="1" x14ac:dyDescent="0.5">
      <c r="S753" s="37">
        <f t="shared" si="23"/>
        <v>6001.6369631929037</v>
      </c>
      <c r="U753" s="26">
        <f t="shared" si="22"/>
        <v>-0.40260000000000001</v>
      </c>
    </row>
    <row r="754" spans="19:21" ht="14.65" thickBot="1" x14ac:dyDescent="0.5">
      <c r="S754" s="37">
        <f t="shared" si="23"/>
        <v>6061.6533328248324</v>
      </c>
      <c r="U754" s="26">
        <f t="shared" si="22"/>
        <v>-0.40260000000000001</v>
      </c>
    </row>
    <row r="755" spans="19:21" ht="14.65" thickBot="1" x14ac:dyDescent="0.5">
      <c r="S755" s="37">
        <f t="shared" si="23"/>
        <v>6122.2698661530812</v>
      </c>
      <c r="U755" s="26">
        <f t="shared" si="22"/>
        <v>-0.40260000000000001</v>
      </c>
    </row>
    <row r="756" spans="19:21" ht="14.65" thickBot="1" x14ac:dyDescent="0.5">
      <c r="S756" s="37">
        <f t="shared" si="23"/>
        <v>6183.4925648146118</v>
      </c>
      <c r="U756" s="26">
        <f t="shared" si="22"/>
        <v>-0.40260000000000001</v>
      </c>
    </row>
    <row r="757" spans="19:21" ht="14.65" thickBot="1" x14ac:dyDescent="0.5">
      <c r="S757" s="37">
        <f t="shared" si="23"/>
        <v>6245.3274904627579</v>
      </c>
      <c r="U757" s="26">
        <f t="shared" si="22"/>
        <v>-0.40260000000000001</v>
      </c>
    </row>
    <row r="758" spans="19:21" ht="14.65" thickBot="1" x14ac:dyDescent="0.5">
      <c r="S758" s="37">
        <f t="shared" si="23"/>
        <v>6307.7807653673854</v>
      </c>
      <c r="U758" s="26">
        <f t="shared" si="22"/>
        <v>-0.40260000000000001</v>
      </c>
    </row>
    <row r="759" spans="19:21" ht="14.65" thickBot="1" x14ac:dyDescent="0.5">
      <c r="S759" s="37">
        <f t="shared" si="23"/>
        <v>6370.8585730210589</v>
      </c>
      <c r="U759" s="26">
        <f t="shared" si="22"/>
        <v>-0.40260000000000001</v>
      </c>
    </row>
    <row r="760" spans="19:21" ht="14.65" thickBot="1" x14ac:dyDescent="0.5">
      <c r="S760" s="37">
        <f t="shared" si="23"/>
        <v>6434.5671587512697</v>
      </c>
      <c r="U760" s="26">
        <f t="shared" si="22"/>
        <v>-0.40260000000000001</v>
      </c>
    </row>
    <row r="761" spans="19:21" ht="14.65" thickBot="1" x14ac:dyDescent="0.5">
      <c r="S761" s="37">
        <f t="shared" si="23"/>
        <v>6498.9128303387824</v>
      </c>
      <c r="U761" s="26">
        <f t="shared" si="22"/>
        <v>-0.40260000000000001</v>
      </c>
    </row>
    <row r="762" spans="19:21" ht="14.65" thickBot="1" x14ac:dyDescent="0.5">
      <c r="S762" s="37">
        <f t="shared" si="23"/>
        <v>6563.90195864217</v>
      </c>
      <c r="U762" s="26">
        <f t="shared" si="22"/>
        <v>-0.40260000000000001</v>
      </c>
    </row>
    <row r="763" spans="19:21" ht="14.65" thickBot="1" x14ac:dyDescent="0.5">
      <c r="S763" s="37">
        <f t="shared" si="23"/>
        <v>6629.5409782285915</v>
      </c>
      <c r="U763" s="26">
        <f t="shared" si="22"/>
        <v>-0.40260000000000001</v>
      </c>
    </row>
    <row r="764" spans="19:21" ht="14.65" thickBot="1" x14ac:dyDescent="0.5">
      <c r="S764" s="37">
        <f t="shared" si="23"/>
        <v>6695.8363880108773</v>
      </c>
      <c r="U764" s="26">
        <f t="shared" si="22"/>
        <v>-0.40260000000000001</v>
      </c>
    </row>
    <row r="765" spans="19:21" ht="14.65" thickBot="1" x14ac:dyDescent="0.5">
      <c r="S765" s="37">
        <f t="shared" si="23"/>
        <v>6762.7947518909859</v>
      </c>
      <c r="U765" s="26">
        <f t="shared" si="22"/>
        <v>-0.40260000000000001</v>
      </c>
    </row>
    <row r="766" spans="19:21" ht="14.65" thickBot="1" x14ac:dyDescent="0.5">
      <c r="S766" s="37">
        <f t="shared" si="23"/>
        <v>6830.4226994098963</v>
      </c>
      <c r="U766" s="26">
        <f t="shared" si="22"/>
        <v>-0.40260000000000001</v>
      </c>
    </row>
    <row r="767" spans="19:21" ht="14.65" thickBot="1" x14ac:dyDescent="0.5">
      <c r="S767" s="37">
        <f t="shared" si="23"/>
        <v>6898.7269264039951</v>
      </c>
      <c r="U767" s="26">
        <f t="shared" si="22"/>
        <v>-0.40260000000000001</v>
      </c>
    </row>
    <row r="768" spans="19:21" ht="14.65" thickBot="1" x14ac:dyDescent="0.5">
      <c r="S768" s="37">
        <f t="shared" si="23"/>
        <v>6967.7141956680352</v>
      </c>
      <c r="U768" s="26">
        <f t="shared" si="22"/>
        <v>-0.40260000000000001</v>
      </c>
    </row>
    <row r="769" spans="19:21" ht="14.65" thickBot="1" x14ac:dyDescent="0.5">
      <c r="S769" s="37">
        <f t="shared" si="23"/>
        <v>7037.3913376247156</v>
      </c>
      <c r="U769" s="26">
        <f t="shared" si="22"/>
        <v>-0.40260000000000001</v>
      </c>
    </row>
    <row r="770" spans="19:21" ht="14.65" thickBot="1" x14ac:dyDescent="0.5">
      <c r="S770" s="37">
        <f t="shared" si="23"/>
        <v>7107.765251000963</v>
      </c>
      <c r="U770" s="26">
        <f t="shared" si="22"/>
        <v>-0.40260000000000001</v>
      </c>
    </row>
    <row r="771" spans="19:21" ht="14.65" thickBot="1" x14ac:dyDescent="0.5">
      <c r="S771" s="37">
        <f t="shared" si="23"/>
        <v>7178.842903510973</v>
      </c>
      <c r="U771" s="26">
        <f t="shared" si="22"/>
        <v>-0.40260000000000001</v>
      </c>
    </row>
    <row r="772" spans="19:21" ht="14.65" thickBot="1" x14ac:dyDescent="0.5">
      <c r="S772" s="37">
        <f t="shared" si="23"/>
        <v>7250.6313325460824</v>
      </c>
      <c r="U772" s="26">
        <f t="shared" si="22"/>
        <v>-0.40260000000000001</v>
      </c>
    </row>
    <row r="773" spans="19:21" ht="14.65" thickBot="1" x14ac:dyDescent="0.5">
      <c r="S773" s="37">
        <f t="shared" si="23"/>
        <v>7323.1376458715431</v>
      </c>
      <c r="U773" s="26">
        <f t="shared" si="22"/>
        <v>-0.40260000000000001</v>
      </c>
    </row>
    <row r="774" spans="19:21" ht="14.65" thickBot="1" x14ac:dyDescent="0.5">
      <c r="S774" s="37">
        <f t="shared" si="23"/>
        <v>7396.3690223302583</v>
      </c>
      <c r="U774" s="26">
        <f t="shared" si="22"/>
        <v>-0.40260000000000001</v>
      </c>
    </row>
    <row r="775" spans="19:21" ht="14.65" thickBot="1" x14ac:dyDescent="0.5">
      <c r="S775" s="37">
        <f t="shared" si="23"/>
        <v>7470.3327125535607</v>
      </c>
      <c r="U775" s="26">
        <f t="shared" si="22"/>
        <v>-0.40260000000000001</v>
      </c>
    </row>
    <row r="776" spans="19:21" ht="14.65" thickBot="1" x14ac:dyDescent="0.5">
      <c r="S776" s="37">
        <f t="shared" si="23"/>
        <v>7545.0360396790966</v>
      </c>
      <c r="U776" s="26">
        <f t="shared" si="22"/>
        <v>-0.40260000000000001</v>
      </c>
    </row>
    <row r="777" spans="19:21" ht="14.65" thickBot="1" x14ac:dyDescent="0.5">
      <c r="S777" s="37">
        <f t="shared" si="23"/>
        <v>7620.486400075888</v>
      </c>
      <c r="U777" s="26">
        <f t="shared" si="22"/>
        <v>-0.40260000000000001</v>
      </c>
    </row>
    <row r="778" spans="19:21" ht="14.65" thickBot="1" x14ac:dyDescent="0.5">
      <c r="S778" s="37">
        <f t="shared" si="23"/>
        <v>7696.6912640766468</v>
      </c>
      <c r="U778" s="26">
        <f t="shared" si="22"/>
        <v>-0.40260000000000001</v>
      </c>
    </row>
    <row r="779" spans="19:21" ht="14.65" thickBot="1" x14ac:dyDescent="0.5">
      <c r="S779" s="37">
        <f t="shared" si="23"/>
        <v>7773.658176717413</v>
      </c>
      <c r="U779" s="26">
        <f t="shared" si="22"/>
        <v>-0.40260000000000001</v>
      </c>
    </row>
    <row r="780" spans="19:21" ht="14.65" thickBot="1" x14ac:dyDescent="0.5">
      <c r="S780" s="37">
        <f t="shared" si="23"/>
        <v>7851.3947584845873</v>
      </c>
      <c r="U780" s="26">
        <f t="shared" si="22"/>
        <v>-0.40260000000000001</v>
      </c>
    </row>
    <row r="781" spans="19:21" ht="14.65" thickBot="1" x14ac:dyDescent="0.5">
      <c r="S781" s="37">
        <f t="shared" si="23"/>
        <v>7929.9087060694337</v>
      </c>
      <c r="U781" s="26">
        <f t="shared" si="22"/>
        <v>-0.40260000000000001</v>
      </c>
    </row>
    <row r="782" spans="19:21" ht="14.65" thickBot="1" x14ac:dyDescent="0.5">
      <c r="S782" s="37">
        <f t="shared" si="23"/>
        <v>8009.2077931301283</v>
      </c>
      <c r="U782" s="26">
        <f t="shared" si="22"/>
        <v>-0.40260000000000001</v>
      </c>
    </row>
    <row r="783" spans="19:21" ht="14.65" thickBot="1" x14ac:dyDescent="0.5">
      <c r="S783" s="37">
        <f t="shared" si="23"/>
        <v>8089.2998710614293</v>
      </c>
      <c r="U783" s="26">
        <f t="shared" si="22"/>
        <v>-0.40260000000000001</v>
      </c>
    </row>
    <row r="784" spans="19:21" ht="14.65" thickBot="1" x14ac:dyDescent="0.5">
      <c r="S784" s="37">
        <f t="shared" si="23"/>
        <v>8170.1928697720432</v>
      </c>
      <c r="U784" s="26">
        <f t="shared" si="22"/>
        <v>-0.40260000000000001</v>
      </c>
    </row>
    <row r="785" spans="19:21" ht="14.65" thickBot="1" x14ac:dyDescent="0.5">
      <c r="S785" s="37">
        <f t="shared" si="23"/>
        <v>8251.8947984697643</v>
      </c>
      <c r="U785" s="26">
        <f t="shared" si="22"/>
        <v>-0.40260000000000001</v>
      </c>
    </row>
    <row r="786" spans="19:21" ht="14.65" thickBot="1" x14ac:dyDescent="0.5">
      <c r="S786" s="37">
        <f t="shared" si="23"/>
        <v>8334.4137464544619</v>
      </c>
      <c r="U786" s="26">
        <f t="shared" si="22"/>
        <v>-0.40260000000000001</v>
      </c>
    </row>
    <row r="787" spans="19:21" ht="14.65" thickBot="1" x14ac:dyDescent="0.5">
      <c r="S787" s="37">
        <f t="shared" si="23"/>
        <v>8417.7578839190064</v>
      </c>
      <c r="U787" s="26">
        <f t="shared" ref="U787:U850" si="24">IF(S787&gt;$D$7,-$D$9+$D$10,MIN($D$7-S787-$D$9+$D$10,($D$7-$D$8)-$D$9+$D$10))</f>
        <v>-0.40260000000000001</v>
      </c>
    </row>
    <row r="788" spans="19:21" ht="14.65" thickBot="1" x14ac:dyDescent="0.5">
      <c r="S788" s="37">
        <f t="shared" ref="S788:S851" si="25">S787*(1.01)</f>
        <v>8501.9354627581961</v>
      </c>
      <c r="U788" s="26">
        <f t="shared" si="24"/>
        <v>-0.40260000000000001</v>
      </c>
    </row>
    <row r="789" spans="19:21" ht="14.65" thickBot="1" x14ac:dyDescent="0.5">
      <c r="S789" s="37">
        <f t="shared" si="25"/>
        <v>8586.9548173857784</v>
      </c>
      <c r="U789" s="26">
        <f t="shared" si="24"/>
        <v>-0.40260000000000001</v>
      </c>
    </row>
    <row r="790" spans="19:21" ht="14.65" thickBot="1" x14ac:dyDescent="0.5">
      <c r="S790" s="37">
        <f t="shared" si="25"/>
        <v>8672.8243655596361</v>
      </c>
      <c r="U790" s="26">
        <f t="shared" si="24"/>
        <v>-0.40260000000000001</v>
      </c>
    </row>
    <row r="791" spans="19:21" ht="14.65" thickBot="1" x14ac:dyDescent="0.5">
      <c r="S791" s="37">
        <f t="shared" si="25"/>
        <v>8759.5526092152322</v>
      </c>
      <c r="U791" s="26">
        <f t="shared" si="24"/>
        <v>-0.40260000000000001</v>
      </c>
    </row>
    <row r="792" spans="19:21" ht="14.65" thickBot="1" x14ac:dyDescent="0.5">
      <c r="S792" s="37">
        <f t="shared" si="25"/>
        <v>8847.148135307385</v>
      </c>
      <c r="U792" s="26">
        <f t="shared" si="24"/>
        <v>-0.40260000000000001</v>
      </c>
    </row>
    <row r="793" spans="19:21" ht="14.65" thickBot="1" x14ac:dyDescent="0.5">
      <c r="S793" s="37">
        <f t="shared" si="25"/>
        <v>8935.6196166604586</v>
      </c>
      <c r="U793" s="26">
        <f t="shared" si="24"/>
        <v>-0.40260000000000001</v>
      </c>
    </row>
    <row r="794" spans="19:21" ht="14.65" thickBot="1" x14ac:dyDescent="0.5">
      <c r="S794" s="37">
        <f t="shared" si="25"/>
        <v>9024.9758128270641</v>
      </c>
      <c r="U794" s="26">
        <f t="shared" si="24"/>
        <v>-0.40260000000000001</v>
      </c>
    </row>
    <row r="795" spans="19:21" ht="14.65" thickBot="1" x14ac:dyDescent="0.5">
      <c r="S795" s="37">
        <f t="shared" si="25"/>
        <v>9115.2255709553356</v>
      </c>
      <c r="U795" s="26">
        <f t="shared" si="24"/>
        <v>-0.40260000000000001</v>
      </c>
    </row>
    <row r="796" spans="19:21" ht="14.65" thickBot="1" x14ac:dyDescent="0.5">
      <c r="S796" s="37">
        <f t="shared" si="25"/>
        <v>9206.3778266648897</v>
      </c>
      <c r="U796" s="26">
        <f t="shared" si="24"/>
        <v>-0.40260000000000001</v>
      </c>
    </row>
    <row r="797" spans="19:21" ht="14.65" thickBot="1" x14ac:dyDescent="0.5">
      <c r="S797" s="37">
        <f t="shared" si="25"/>
        <v>9298.4416049315387</v>
      </c>
      <c r="U797" s="26">
        <f t="shared" si="24"/>
        <v>-0.40260000000000001</v>
      </c>
    </row>
    <row r="798" spans="19:21" ht="14.65" thickBot="1" x14ac:dyDescent="0.5">
      <c r="S798" s="37">
        <f t="shared" si="25"/>
        <v>9391.4260209808544</v>
      </c>
      <c r="U798" s="26">
        <f t="shared" si="24"/>
        <v>-0.40260000000000001</v>
      </c>
    </row>
    <row r="799" spans="19:21" ht="14.65" thickBot="1" x14ac:dyDescent="0.5">
      <c r="S799" s="37">
        <f t="shared" si="25"/>
        <v>9485.3402811906635</v>
      </c>
      <c r="U799" s="26">
        <f t="shared" si="24"/>
        <v>-0.40260000000000001</v>
      </c>
    </row>
    <row r="800" spans="19:21" ht="14.65" thickBot="1" x14ac:dyDescent="0.5">
      <c r="S800" s="37">
        <f t="shared" si="25"/>
        <v>9580.1936840025701</v>
      </c>
      <c r="U800" s="26">
        <f t="shared" si="24"/>
        <v>-0.40260000000000001</v>
      </c>
    </row>
    <row r="801" spans="19:21" ht="14.65" thickBot="1" x14ac:dyDescent="0.5">
      <c r="S801" s="37">
        <f t="shared" si="25"/>
        <v>9675.9956208425956</v>
      </c>
      <c r="U801" s="26">
        <f t="shared" si="24"/>
        <v>-0.40260000000000001</v>
      </c>
    </row>
    <row r="802" spans="19:21" ht="14.65" thickBot="1" x14ac:dyDescent="0.5">
      <c r="S802" s="37">
        <f t="shared" si="25"/>
        <v>9772.7555770510207</v>
      </c>
      <c r="U802" s="26">
        <f t="shared" si="24"/>
        <v>-0.40260000000000001</v>
      </c>
    </row>
    <row r="803" spans="19:21" ht="14.65" thickBot="1" x14ac:dyDescent="0.5">
      <c r="S803" s="37">
        <f t="shared" si="25"/>
        <v>9870.4831328215314</v>
      </c>
      <c r="U803" s="26">
        <f t="shared" si="24"/>
        <v>-0.40260000000000001</v>
      </c>
    </row>
    <row r="804" spans="19:21" ht="14.65" thickBot="1" x14ac:dyDescent="0.5">
      <c r="S804" s="37">
        <f t="shared" si="25"/>
        <v>9969.1879641497471</v>
      </c>
      <c r="U804" s="26">
        <f t="shared" si="24"/>
        <v>-0.40260000000000001</v>
      </c>
    </row>
    <row r="805" spans="19:21" ht="14.65" thickBot="1" x14ac:dyDescent="0.5">
      <c r="S805" s="37">
        <f t="shared" si="25"/>
        <v>10068.879843791245</v>
      </c>
      <c r="U805" s="26">
        <f t="shared" si="24"/>
        <v>-0.40260000000000001</v>
      </c>
    </row>
    <row r="806" spans="19:21" ht="14.65" thickBot="1" x14ac:dyDescent="0.5">
      <c r="S806" s="37">
        <f t="shared" si="25"/>
        <v>10169.568642229156</v>
      </c>
      <c r="U806" s="26">
        <f t="shared" si="24"/>
        <v>-0.40260000000000001</v>
      </c>
    </row>
    <row r="807" spans="19:21" ht="14.65" thickBot="1" x14ac:dyDescent="0.5">
      <c r="S807" s="37">
        <f t="shared" si="25"/>
        <v>10271.264328651449</v>
      </c>
      <c r="U807" s="26">
        <f t="shared" si="24"/>
        <v>-0.40260000000000001</v>
      </c>
    </row>
    <row r="808" spans="19:21" ht="14.65" thickBot="1" x14ac:dyDescent="0.5">
      <c r="S808" s="37">
        <f t="shared" si="25"/>
        <v>10373.976971937964</v>
      </c>
      <c r="U808" s="26">
        <f t="shared" si="24"/>
        <v>-0.40260000000000001</v>
      </c>
    </row>
    <row r="809" spans="19:21" ht="14.65" thickBot="1" x14ac:dyDescent="0.5">
      <c r="S809" s="37">
        <f t="shared" si="25"/>
        <v>10477.716741657343</v>
      </c>
      <c r="U809" s="26">
        <f t="shared" si="24"/>
        <v>-0.40260000000000001</v>
      </c>
    </row>
    <row r="810" spans="19:21" ht="14.65" thickBot="1" x14ac:dyDescent="0.5">
      <c r="S810" s="37">
        <f t="shared" si="25"/>
        <v>10582.493909073917</v>
      </c>
      <c r="U810" s="26">
        <f t="shared" si="24"/>
        <v>-0.40260000000000001</v>
      </c>
    </row>
    <row r="811" spans="19:21" ht="14.65" thickBot="1" x14ac:dyDescent="0.5">
      <c r="S811" s="37">
        <f t="shared" si="25"/>
        <v>10688.318848164656</v>
      </c>
      <c r="U811" s="26">
        <f t="shared" si="24"/>
        <v>-0.40260000000000001</v>
      </c>
    </row>
    <row r="812" spans="19:21" ht="14.65" thickBot="1" x14ac:dyDescent="0.5">
      <c r="S812" s="37">
        <f t="shared" si="25"/>
        <v>10795.202036646302</v>
      </c>
      <c r="U812" s="26">
        <f t="shared" si="24"/>
        <v>-0.40260000000000001</v>
      </c>
    </row>
    <row r="813" spans="19:21" ht="14.65" thickBot="1" x14ac:dyDescent="0.5">
      <c r="S813" s="37">
        <f t="shared" si="25"/>
        <v>10903.154057012765</v>
      </c>
      <c r="U813" s="26">
        <f t="shared" si="24"/>
        <v>-0.40260000000000001</v>
      </c>
    </row>
    <row r="814" spans="19:21" ht="14.65" thickBot="1" x14ac:dyDescent="0.5">
      <c r="S814" s="37">
        <f t="shared" si="25"/>
        <v>11012.185597582893</v>
      </c>
      <c r="U814" s="26">
        <f t="shared" si="24"/>
        <v>-0.40260000000000001</v>
      </c>
    </row>
    <row r="815" spans="19:21" ht="14.65" thickBot="1" x14ac:dyDescent="0.5">
      <c r="S815" s="37">
        <f t="shared" si="25"/>
        <v>11122.307453558722</v>
      </c>
      <c r="U815" s="26">
        <f t="shared" si="24"/>
        <v>-0.40260000000000001</v>
      </c>
    </row>
    <row r="816" spans="19:21" ht="14.65" thickBot="1" x14ac:dyDescent="0.5">
      <c r="S816" s="37">
        <f t="shared" si="25"/>
        <v>11233.530528094308</v>
      </c>
      <c r="U816" s="26">
        <f t="shared" si="24"/>
        <v>-0.40260000000000001</v>
      </c>
    </row>
    <row r="817" spans="19:21" ht="14.65" thickBot="1" x14ac:dyDescent="0.5">
      <c r="S817" s="37">
        <f t="shared" si="25"/>
        <v>11345.865833375252</v>
      </c>
      <c r="U817" s="26">
        <f t="shared" si="24"/>
        <v>-0.40260000000000001</v>
      </c>
    </row>
    <row r="818" spans="19:21" ht="14.65" thickBot="1" x14ac:dyDescent="0.5">
      <c r="S818" s="37">
        <f t="shared" si="25"/>
        <v>11459.324491709005</v>
      </c>
      <c r="U818" s="26">
        <f t="shared" si="24"/>
        <v>-0.40260000000000001</v>
      </c>
    </row>
    <row r="819" spans="19:21" ht="14.65" thickBot="1" x14ac:dyDescent="0.5">
      <c r="S819" s="37">
        <f t="shared" si="25"/>
        <v>11573.917736626096</v>
      </c>
      <c r="U819" s="26">
        <f t="shared" si="24"/>
        <v>-0.40260000000000001</v>
      </c>
    </row>
    <row r="820" spans="19:21" ht="14.65" thickBot="1" x14ac:dyDescent="0.5">
      <c r="S820" s="37">
        <f t="shared" si="25"/>
        <v>11689.656913992356</v>
      </c>
      <c r="U820" s="26">
        <f t="shared" si="24"/>
        <v>-0.40260000000000001</v>
      </c>
    </row>
    <row r="821" spans="19:21" ht="14.65" thickBot="1" x14ac:dyDescent="0.5">
      <c r="S821" s="37">
        <f t="shared" si="25"/>
        <v>11806.55348313228</v>
      </c>
      <c r="U821" s="26">
        <f t="shared" si="24"/>
        <v>-0.40260000000000001</v>
      </c>
    </row>
    <row r="822" spans="19:21" ht="14.65" thickBot="1" x14ac:dyDescent="0.5">
      <c r="S822" s="37">
        <f t="shared" si="25"/>
        <v>11924.619017963603</v>
      </c>
      <c r="U822" s="26">
        <f t="shared" si="24"/>
        <v>-0.40260000000000001</v>
      </c>
    </row>
    <row r="823" spans="19:21" ht="14.65" thickBot="1" x14ac:dyDescent="0.5">
      <c r="S823" s="37">
        <f t="shared" si="25"/>
        <v>12043.865208143239</v>
      </c>
      <c r="U823" s="26">
        <f t="shared" si="24"/>
        <v>-0.40260000000000001</v>
      </c>
    </row>
    <row r="824" spans="19:21" ht="14.65" thickBot="1" x14ac:dyDescent="0.5">
      <c r="S824" s="37">
        <f t="shared" si="25"/>
        <v>12164.303860224672</v>
      </c>
      <c r="U824" s="26">
        <f t="shared" si="24"/>
        <v>-0.40260000000000001</v>
      </c>
    </row>
    <row r="825" spans="19:21" ht="14.65" thickBot="1" x14ac:dyDescent="0.5">
      <c r="S825" s="37">
        <f t="shared" si="25"/>
        <v>12285.94689882692</v>
      </c>
      <c r="U825" s="26">
        <f t="shared" si="24"/>
        <v>-0.40260000000000001</v>
      </c>
    </row>
    <row r="826" spans="19:21" ht="14.65" thickBot="1" x14ac:dyDescent="0.5">
      <c r="S826" s="37">
        <f t="shared" si="25"/>
        <v>12408.806367815188</v>
      </c>
      <c r="U826" s="26">
        <f t="shared" si="24"/>
        <v>-0.40260000000000001</v>
      </c>
    </row>
    <row r="827" spans="19:21" ht="14.65" thickBot="1" x14ac:dyDescent="0.5">
      <c r="S827" s="37">
        <f t="shared" si="25"/>
        <v>12532.89443149334</v>
      </c>
      <c r="U827" s="26">
        <f t="shared" si="24"/>
        <v>-0.40260000000000001</v>
      </c>
    </row>
    <row r="828" spans="19:21" ht="14.65" thickBot="1" x14ac:dyDescent="0.5">
      <c r="S828" s="37">
        <f t="shared" si="25"/>
        <v>12658.223375808273</v>
      </c>
      <c r="U828" s="26">
        <f t="shared" si="24"/>
        <v>-0.40260000000000001</v>
      </c>
    </row>
    <row r="829" spans="19:21" ht="14.65" thickBot="1" x14ac:dyDescent="0.5">
      <c r="S829" s="37">
        <f t="shared" si="25"/>
        <v>12784.805609566356</v>
      </c>
      <c r="U829" s="26">
        <f t="shared" si="24"/>
        <v>-0.40260000000000001</v>
      </c>
    </row>
    <row r="830" spans="19:21" ht="14.65" thickBot="1" x14ac:dyDescent="0.5">
      <c r="S830" s="37">
        <f t="shared" si="25"/>
        <v>12912.653665662019</v>
      </c>
      <c r="U830" s="26">
        <f t="shared" si="24"/>
        <v>-0.40260000000000001</v>
      </c>
    </row>
    <row r="831" spans="19:21" ht="14.65" thickBot="1" x14ac:dyDescent="0.5">
      <c r="S831" s="37">
        <f t="shared" si="25"/>
        <v>13041.78020231864</v>
      </c>
      <c r="U831" s="26">
        <f t="shared" si="24"/>
        <v>-0.40260000000000001</v>
      </c>
    </row>
    <row r="832" spans="19:21" ht="14.65" thickBot="1" x14ac:dyDescent="0.5">
      <c r="S832" s="37">
        <f t="shared" si="25"/>
        <v>13172.198004341826</v>
      </c>
      <c r="U832" s="26">
        <f t="shared" si="24"/>
        <v>-0.40260000000000001</v>
      </c>
    </row>
    <row r="833" spans="19:21" ht="14.65" thickBot="1" x14ac:dyDescent="0.5">
      <c r="S833" s="37">
        <f t="shared" si="25"/>
        <v>13303.919984385244</v>
      </c>
      <c r="U833" s="26">
        <f t="shared" si="24"/>
        <v>-0.40260000000000001</v>
      </c>
    </row>
    <row r="834" spans="19:21" ht="14.65" thickBot="1" x14ac:dyDescent="0.5">
      <c r="S834" s="37">
        <f t="shared" si="25"/>
        <v>13436.959184229096</v>
      </c>
      <c r="U834" s="26">
        <f t="shared" si="24"/>
        <v>-0.40260000000000001</v>
      </c>
    </row>
    <row r="835" spans="19:21" ht="14.65" thickBot="1" x14ac:dyDescent="0.5">
      <c r="S835" s="37">
        <f t="shared" si="25"/>
        <v>13571.328776071387</v>
      </c>
      <c r="U835" s="26">
        <f t="shared" si="24"/>
        <v>-0.40260000000000001</v>
      </c>
    </row>
    <row r="836" spans="19:21" ht="14.65" thickBot="1" x14ac:dyDescent="0.5">
      <c r="S836" s="37">
        <f t="shared" si="25"/>
        <v>13707.042063832101</v>
      </c>
      <c r="U836" s="26">
        <f t="shared" si="24"/>
        <v>-0.40260000000000001</v>
      </c>
    </row>
    <row r="837" spans="19:21" ht="14.65" thickBot="1" x14ac:dyDescent="0.5">
      <c r="S837" s="37">
        <f t="shared" si="25"/>
        <v>13844.112484470423</v>
      </c>
      <c r="U837" s="26">
        <f t="shared" si="24"/>
        <v>-0.40260000000000001</v>
      </c>
    </row>
    <row r="838" spans="19:21" ht="14.65" thickBot="1" x14ac:dyDescent="0.5">
      <c r="S838" s="37">
        <f t="shared" si="25"/>
        <v>13982.553609315128</v>
      </c>
      <c r="U838" s="26">
        <f t="shared" si="24"/>
        <v>-0.40260000000000001</v>
      </c>
    </row>
    <row r="839" spans="19:21" ht="14.65" thickBot="1" x14ac:dyDescent="0.5">
      <c r="S839" s="37">
        <f t="shared" si="25"/>
        <v>14122.379145408278</v>
      </c>
      <c r="U839" s="26">
        <f t="shared" si="24"/>
        <v>-0.40260000000000001</v>
      </c>
    </row>
    <row r="840" spans="19:21" ht="14.65" thickBot="1" x14ac:dyDescent="0.5">
      <c r="S840" s="37">
        <f t="shared" si="25"/>
        <v>14263.602936862362</v>
      </c>
      <c r="U840" s="26">
        <f t="shared" si="24"/>
        <v>-0.40260000000000001</v>
      </c>
    </row>
    <row r="841" spans="19:21" ht="14.65" thickBot="1" x14ac:dyDescent="0.5">
      <c r="S841" s="37">
        <f t="shared" si="25"/>
        <v>14406.238966230985</v>
      </c>
      <c r="U841" s="26">
        <f t="shared" si="24"/>
        <v>-0.40260000000000001</v>
      </c>
    </row>
    <row r="842" spans="19:21" ht="14.65" thickBot="1" x14ac:dyDescent="0.5">
      <c r="S842" s="37">
        <f t="shared" si="25"/>
        <v>14550.301355893294</v>
      </c>
      <c r="U842" s="26">
        <f t="shared" si="24"/>
        <v>-0.40260000000000001</v>
      </c>
    </row>
    <row r="843" spans="19:21" ht="14.65" thickBot="1" x14ac:dyDescent="0.5">
      <c r="S843" s="37">
        <f t="shared" si="25"/>
        <v>14695.804369452228</v>
      </c>
      <c r="U843" s="26">
        <f t="shared" si="24"/>
        <v>-0.40260000000000001</v>
      </c>
    </row>
    <row r="844" spans="19:21" ht="14.65" thickBot="1" x14ac:dyDescent="0.5">
      <c r="S844" s="37">
        <f t="shared" si="25"/>
        <v>14842.762413146749</v>
      </c>
      <c r="U844" s="26">
        <f t="shared" si="24"/>
        <v>-0.40260000000000001</v>
      </c>
    </row>
    <row r="845" spans="19:21" ht="14.65" thickBot="1" x14ac:dyDescent="0.5">
      <c r="S845" s="37">
        <f t="shared" si="25"/>
        <v>14991.190037278217</v>
      </c>
      <c r="U845" s="26">
        <f t="shared" si="24"/>
        <v>-0.40260000000000001</v>
      </c>
    </row>
    <row r="846" spans="19:21" ht="14.65" thickBot="1" x14ac:dyDescent="0.5">
      <c r="S846" s="37">
        <f t="shared" si="25"/>
        <v>15141.101937650999</v>
      </c>
      <c r="U846" s="26">
        <f t="shared" si="24"/>
        <v>-0.40260000000000001</v>
      </c>
    </row>
    <row r="847" spans="19:21" ht="14.65" thickBot="1" x14ac:dyDescent="0.5">
      <c r="S847" s="37">
        <f t="shared" si="25"/>
        <v>15292.512957027509</v>
      </c>
      <c r="U847" s="26">
        <f t="shared" si="24"/>
        <v>-0.40260000000000001</v>
      </c>
    </row>
    <row r="848" spans="19:21" ht="14.65" thickBot="1" x14ac:dyDescent="0.5">
      <c r="S848" s="37">
        <f t="shared" si="25"/>
        <v>15445.438086597786</v>
      </c>
      <c r="U848" s="26">
        <f t="shared" si="24"/>
        <v>-0.40260000000000001</v>
      </c>
    </row>
    <row r="849" spans="19:21" ht="14.65" thickBot="1" x14ac:dyDescent="0.5">
      <c r="S849" s="37">
        <f t="shared" si="25"/>
        <v>15599.892467463764</v>
      </c>
      <c r="U849" s="26">
        <f t="shared" si="24"/>
        <v>-0.40260000000000001</v>
      </c>
    </row>
    <row r="850" spans="19:21" ht="14.65" thickBot="1" x14ac:dyDescent="0.5">
      <c r="S850" s="37">
        <f t="shared" si="25"/>
        <v>15755.891392138401</v>
      </c>
      <c r="U850" s="26">
        <f t="shared" si="24"/>
        <v>-0.40260000000000001</v>
      </c>
    </row>
    <row r="851" spans="19:21" ht="14.65" thickBot="1" x14ac:dyDescent="0.5">
      <c r="S851" s="37">
        <f t="shared" si="25"/>
        <v>15913.450306059785</v>
      </c>
      <c r="U851" s="26">
        <f t="shared" ref="U851:U914" si="26">IF(S851&gt;$D$7,-$D$9+$D$10,MIN($D$7-S851-$D$9+$D$10,($D$7-$D$8)-$D$9+$D$10))</f>
        <v>-0.40260000000000001</v>
      </c>
    </row>
    <row r="852" spans="19:21" ht="14.65" thickBot="1" x14ac:dyDescent="0.5">
      <c r="S852" s="37">
        <f t="shared" ref="S852:S915" si="27">S851*(1.01)</f>
        <v>16072.584809120382</v>
      </c>
      <c r="U852" s="26">
        <f t="shared" si="26"/>
        <v>-0.40260000000000001</v>
      </c>
    </row>
    <row r="853" spans="19:21" ht="14.65" thickBot="1" x14ac:dyDescent="0.5">
      <c r="S853" s="37">
        <f t="shared" si="27"/>
        <v>16233.310657211587</v>
      </c>
      <c r="U853" s="26">
        <f t="shared" si="26"/>
        <v>-0.40260000000000001</v>
      </c>
    </row>
    <row r="854" spans="19:21" ht="14.65" thickBot="1" x14ac:dyDescent="0.5">
      <c r="S854" s="37">
        <f t="shared" si="27"/>
        <v>16395.643763783704</v>
      </c>
      <c r="U854" s="26">
        <f t="shared" si="26"/>
        <v>-0.40260000000000001</v>
      </c>
    </row>
    <row r="855" spans="19:21" ht="14.65" thickBot="1" x14ac:dyDescent="0.5">
      <c r="S855" s="37">
        <f t="shared" si="27"/>
        <v>16559.600201421541</v>
      </c>
      <c r="U855" s="26">
        <f t="shared" si="26"/>
        <v>-0.40260000000000001</v>
      </c>
    </row>
    <row r="856" spans="19:21" ht="14.65" thickBot="1" x14ac:dyDescent="0.5">
      <c r="S856" s="37">
        <f t="shared" si="27"/>
        <v>16725.196203435757</v>
      </c>
      <c r="U856" s="26">
        <f t="shared" si="26"/>
        <v>-0.40260000000000001</v>
      </c>
    </row>
    <row r="857" spans="19:21" ht="14.65" thickBot="1" x14ac:dyDescent="0.5">
      <c r="S857" s="37">
        <f t="shared" si="27"/>
        <v>16892.448165470116</v>
      </c>
      <c r="U857" s="26">
        <f t="shared" si="26"/>
        <v>-0.40260000000000001</v>
      </c>
    </row>
    <row r="858" spans="19:21" ht="14.65" thickBot="1" x14ac:dyDescent="0.5">
      <c r="S858" s="37">
        <f t="shared" si="27"/>
        <v>17061.372647124816</v>
      </c>
      <c r="U858" s="26">
        <f t="shared" si="26"/>
        <v>-0.40260000000000001</v>
      </c>
    </row>
    <row r="859" spans="19:21" ht="14.65" thickBot="1" x14ac:dyDescent="0.5">
      <c r="S859" s="37">
        <f t="shared" si="27"/>
        <v>17231.986373596064</v>
      </c>
      <c r="U859" s="26">
        <f t="shared" si="26"/>
        <v>-0.40260000000000001</v>
      </c>
    </row>
    <row r="860" spans="19:21" ht="14.65" thickBot="1" x14ac:dyDescent="0.5">
      <c r="S860" s="37">
        <f t="shared" si="27"/>
        <v>17404.306237332024</v>
      </c>
      <c r="U860" s="26">
        <f t="shared" si="26"/>
        <v>-0.40260000000000001</v>
      </c>
    </row>
    <row r="861" spans="19:21" ht="14.65" thickBot="1" x14ac:dyDescent="0.5">
      <c r="S861" s="37">
        <f t="shared" si="27"/>
        <v>17578.349299705344</v>
      </c>
      <c r="U861" s="26">
        <f t="shared" si="26"/>
        <v>-0.40260000000000001</v>
      </c>
    </row>
    <row r="862" spans="19:21" ht="14.65" thickBot="1" x14ac:dyDescent="0.5">
      <c r="S862" s="37">
        <f t="shared" si="27"/>
        <v>17754.132792702396</v>
      </c>
      <c r="U862" s="26">
        <f t="shared" si="26"/>
        <v>-0.40260000000000001</v>
      </c>
    </row>
    <row r="863" spans="19:21" ht="14.65" thickBot="1" x14ac:dyDescent="0.5">
      <c r="S863" s="37">
        <f t="shared" si="27"/>
        <v>17931.674120629421</v>
      </c>
      <c r="U863" s="26">
        <f t="shared" si="26"/>
        <v>-0.40260000000000001</v>
      </c>
    </row>
    <row r="864" spans="19:21" ht="14.65" thickBot="1" x14ac:dyDescent="0.5">
      <c r="S864" s="37">
        <f t="shared" si="27"/>
        <v>18110.990861835715</v>
      </c>
      <c r="U864" s="26">
        <f t="shared" si="26"/>
        <v>-0.40260000000000001</v>
      </c>
    </row>
    <row r="865" spans="19:21" ht="14.65" thickBot="1" x14ac:dyDescent="0.5">
      <c r="S865" s="37">
        <f t="shared" si="27"/>
        <v>18292.100770454072</v>
      </c>
      <c r="U865" s="26">
        <f t="shared" si="26"/>
        <v>-0.40260000000000001</v>
      </c>
    </row>
    <row r="866" spans="19:21" ht="14.65" thickBot="1" x14ac:dyDescent="0.5">
      <c r="S866" s="37">
        <f t="shared" si="27"/>
        <v>18475.021778158611</v>
      </c>
      <c r="U866" s="26">
        <f t="shared" si="26"/>
        <v>-0.40260000000000001</v>
      </c>
    </row>
    <row r="867" spans="19:21" ht="14.65" thickBot="1" x14ac:dyDescent="0.5">
      <c r="S867" s="37">
        <f t="shared" si="27"/>
        <v>18659.771995940198</v>
      </c>
      <c r="U867" s="26">
        <f t="shared" si="26"/>
        <v>-0.40260000000000001</v>
      </c>
    </row>
    <row r="868" spans="19:21" ht="14.65" thickBot="1" x14ac:dyDescent="0.5">
      <c r="S868" s="37">
        <f t="shared" si="27"/>
        <v>18846.3697158996</v>
      </c>
      <c r="U868" s="26">
        <f t="shared" si="26"/>
        <v>-0.40260000000000001</v>
      </c>
    </row>
    <row r="869" spans="19:21" ht="14.65" thickBot="1" x14ac:dyDescent="0.5">
      <c r="S869" s="37">
        <f t="shared" si="27"/>
        <v>19034.833413058597</v>
      </c>
      <c r="U869" s="26">
        <f t="shared" si="26"/>
        <v>-0.40260000000000001</v>
      </c>
    </row>
    <row r="870" spans="19:21" ht="14.65" thickBot="1" x14ac:dyDescent="0.5">
      <c r="S870" s="37">
        <f t="shared" si="27"/>
        <v>19225.181747189185</v>
      </c>
      <c r="U870" s="26">
        <f t="shared" si="26"/>
        <v>-0.40260000000000001</v>
      </c>
    </row>
    <row r="871" spans="19:21" ht="14.65" thickBot="1" x14ac:dyDescent="0.5">
      <c r="S871" s="37">
        <f t="shared" si="27"/>
        <v>19417.433564661078</v>
      </c>
      <c r="U871" s="26">
        <f t="shared" si="26"/>
        <v>-0.40260000000000001</v>
      </c>
    </row>
    <row r="872" spans="19:21" ht="14.65" thickBot="1" x14ac:dyDescent="0.5">
      <c r="S872" s="37">
        <f t="shared" si="27"/>
        <v>19611.607900307688</v>
      </c>
      <c r="U872" s="26">
        <f t="shared" si="26"/>
        <v>-0.40260000000000001</v>
      </c>
    </row>
    <row r="873" spans="19:21" ht="14.65" thickBot="1" x14ac:dyDescent="0.5">
      <c r="S873" s="37">
        <f t="shared" si="27"/>
        <v>19807.723979310766</v>
      </c>
      <c r="U873" s="26">
        <f t="shared" si="26"/>
        <v>-0.40260000000000001</v>
      </c>
    </row>
    <row r="874" spans="19:21" ht="14.65" thickBot="1" x14ac:dyDescent="0.5">
      <c r="S874" s="37">
        <f t="shared" si="27"/>
        <v>20005.801219103872</v>
      </c>
      <c r="U874" s="26">
        <f t="shared" si="26"/>
        <v>-0.40260000000000001</v>
      </c>
    </row>
    <row r="875" spans="19:21" ht="14.65" thickBot="1" x14ac:dyDescent="0.5">
      <c r="S875" s="37">
        <f t="shared" si="27"/>
        <v>20205.859231294911</v>
      </c>
      <c r="U875" s="26">
        <f t="shared" si="26"/>
        <v>-0.40260000000000001</v>
      </c>
    </row>
    <row r="876" spans="19:21" ht="14.65" thickBot="1" x14ac:dyDescent="0.5">
      <c r="S876" s="37">
        <f t="shared" si="27"/>
        <v>20407.917823607862</v>
      </c>
      <c r="U876" s="26">
        <f t="shared" si="26"/>
        <v>-0.40260000000000001</v>
      </c>
    </row>
    <row r="877" spans="19:21" ht="14.65" thickBot="1" x14ac:dyDescent="0.5">
      <c r="S877" s="37">
        <f t="shared" si="27"/>
        <v>20611.997001843942</v>
      </c>
      <c r="U877" s="26">
        <f t="shared" si="26"/>
        <v>-0.40260000000000001</v>
      </c>
    </row>
    <row r="878" spans="19:21" ht="14.65" thickBot="1" x14ac:dyDescent="0.5">
      <c r="S878" s="37">
        <f t="shared" si="27"/>
        <v>20818.116971862382</v>
      </c>
      <c r="U878" s="26">
        <f t="shared" si="26"/>
        <v>-0.40260000000000001</v>
      </c>
    </row>
    <row r="879" spans="19:21" ht="14.65" thickBot="1" x14ac:dyDescent="0.5">
      <c r="S879" s="37">
        <f t="shared" si="27"/>
        <v>21026.298141581006</v>
      </c>
      <c r="U879" s="26">
        <f t="shared" si="26"/>
        <v>-0.40260000000000001</v>
      </c>
    </row>
    <row r="880" spans="19:21" ht="14.65" thickBot="1" x14ac:dyDescent="0.5">
      <c r="S880" s="37">
        <f t="shared" si="27"/>
        <v>21236.561122996816</v>
      </c>
      <c r="U880" s="26">
        <f t="shared" si="26"/>
        <v>-0.40260000000000001</v>
      </c>
    </row>
    <row r="881" spans="19:21" ht="14.65" thickBot="1" x14ac:dyDescent="0.5">
      <c r="S881" s="37">
        <f t="shared" si="27"/>
        <v>21448.926734226785</v>
      </c>
      <c r="U881" s="26">
        <f t="shared" si="26"/>
        <v>-0.40260000000000001</v>
      </c>
    </row>
    <row r="882" spans="19:21" ht="14.65" thickBot="1" x14ac:dyDescent="0.5">
      <c r="S882" s="37">
        <f t="shared" si="27"/>
        <v>21663.416001569054</v>
      </c>
      <c r="U882" s="26">
        <f t="shared" si="26"/>
        <v>-0.40260000000000001</v>
      </c>
    </row>
    <row r="883" spans="19:21" ht="14.65" thickBot="1" x14ac:dyDescent="0.5">
      <c r="S883" s="37">
        <f t="shared" si="27"/>
        <v>21880.050161584746</v>
      </c>
      <c r="U883" s="26">
        <f t="shared" si="26"/>
        <v>-0.40260000000000001</v>
      </c>
    </row>
    <row r="884" spans="19:21" ht="14.65" thickBot="1" x14ac:dyDescent="0.5">
      <c r="S884" s="37">
        <f t="shared" si="27"/>
        <v>22098.850663200592</v>
      </c>
      <c r="U884" s="26">
        <f t="shared" si="26"/>
        <v>-0.40260000000000001</v>
      </c>
    </row>
    <row r="885" spans="19:21" ht="14.65" thickBot="1" x14ac:dyDescent="0.5">
      <c r="S885" s="37">
        <f t="shared" si="27"/>
        <v>22319.839169832598</v>
      </c>
      <c r="U885" s="26">
        <f t="shared" si="26"/>
        <v>-0.40260000000000001</v>
      </c>
    </row>
    <row r="886" spans="19:21" ht="14.65" thickBot="1" x14ac:dyDescent="0.5">
      <c r="S886" s="37">
        <f t="shared" si="27"/>
        <v>22543.037561530924</v>
      </c>
      <c r="U886" s="26">
        <f t="shared" si="26"/>
        <v>-0.40260000000000001</v>
      </c>
    </row>
    <row r="887" spans="19:21" ht="14.65" thickBot="1" x14ac:dyDescent="0.5">
      <c r="S887" s="37">
        <f t="shared" si="27"/>
        <v>22768.467937146233</v>
      </c>
      <c r="U887" s="26">
        <f t="shared" si="26"/>
        <v>-0.40260000000000001</v>
      </c>
    </row>
    <row r="888" spans="19:21" ht="14.65" thickBot="1" x14ac:dyDescent="0.5">
      <c r="S888" s="37">
        <f t="shared" si="27"/>
        <v>22996.152616517695</v>
      </c>
      <c r="U888" s="26">
        <f t="shared" si="26"/>
        <v>-0.40260000000000001</v>
      </c>
    </row>
    <row r="889" spans="19:21" ht="14.65" thickBot="1" x14ac:dyDescent="0.5">
      <c r="S889" s="37">
        <f t="shared" si="27"/>
        <v>23226.114142682873</v>
      </c>
      <c r="U889" s="26">
        <f t="shared" si="26"/>
        <v>-0.40260000000000001</v>
      </c>
    </row>
    <row r="890" spans="19:21" ht="14.65" thickBot="1" x14ac:dyDescent="0.5">
      <c r="S890" s="37">
        <f t="shared" si="27"/>
        <v>23458.375284109701</v>
      </c>
      <c r="U890" s="26">
        <f t="shared" si="26"/>
        <v>-0.40260000000000001</v>
      </c>
    </row>
    <row r="891" spans="19:21" ht="14.65" thickBot="1" x14ac:dyDescent="0.5">
      <c r="S891" s="37">
        <f t="shared" si="27"/>
        <v>23692.959036950797</v>
      </c>
      <c r="U891" s="26">
        <f t="shared" si="26"/>
        <v>-0.40260000000000001</v>
      </c>
    </row>
    <row r="892" spans="19:21" ht="14.65" thickBot="1" x14ac:dyDescent="0.5">
      <c r="S892" s="37">
        <f t="shared" si="27"/>
        <v>23929.888627320306</v>
      </c>
      <c r="U892" s="26">
        <f t="shared" si="26"/>
        <v>-0.40260000000000001</v>
      </c>
    </row>
    <row r="893" spans="19:21" ht="14.65" thickBot="1" x14ac:dyDescent="0.5">
      <c r="S893" s="37">
        <f t="shared" si="27"/>
        <v>24169.187513593508</v>
      </c>
      <c r="U893" s="26">
        <f t="shared" si="26"/>
        <v>-0.40260000000000001</v>
      </c>
    </row>
    <row r="894" spans="19:21" ht="14.65" thickBot="1" x14ac:dyDescent="0.5">
      <c r="S894" s="37">
        <f t="shared" si="27"/>
        <v>24410.879388729441</v>
      </c>
      <c r="U894" s="26">
        <f t="shared" si="26"/>
        <v>-0.40260000000000001</v>
      </c>
    </row>
    <row r="895" spans="19:21" ht="14.65" thickBot="1" x14ac:dyDescent="0.5">
      <c r="S895" s="37">
        <f t="shared" si="27"/>
        <v>24654.988182616737</v>
      </c>
      <c r="U895" s="26">
        <f t="shared" si="26"/>
        <v>-0.40260000000000001</v>
      </c>
    </row>
    <row r="896" spans="19:21" ht="14.65" thickBot="1" x14ac:dyDescent="0.5">
      <c r="S896" s="37">
        <f t="shared" si="27"/>
        <v>24901.538064442902</v>
      </c>
      <c r="U896" s="26">
        <f t="shared" si="26"/>
        <v>-0.40260000000000001</v>
      </c>
    </row>
    <row r="897" spans="19:21" ht="14.65" thickBot="1" x14ac:dyDescent="0.5">
      <c r="S897" s="37">
        <f t="shared" si="27"/>
        <v>25150.553445087331</v>
      </c>
      <c r="U897" s="26">
        <f t="shared" si="26"/>
        <v>-0.40260000000000001</v>
      </c>
    </row>
    <row r="898" spans="19:21" ht="14.65" thickBot="1" x14ac:dyDescent="0.5">
      <c r="S898" s="37">
        <f t="shared" si="27"/>
        <v>25402.058979538204</v>
      </c>
      <c r="U898" s="26">
        <f t="shared" si="26"/>
        <v>-0.40260000000000001</v>
      </c>
    </row>
    <row r="899" spans="19:21" ht="14.65" thickBot="1" x14ac:dyDescent="0.5">
      <c r="S899" s="37">
        <f t="shared" si="27"/>
        <v>25656.079569333586</v>
      </c>
      <c r="U899" s="26">
        <f t="shared" si="26"/>
        <v>-0.40260000000000001</v>
      </c>
    </row>
    <row r="900" spans="19:21" ht="14.65" thickBot="1" x14ac:dyDescent="0.5">
      <c r="S900" s="37">
        <f t="shared" si="27"/>
        <v>25912.64036502692</v>
      </c>
      <c r="U900" s="26">
        <f t="shared" si="26"/>
        <v>-0.40260000000000001</v>
      </c>
    </row>
    <row r="901" spans="19:21" ht="14.65" thickBot="1" x14ac:dyDescent="0.5">
      <c r="S901" s="37">
        <f t="shared" si="27"/>
        <v>26171.766768677189</v>
      </c>
      <c r="U901" s="26">
        <f t="shared" si="26"/>
        <v>-0.40260000000000001</v>
      </c>
    </row>
    <row r="902" spans="19:21" ht="14.65" thickBot="1" x14ac:dyDescent="0.5">
      <c r="S902" s="37">
        <f t="shared" si="27"/>
        <v>26433.48443636396</v>
      </c>
      <c r="U902" s="26">
        <f t="shared" si="26"/>
        <v>-0.40260000000000001</v>
      </c>
    </row>
    <row r="903" spans="19:21" ht="14.65" thickBot="1" x14ac:dyDescent="0.5">
      <c r="S903" s="37">
        <f t="shared" si="27"/>
        <v>26697.819280727599</v>
      </c>
      <c r="U903" s="26">
        <f t="shared" si="26"/>
        <v>-0.40260000000000001</v>
      </c>
    </row>
    <row r="904" spans="19:21" ht="14.65" thickBot="1" x14ac:dyDescent="0.5">
      <c r="S904" s="37">
        <f t="shared" si="27"/>
        <v>26964.797473534876</v>
      </c>
      <c r="U904" s="26">
        <f t="shared" si="26"/>
        <v>-0.40260000000000001</v>
      </c>
    </row>
    <row r="905" spans="19:21" ht="14.65" thickBot="1" x14ac:dyDescent="0.5">
      <c r="S905" s="37">
        <f t="shared" si="27"/>
        <v>27234.445448270224</v>
      </c>
      <c r="U905" s="26">
        <f t="shared" si="26"/>
        <v>-0.40260000000000001</v>
      </c>
    </row>
    <row r="906" spans="19:21" ht="14.65" thickBot="1" x14ac:dyDescent="0.5">
      <c r="S906" s="37">
        <f t="shared" si="27"/>
        <v>27506.789902752927</v>
      </c>
      <c r="U906" s="26">
        <f t="shared" si="26"/>
        <v>-0.40260000000000001</v>
      </c>
    </row>
    <row r="907" spans="19:21" ht="14.65" thickBot="1" x14ac:dyDescent="0.5">
      <c r="S907" s="37">
        <f t="shared" si="27"/>
        <v>27781.857801780458</v>
      </c>
      <c r="U907" s="26">
        <f t="shared" si="26"/>
        <v>-0.40260000000000001</v>
      </c>
    </row>
    <row r="908" spans="19:21" ht="14.65" thickBot="1" x14ac:dyDescent="0.5">
      <c r="S908" s="37">
        <f t="shared" si="27"/>
        <v>28059.676379798264</v>
      </c>
      <c r="U908" s="26">
        <f t="shared" si="26"/>
        <v>-0.40260000000000001</v>
      </c>
    </row>
    <row r="909" spans="19:21" ht="14.65" thickBot="1" x14ac:dyDescent="0.5">
      <c r="S909" s="37">
        <f t="shared" si="27"/>
        <v>28340.273143596245</v>
      </c>
      <c r="U909" s="26">
        <f t="shared" si="26"/>
        <v>-0.40260000000000001</v>
      </c>
    </row>
    <row r="910" spans="19:21" ht="14.65" thickBot="1" x14ac:dyDescent="0.5">
      <c r="S910" s="37">
        <f t="shared" si="27"/>
        <v>28623.675875032208</v>
      </c>
      <c r="U910" s="26">
        <f t="shared" si="26"/>
        <v>-0.40260000000000001</v>
      </c>
    </row>
    <row r="911" spans="19:21" ht="14.65" thickBot="1" x14ac:dyDescent="0.5">
      <c r="S911" s="37">
        <f t="shared" si="27"/>
        <v>28909.912633782529</v>
      </c>
      <c r="U911" s="26">
        <f t="shared" si="26"/>
        <v>-0.40260000000000001</v>
      </c>
    </row>
    <row r="912" spans="19:21" ht="14.65" thickBot="1" x14ac:dyDescent="0.5">
      <c r="S912" s="37">
        <f t="shared" si="27"/>
        <v>29199.011760120356</v>
      </c>
      <c r="U912" s="26">
        <f t="shared" si="26"/>
        <v>-0.40260000000000001</v>
      </c>
    </row>
    <row r="913" spans="19:21" ht="14.65" thickBot="1" x14ac:dyDescent="0.5">
      <c r="S913" s="37">
        <f t="shared" si="27"/>
        <v>29491.001877721559</v>
      </c>
      <c r="U913" s="26">
        <f t="shared" si="26"/>
        <v>-0.40260000000000001</v>
      </c>
    </row>
    <row r="914" spans="19:21" ht="14.65" thickBot="1" x14ac:dyDescent="0.5">
      <c r="S914" s="37">
        <f t="shared" si="27"/>
        <v>29785.911896498776</v>
      </c>
      <c r="U914" s="26">
        <f t="shared" si="26"/>
        <v>-0.40260000000000001</v>
      </c>
    </row>
    <row r="915" spans="19:21" ht="14.65" thickBot="1" x14ac:dyDescent="0.5">
      <c r="S915" s="37">
        <f t="shared" si="27"/>
        <v>30083.771015463764</v>
      </c>
      <c r="U915" s="26">
        <f t="shared" ref="U915:U978" si="28">IF(S915&gt;$D$7,-$D$9+$D$10,MIN($D$7-S915-$D$9+$D$10,($D$7-$D$8)-$D$9+$D$10))</f>
        <v>-0.40260000000000001</v>
      </c>
    </row>
    <row r="916" spans="19:21" ht="14.65" thickBot="1" x14ac:dyDescent="0.5">
      <c r="S916" s="37">
        <f t="shared" ref="S916:S979" si="29">S915*(1.01)</f>
        <v>30384.608725618404</v>
      </c>
      <c r="U916" s="26">
        <f t="shared" si="28"/>
        <v>-0.40260000000000001</v>
      </c>
    </row>
    <row r="917" spans="19:21" ht="14.65" thickBot="1" x14ac:dyDescent="0.5">
      <c r="S917" s="37">
        <f t="shared" si="29"/>
        <v>30688.454812874588</v>
      </c>
      <c r="U917" s="26">
        <f t="shared" si="28"/>
        <v>-0.40260000000000001</v>
      </c>
    </row>
    <row r="918" spans="19:21" ht="14.65" thickBot="1" x14ac:dyDescent="0.5">
      <c r="S918" s="37">
        <f t="shared" si="29"/>
        <v>30995.339361003334</v>
      </c>
      <c r="U918" s="26">
        <f t="shared" si="28"/>
        <v>-0.40260000000000001</v>
      </c>
    </row>
    <row r="919" spans="19:21" ht="14.65" thickBot="1" x14ac:dyDescent="0.5">
      <c r="S919" s="37">
        <f t="shared" si="29"/>
        <v>31305.292754613369</v>
      </c>
      <c r="U919" s="26">
        <f t="shared" si="28"/>
        <v>-0.40260000000000001</v>
      </c>
    </row>
    <row r="920" spans="19:21" ht="14.65" thickBot="1" x14ac:dyDescent="0.5">
      <c r="S920" s="37">
        <f t="shared" si="29"/>
        <v>31618.345682159503</v>
      </c>
      <c r="U920" s="26">
        <f t="shared" si="28"/>
        <v>-0.40260000000000001</v>
      </c>
    </row>
    <row r="921" spans="19:21" ht="14.65" thickBot="1" x14ac:dyDescent="0.5">
      <c r="S921" s="37">
        <f t="shared" si="29"/>
        <v>31934.529138981099</v>
      </c>
      <c r="U921" s="26">
        <f t="shared" si="28"/>
        <v>-0.40260000000000001</v>
      </c>
    </row>
    <row r="922" spans="19:21" ht="14.65" thickBot="1" x14ac:dyDescent="0.5">
      <c r="S922" s="37">
        <f t="shared" si="29"/>
        <v>32253.87443037091</v>
      </c>
      <c r="U922" s="26">
        <f t="shared" si="28"/>
        <v>-0.40260000000000001</v>
      </c>
    </row>
    <row r="923" spans="19:21" ht="14.65" thickBot="1" x14ac:dyDescent="0.5">
      <c r="S923" s="37">
        <f t="shared" si="29"/>
        <v>32576.413174674621</v>
      </c>
      <c r="U923" s="26">
        <f t="shared" si="28"/>
        <v>-0.40260000000000001</v>
      </c>
    </row>
    <row r="924" spans="19:21" ht="14.65" thickBot="1" x14ac:dyDescent="0.5">
      <c r="S924" s="37">
        <f t="shared" si="29"/>
        <v>32902.17730642137</v>
      </c>
      <c r="U924" s="26">
        <f t="shared" si="28"/>
        <v>-0.40260000000000001</v>
      </c>
    </row>
    <row r="925" spans="19:21" ht="14.65" thickBot="1" x14ac:dyDescent="0.5">
      <c r="S925" s="37">
        <f t="shared" si="29"/>
        <v>33231.199079485581</v>
      </c>
      <c r="U925" s="26">
        <f t="shared" si="28"/>
        <v>-0.40260000000000001</v>
      </c>
    </row>
    <row r="926" spans="19:21" ht="14.65" thickBot="1" x14ac:dyDescent="0.5">
      <c r="S926" s="37">
        <f t="shared" si="29"/>
        <v>33563.511070280438</v>
      </c>
      <c r="U926" s="26">
        <f t="shared" si="28"/>
        <v>-0.40260000000000001</v>
      </c>
    </row>
    <row r="927" spans="19:21" ht="14.65" thickBot="1" x14ac:dyDescent="0.5">
      <c r="S927" s="37">
        <f t="shared" si="29"/>
        <v>33899.14618098324</v>
      </c>
      <c r="U927" s="26">
        <f t="shared" si="28"/>
        <v>-0.40260000000000001</v>
      </c>
    </row>
    <row r="928" spans="19:21" ht="14.65" thickBot="1" x14ac:dyDescent="0.5">
      <c r="S928" s="37">
        <f t="shared" si="29"/>
        <v>34238.137642793074</v>
      </c>
      <c r="U928" s="26">
        <f t="shared" si="28"/>
        <v>-0.40260000000000001</v>
      </c>
    </row>
    <row r="929" spans="19:21" ht="14.65" thickBot="1" x14ac:dyDescent="0.5">
      <c r="S929" s="37">
        <f t="shared" si="29"/>
        <v>34580.519019221007</v>
      </c>
      <c r="U929" s="26">
        <f t="shared" si="28"/>
        <v>-0.40260000000000001</v>
      </c>
    </row>
    <row r="930" spans="19:21" ht="14.65" thickBot="1" x14ac:dyDescent="0.5">
      <c r="S930" s="37">
        <f t="shared" si="29"/>
        <v>34926.324209413215</v>
      </c>
      <c r="U930" s="26">
        <f t="shared" si="28"/>
        <v>-0.40260000000000001</v>
      </c>
    </row>
    <row r="931" spans="19:21" ht="14.65" thickBot="1" x14ac:dyDescent="0.5">
      <c r="S931" s="37">
        <f t="shared" si="29"/>
        <v>35275.587451507345</v>
      </c>
      <c r="U931" s="26">
        <f t="shared" si="28"/>
        <v>-0.40260000000000001</v>
      </c>
    </row>
    <row r="932" spans="19:21" ht="14.65" thickBot="1" x14ac:dyDescent="0.5">
      <c r="S932" s="37">
        <f t="shared" si="29"/>
        <v>35628.343326022419</v>
      </c>
      <c r="U932" s="26">
        <f t="shared" si="28"/>
        <v>-0.40260000000000001</v>
      </c>
    </row>
    <row r="933" spans="19:21" ht="14.65" thickBot="1" x14ac:dyDescent="0.5">
      <c r="S933" s="37">
        <f t="shared" si="29"/>
        <v>35984.626759282641</v>
      </c>
      <c r="U933" s="26">
        <f t="shared" si="28"/>
        <v>-0.40260000000000001</v>
      </c>
    </row>
    <row r="934" spans="19:21" ht="14.65" thickBot="1" x14ac:dyDescent="0.5">
      <c r="S934" s="37">
        <f t="shared" si="29"/>
        <v>36344.473026875465</v>
      </c>
      <c r="U934" s="26">
        <f t="shared" si="28"/>
        <v>-0.40260000000000001</v>
      </c>
    </row>
    <row r="935" spans="19:21" ht="14.65" thickBot="1" x14ac:dyDescent="0.5">
      <c r="S935" s="37">
        <f t="shared" si="29"/>
        <v>36707.91775714422</v>
      </c>
      <c r="U935" s="26">
        <f t="shared" si="28"/>
        <v>-0.40260000000000001</v>
      </c>
    </row>
    <row r="936" spans="19:21" ht="14.65" thickBot="1" x14ac:dyDescent="0.5">
      <c r="S936" s="37">
        <f t="shared" si="29"/>
        <v>37074.996934715666</v>
      </c>
      <c r="U936" s="26">
        <f t="shared" si="28"/>
        <v>-0.40260000000000001</v>
      </c>
    </row>
    <row r="937" spans="19:21" ht="14.65" thickBot="1" x14ac:dyDescent="0.5">
      <c r="S937" s="37">
        <f t="shared" si="29"/>
        <v>37445.74690406282</v>
      </c>
      <c r="U937" s="26">
        <f t="shared" si="28"/>
        <v>-0.40260000000000001</v>
      </c>
    </row>
    <row r="938" spans="19:21" ht="14.65" thickBot="1" x14ac:dyDescent="0.5">
      <c r="S938" s="37">
        <f t="shared" si="29"/>
        <v>37820.20437310345</v>
      </c>
      <c r="U938" s="26">
        <f t="shared" si="28"/>
        <v>-0.40260000000000001</v>
      </c>
    </row>
    <row r="939" spans="19:21" ht="14.65" thickBot="1" x14ac:dyDescent="0.5">
      <c r="S939" s="37">
        <f t="shared" si="29"/>
        <v>38198.406416834485</v>
      </c>
      <c r="U939" s="26">
        <f t="shared" si="28"/>
        <v>-0.40260000000000001</v>
      </c>
    </row>
    <row r="940" spans="19:21" ht="14.65" thickBot="1" x14ac:dyDescent="0.5">
      <c r="S940" s="37">
        <f t="shared" si="29"/>
        <v>38580.390481002833</v>
      </c>
      <c r="U940" s="26">
        <f t="shared" si="28"/>
        <v>-0.40260000000000001</v>
      </c>
    </row>
    <row r="941" spans="19:21" ht="14.65" thickBot="1" x14ac:dyDescent="0.5">
      <c r="S941" s="37">
        <f t="shared" si="29"/>
        <v>38966.194385812858</v>
      </c>
      <c r="U941" s="26">
        <f t="shared" si="28"/>
        <v>-0.40260000000000001</v>
      </c>
    </row>
    <row r="942" spans="19:21" ht="14.65" thickBot="1" x14ac:dyDescent="0.5">
      <c r="S942" s="37">
        <f t="shared" si="29"/>
        <v>39355.856329670984</v>
      </c>
      <c r="U942" s="26">
        <f t="shared" si="28"/>
        <v>-0.40260000000000001</v>
      </c>
    </row>
    <row r="943" spans="19:21" ht="14.65" thickBot="1" x14ac:dyDescent="0.5">
      <c r="S943" s="37">
        <f t="shared" si="29"/>
        <v>39749.414892967696</v>
      </c>
      <c r="U943" s="26">
        <f t="shared" si="28"/>
        <v>-0.40260000000000001</v>
      </c>
    </row>
    <row r="944" spans="19:21" ht="14.65" thickBot="1" x14ac:dyDescent="0.5">
      <c r="S944" s="37">
        <f t="shared" si="29"/>
        <v>40146.909041897372</v>
      </c>
      <c r="U944" s="26">
        <f t="shared" si="28"/>
        <v>-0.40260000000000001</v>
      </c>
    </row>
    <row r="945" spans="19:21" ht="14.65" thickBot="1" x14ac:dyDescent="0.5">
      <c r="S945" s="37">
        <f t="shared" si="29"/>
        <v>40548.378132316349</v>
      </c>
      <c r="U945" s="26">
        <f t="shared" si="28"/>
        <v>-0.40260000000000001</v>
      </c>
    </row>
    <row r="946" spans="19:21" ht="14.65" thickBot="1" x14ac:dyDescent="0.5">
      <c r="S946" s="37">
        <f t="shared" si="29"/>
        <v>40953.861913639514</v>
      </c>
      <c r="U946" s="26">
        <f t="shared" si="28"/>
        <v>-0.40260000000000001</v>
      </c>
    </row>
    <row r="947" spans="19:21" ht="14.65" thickBot="1" x14ac:dyDescent="0.5">
      <c r="S947" s="37">
        <f t="shared" si="29"/>
        <v>41363.400532775908</v>
      </c>
      <c r="U947" s="26">
        <f t="shared" si="28"/>
        <v>-0.40260000000000001</v>
      </c>
    </row>
    <row r="948" spans="19:21" ht="14.65" thickBot="1" x14ac:dyDescent="0.5">
      <c r="S948" s="37">
        <f t="shared" si="29"/>
        <v>41777.034538103668</v>
      </c>
      <c r="U948" s="26">
        <f t="shared" si="28"/>
        <v>-0.40260000000000001</v>
      </c>
    </row>
    <row r="949" spans="19:21" ht="14.65" thickBot="1" x14ac:dyDescent="0.5">
      <c r="S949" s="37">
        <f t="shared" si="29"/>
        <v>42194.804883484707</v>
      </c>
      <c r="U949" s="26">
        <f t="shared" si="28"/>
        <v>-0.40260000000000001</v>
      </c>
    </row>
    <row r="950" spans="19:21" ht="14.65" thickBot="1" x14ac:dyDescent="0.5">
      <c r="S950" s="37">
        <f t="shared" si="29"/>
        <v>42616.752932319556</v>
      </c>
      <c r="U950" s="26">
        <f t="shared" si="28"/>
        <v>-0.40260000000000001</v>
      </c>
    </row>
    <row r="951" spans="19:21" ht="14.65" thickBot="1" x14ac:dyDescent="0.5">
      <c r="S951" s="37">
        <f t="shared" si="29"/>
        <v>43042.920461642752</v>
      </c>
      <c r="U951" s="26">
        <f t="shared" si="28"/>
        <v>-0.40260000000000001</v>
      </c>
    </row>
    <row r="952" spans="19:21" ht="14.65" thickBot="1" x14ac:dyDescent="0.5">
      <c r="S952" s="37">
        <f t="shared" si="29"/>
        <v>43473.349666259179</v>
      </c>
      <c r="U952" s="26">
        <f t="shared" si="28"/>
        <v>-0.40260000000000001</v>
      </c>
    </row>
    <row r="953" spans="19:21" ht="14.65" thickBot="1" x14ac:dyDescent="0.5">
      <c r="S953" s="37">
        <f t="shared" si="29"/>
        <v>43908.083162921772</v>
      </c>
      <c r="U953" s="26">
        <f t="shared" si="28"/>
        <v>-0.40260000000000001</v>
      </c>
    </row>
    <row r="954" spans="19:21" ht="14.65" thickBot="1" x14ac:dyDescent="0.5">
      <c r="S954" s="37">
        <f t="shared" si="29"/>
        <v>44347.163994550989</v>
      </c>
      <c r="U954" s="26">
        <f t="shared" si="28"/>
        <v>-0.40260000000000001</v>
      </c>
    </row>
    <row r="955" spans="19:21" ht="14.65" thickBot="1" x14ac:dyDescent="0.5">
      <c r="S955" s="37">
        <f t="shared" si="29"/>
        <v>44790.635634496502</v>
      </c>
      <c r="U955" s="26">
        <f t="shared" si="28"/>
        <v>-0.40260000000000001</v>
      </c>
    </row>
    <row r="956" spans="19:21" ht="14.65" thickBot="1" x14ac:dyDescent="0.5">
      <c r="S956" s="37">
        <f t="shared" si="29"/>
        <v>45238.54199084147</v>
      </c>
      <c r="U956" s="26">
        <f t="shared" si="28"/>
        <v>-0.40260000000000001</v>
      </c>
    </row>
    <row r="957" spans="19:21" ht="14.65" thickBot="1" x14ac:dyDescent="0.5">
      <c r="S957" s="37">
        <f t="shared" si="29"/>
        <v>45690.927410749886</v>
      </c>
      <c r="U957" s="26">
        <f t="shared" si="28"/>
        <v>-0.40260000000000001</v>
      </c>
    </row>
    <row r="958" spans="19:21" ht="14.65" thickBot="1" x14ac:dyDescent="0.5">
      <c r="S958" s="37">
        <f t="shared" si="29"/>
        <v>46147.836684857386</v>
      </c>
      <c r="U958" s="26">
        <f t="shared" si="28"/>
        <v>-0.40260000000000001</v>
      </c>
    </row>
    <row r="959" spans="19:21" ht="14.65" thickBot="1" x14ac:dyDescent="0.5">
      <c r="S959" s="37">
        <f t="shared" si="29"/>
        <v>46609.315051705962</v>
      </c>
      <c r="U959" s="26">
        <f t="shared" si="28"/>
        <v>-0.40260000000000001</v>
      </c>
    </row>
    <row r="960" spans="19:21" ht="14.65" thickBot="1" x14ac:dyDescent="0.5">
      <c r="S960" s="37">
        <f t="shared" si="29"/>
        <v>47075.408202223021</v>
      </c>
      <c r="U960" s="26">
        <f t="shared" si="28"/>
        <v>-0.40260000000000001</v>
      </c>
    </row>
    <row r="961" spans="19:21" ht="14.65" thickBot="1" x14ac:dyDescent="0.5">
      <c r="S961" s="37">
        <f t="shared" si="29"/>
        <v>47546.162284245249</v>
      </c>
      <c r="U961" s="26">
        <f t="shared" si="28"/>
        <v>-0.40260000000000001</v>
      </c>
    </row>
    <row r="962" spans="19:21" ht="14.65" thickBot="1" x14ac:dyDescent="0.5">
      <c r="S962" s="37">
        <f t="shared" si="29"/>
        <v>48021.623907087698</v>
      </c>
      <c r="U962" s="26">
        <f t="shared" si="28"/>
        <v>-0.40260000000000001</v>
      </c>
    </row>
    <row r="963" spans="19:21" ht="14.65" thickBot="1" x14ac:dyDescent="0.5">
      <c r="S963" s="37">
        <f t="shared" si="29"/>
        <v>48501.840146158574</v>
      </c>
      <c r="U963" s="26">
        <f t="shared" si="28"/>
        <v>-0.40260000000000001</v>
      </c>
    </row>
    <row r="964" spans="19:21" ht="14.65" thickBot="1" x14ac:dyDescent="0.5">
      <c r="S964" s="37">
        <f t="shared" si="29"/>
        <v>48986.858547620162</v>
      </c>
      <c r="U964" s="26">
        <f t="shared" si="28"/>
        <v>-0.40260000000000001</v>
      </c>
    </row>
    <row r="965" spans="19:21" ht="14.65" thickBot="1" x14ac:dyDescent="0.5">
      <c r="S965" s="37">
        <f t="shared" si="29"/>
        <v>49476.727133096363</v>
      </c>
      <c r="U965" s="26">
        <f t="shared" si="28"/>
        <v>-0.40260000000000001</v>
      </c>
    </row>
    <row r="966" spans="19:21" ht="14.65" thickBot="1" x14ac:dyDescent="0.5">
      <c r="S966" s="37">
        <f t="shared" si="29"/>
        <v>49971.494404427329</v>
      </c>
      <c r="U966" s="26">
        <f t="shared" si="28"/>
        <v>-0.40260000000000001</v>
      </c>
    </row>
    <row r="967" spans="19:21" ht="14.65" thickBot="1" x14ac:dyDescent="0.5">
      <c r="S967" s="37">
        <f t="shared" si="29"/>
        <v>50471.209348471602</v>
      </c>
      <c r="U967" s="26">
        <f t="shared" si="28"/>
        <v>-0.40260000000000001</v>
      </c>
    </row>
    <row r="968" spans="19:21" ht="14.65" thickBot="1" x14ac:dyDescent="0.5">
      <c r="S968" s="37">
        <f t="shared" si="29"/>
        <v>50975.921441956321</v>
      </c>
      <c r="U968" s="26">
        <f t="shared" si="28"/>
        <v>-0.40260000000000001</v>
      </c>
    </row>
    <row r="969" spans="19:21" ht="14.65" thickBot="1" x14ac:dyDescent="0.5">
      <c r="S969" s="37">
        <f t="shared" si="29"/>
        <v>51485.680656375887</v>
      </c>
      <c r="U969" s="26">
        <f t="shared" si="28"/>
        <v>-0.40260000000000001</v>
      </c>
    </row>
    <row r="970" spans="19:21" ht="14.65" thickBot="1" x14ac:dyDescent="0.5">
      <c r="S970" s="37">
        <f t="shared" si="29"/>
        <v>52000.537462939647</v>
      </c>
      <c r="U970" s="26">
        <f t="shared" si="28"/>
        <v>-0.40260000000000001</v>
      </c>
    </row>
    <row r="971" spans="19:21" ht="14.65" thickBot="1" x14ac:dyDescent="0.5">
      <c r="S971" s="37">
        <f t="shared" si="29"/>
        <v>52520.542837569046</v>
      </c>
      <c r="U971" s="26">
        <f t="shared" si="28"/>
        <v>-0.40260000000000001</v>
      </c>
    </row>
    <row r="972" spans="19:21" ht="14.65" thickBot="1" x14ac:dyDescent="0.5">
      <c r="S972" s="37">
        <f t="shared" si="29"/>
        <v>53045.748265944734</v>
      </c>
      <c r="U972" s="26">
        <f t="shared" si="28"/>
        <v>-0.40260000000000001</v>
      </c>
    </row>
    <row r="973" spans="19:21" ht="14.65" thickBot="1" x14ac:dyDescent="0.5">
      <c r="S973" s="37">
        <f t="shared" si="29"/>
        <v>53576.205748604181</v>
      </c>
      <c r="U973" s="26">
        <f t="shared" si="28"/>
        <v>-0.40260000000000001</v>
      </c>
    </row>
    <row r="974" spans="19:21" ht="14.65" thickBot="1" x14ac:dyDescent="0.5">
      <c r="S974" s="37">
        <f t="shared" si="29"/>
        <v>54111.967806090222</v>
      </c>
      <c r="U974" s="26">
        <f t="shared" si="28"/>
        <v>-0.40260000000000001</v>
      </c>
    </row>
    <row r="975" spans="19:21" ht="14.65" thickBot="1" x14ac:dyDescent="0.5">
      <c r="S975" s="37">
        <f t="shared" si="29"/>
        <v>54653.087484151125</v>
      </c>
      <c r="U975" s="26">
        <f t="shared" si="28"/>
        <v>-0.40260000000000001</v>
      </c>
    </row>
    <row r="976" spans="19:21" ht="14.65" thickBot="1" x14ac:dyDescent="0.5">
      <c r="S976" s="37">
        <f t="shared" si="29"/>
        <v>55199.618358992637</v>
      </c>
      <c r="U976" s="26">
        <f t="shared" si="28"/>
        <v>-0.40260000000000001</v>
      </c>
    </row>
    <row r="977" spans="19:21" ht="14.65" thickBot="1" x14ac:dyDescent="0.5">
      <c r="S977" s="37">
        <f t="shared" si="29"/>
        <v>55751.614542582567</v>
      </c>
      <c r="U977" s="26">
        <f t="shared" si="28"/>
        <v>-0.40260000000000001</v>
      </c>
    </row>
    <row r="978" spans="19:21" ht="14.65" thickBot="1" x14ac:dyDescent="0.5">
      <c r="S978" s="37">
        <f t="shared" si="29"/>
        <v>56309.130688008394</v>
      </c>
      <c r="U978" s="26">
        <f t="shared" si="28"/>
        <v>-0.40260000000000001</v>
      </c>
    </row>
    <row r="979" spans="19:21" ht="14.65" thickBot="1" x14ac:dyDescent="0.5">
      <c r="S979" s="37">
        <f t="shared" si="29"/>
        <v>56872.221994888481</v>
      </c>
      <c r="U979" s="26">
        <f t="shared" ref="U979:U1033" si="30">IF(S979&gt;$D$7,-$D$9+$D$10,MIN($D$7-S979-$D$9+$D$10,($D$7-$D$8)-$D$9+$D$10))</f>
        <v>-0.40260000000000001</v>
      </c>
    </row>
    <row r="980" spans="19:21" ht="14.65" thickBot="1" x14ac:dyDescent="0.5">
      <c r="S980" s="37">
        <f t="shared" ref="S980:S1033" si="31">S979*(1.01)</f>
        <v>57440.944214837364</v>
      </c>
      <c r="U980" s="26">
        <f t="shared" si="30"/>
        <v>-0.40260000000000001</v>
      </c>
    </row>
    <row r="981" spans="19:21" ht="14.65" thickBot="1" x14ac:dyDescent="0.5">
      <c r="S981" s="37">
        <f t="shared" si="31"/>
        <v>58015.353656985739</v>
      </c>
      <c r="U981" s="26">
        <f t="shared" si="30"/>
        <v>-0.40260000000000001</v>
      </c>
    </row>
    <row r="982" spans="19:21" ht="14.65" thickBot="1" x14ac:dyDescent="0.5">
      <c r="S982" s="37">
        <f t="shared" si="31"/>
        <v>58595.507193555597</v>
      </c>
      <c r="U982" s="26">
        <f t="shared" si="30"/>
        <v>-0.40260000000000001</v>
      </c>
    </row>
    <row r="983" spans="19:21" ht="14.65" thickBot="1" x14ac:dyDescent="0.5">
      <c r="S983" s="37">
        <f t="shared" si="31"/>
        <v>59181.462265491151</v>
      </c>
      <c r="U983" s="26">
        <f t="shared" si="30"/>
        <v>-0.40260000000000001</v>
      </c>
    </row>
    <row r="984" spans="19:21" ht="14.65" thickBot="1" x14ac:dyDescent="0.5">
      <c r="S984" s="37">
        <f t="shared" si="31"/>
        <v>59773.276888146065</v>
      </c>
      <c r="U984" s="26">
        <f t="shared" si="30"/>
        <v>-0.40260000000000001</v>
      </c>
    </row>
    <row r="985" spans="19:21" ht="14.65" thickBot="1" x14ac:dyDescent="0.5">
      <c r="S985" s="37">
        <f t="shared" si="31"/>
        <v>60371.009657027527</v>
      </c>
      <c r="U985" s="26">
        <f t="shared" si="30"/>
        <v>-0.40260000000000001</v>
      </c>
    </row>
    <row r="986" spans="19:21" ht="14.65" thickBot="1" x14ac:dyDescent="0.5">
      <c r="S986" s="37">
        <f t="shared" si="31"/>
        <v>60974.719753597805</v>
      </c>
      <c r="U986" s="26">
        <f t="shared" si="30"/>
        <v>-0.40260000000000001</v>
      </c>
    </row>
    <row r="987" spans="19:21" ht="14.65" thickBot="1" x14ac:dyDescent="0.5">
      <c r="S987" s="37">
        <f t="shared" si="31"/>
        <v>61584.466951133785</v>
      </c>
      <c r="U987" s="26">
        <f t="shared" si="30"/>
        <v>-0.40260000000000001</v>
      </c>
    </row>
    <row r="988" spans="19:21" ht="14.65" thickBot="1" x14ac:dyDescent="0.5">
      <c r="S988" s="37">
        <f t="shared" si="31"/>
        <v>62200.311620645123</v>
      </c>
      <c r="U988" s="26">
        <f t="shared" si="30"/>
        <v>-0.40260000000000001</v>
      </c>
    </row>
    <row r="989" spans="19:21" ht="14.65" thickBot="1" x14ac:dyDescent="0.5">
      <c r="S989" s="37">
        <f t="shared" si="31"/>
        <v>62822.314736851578</v>
      </c>
      <c r="U989" s="26">
        <f t="shared" si="30"/>
        <v>-0.40260000000000001</v>
      </c>
    </row>
    <row r="990" spans="19:21" ht="14.65" thickBot="1" x14ac:dyDescent="0.5">
      <c r="S990" s="37">
        <f t="shared" si="31"/>
        <v>63450.537884220095</v>
      </c>
      <c r="U990" s="26">
        <f t="shared" si="30"/>
        <v>-0.40260000000000001</v>
      </c>
    </row>
    <row r="991" spans="19:21" ht="14.65" thickBot="1" x14ac:dyDescent="0.5">
      <c r="S991" s="37">
        <f t="shared" si="31"/>
        <v>64085.043263062296</v>
      </c>
      <c r="U991" s="26">
        <f t="shared" si="30"/>
        <v>-0.40260000000000001</v>
      </c>
    </row>
    <row r="992" spans="19:21" ht="14.65" thickBot="1" x14ac:dyDescent="0.5">
      <c r="S992" s="37">
        <f t="shared" si="31"/>
        <v>64725.893695692917</v>
      </c>
      <c r="U992" s="26">
        <f t="shared" si="30"/>
        <v>-0.40260000000000001</v>
      </c>
    </row>
    <row r="993" spans="19:21" ht="14.65" thickBot="1" x14ac:dyDescent="0.5">
      <c r="S993" s="37">
        <f t="shared" si="31"/>
        <v>65373.15263264985</v>
      </c>
      <c r="U993" s="26">
        <f t="shared" si="30"/>
        <v>-0.40260000000000001</v>
      </c>
    </row>
    <row r="994" spans="19:21" ht="14.65" thickBot="1" x14ac:dyDescent="0.5">
      <c r="S994" s="37">
        <f t="shared" si="31"/>
        <v>66026.884158976347</v>
      </c>
      <c r="U994" s="26">
        <f t="shared" si="30"/>
        <v>-0.40260000000000001</v>
      </c>
    </row>
    <row r="995" spans="19:21" ht="14.65" thickBot="1" x14ac:dyDescent="0.5">
      <c r="S995" s="37">
        <f t="shared" si="31"/>
        <v>66687.153000566104</v>
      </c>
      <c r="U995" s="26">
        <f t="shared" si="30"/>
        <v>-0.40260000000000001</v>
      </c>
    </row>
    <row r="996" spans="19:21" ht="14.65" thickBot="1" x14ac:dyDescent="0.5">
      <c r="S996" s="37">
        <f t="shared" si="31"/>
        <v>67354.024530571769</v>
      </c>
      <c r="U996" s="26">
        <f t="shared" si="30"/>
        <v>-0.40260000000000001</v>
      </c>
    </row>
    <row r="997" spans="19:21" ht="14.65" thickBot="1" x14ac:dyDescent="0.5">
      <c r="S997" s="37">
        <f t="shared" si="31"/>
        <v>68027.564775877487</v>
      </c>
      <c r="U997" s="26">
        <f t="shared" si="30"/>
        <v>-0.40260000000000001</v>
      </c>
    </row>
    <row r="998" spans="19:21" ht="14.65" thickBot="1" x14ac:dyDescent="0.5">
      <c r="S998" s="37">
        <f t="shared" si="31"/>
        <v>68707.840423636269</v>
      </c>
      <c r="U998" s="26">
        <f t="shared" si="30"/>
        <v>-0.40260000000000001</v>
      </c>
    </row>
    <row r="999" spans="19:21" ht="14.65" thickBot="1" x14ac:dyDescent="0.5">
      <c r="S999" s="37">
        <f t="shared" si="31"/>
        <v>69394.918827872636</v>
      </c>
      <c r="U999" s="26">
        <f t="shared" si="30"/>
        <v>-0.40260000000000001</v>
      </c>
    </row>
    <row r="1000" spans="19:21" ht="14.65" thickBot="1" x14ac:dyDescent="0.5">
      <c r="S1000" s="37">
        <f t="shared" si="31"/>
        <v>70088.868016151362</v>
      </c>
      <c r="U1000" s="26">
        <f t="shared" si="30"/>
        <v>-0.40260000000000001</v>
      </c>
    </row>
    <row r="1001" spans="19:21" ht="14.65" thickBot="1" x14ac:dyDescent="0.5">
      <c r="S1001" s="37">
        <f t="shared" si="31"/>
        <v>70789.756696312877</v>
      </c>
      <c r="U1001" s="26">
        <f t="shared" si="30"/>
        <v>-0.40260000000000001</v>
      </c>
    </row>
    <row r="1002" spans="19:21" ht="14.65" thickBot="1" x14ac:dyDescent="0.5">
      <c r="S1002" s="37">
        <f t="shared" si="31"/>
        <v>71497.65426327601</v>
      </c>
      <c r="U1002" s="26">
        <f t="shared" si="30"/>
        <v>-0.40260000000000001</v>
      </c>
    </row>
    <row r="1003" spans="19:21" ht="14.65" thickBot="1" x14ac:dyDescent="0.5">
      <c r="S1003" s="37">
        <f t="shared" si="31"/>
        <v>72212.630805908775</v>
      </c>
      <c r="U1003" s="26">
        <f t="shared" si="30"/>
        <v>-0.40260000000000001</v>
      </c>
    </row>
    <row r="1004" spans="19:21" ht="14.65" thickBot="1" x14ac:dyDescent="0.5">
      <c r="S1004" s="37">
        <f t="shared" si="31"/>
        <v>72934.757113967862</v>
      </c>
      <c r="U1004" s="26">
        <f t="shared" si="30"/>
        <v>-0.40260000000000001</v>
      </c>
    </row>
    <row r="1005" spans="19:21" ht="14.65" thickBot="1" x14ac:dyDescent="0.5">
      <c r="S1005" s="37">
        <f t="shared" si="31"/>
        <v>73664.104685107537</v>
      </c>
      <c r="U1005" s="26">
        <f t="shared" si="30"/>
        <v>-0.40260000000000001</v>
      </c>
    </row>
    <row r="1006" spans="19:21" ht="14.65" thickBot="1" x14ac:dyDescent="0.5">
      <c r="S1006" s="37">
        <f t="shared" si="31"/>
        <v>74400.74573195861</v>
      </c>
      <c r="U1006" s="26">
        <f t="shared" si="30"/>
        <v>-0.40260000000000001</v>
      </c>
    </row>
    <row r="1007" spans="19:21" ht="14.65" thickBot="1" x14ac:dyDescent="0.5">
      <c r="S1007" s="37">
        <f t="shared" si="31"/>
        <v>75144.753189278199</v>
      </c>
      <c r="U1007" s="26">
        <f t="shared" si="30"/>
        <v>-0.40260000000000001</v>
      </c>
    </row>
    <row r="1008" spans="19:21" ht="14.65" thickBot="1" x14ac:dyDescent="0.5">
      <c r="S1008" s="37">
        <f t="shared" si="31"/>
        <v>75896.200721170986</v>
      </c>
      <c r="U1008" s="26">
        <f t="shared" si="30"/>
        <v>-0.40260000000000001</v>
      </c>
    </row>
    <row r="1009" spans="19:21" ht="14.65" thickBot="1" x14ac:dyDescent="0.5">
      <c r="S1009" s="37">
        <f t="shared" si="31"/>
        <v>76655.162728382697</v>
      </c>
      <c r="U1009" s="26">
        <f t="shared" si="30"/>
        <v>-0.40260000000000001</v>
      </c>
    </row>
    <row r="1010" spans="19:21" ht="14.65" thickBot="1" x14ac:dyDescent="0.5">
      <c r="S1010" s="37">
        <f t="shared" si="31"/>
        <v>77421.714355666525</v>
      </c>
      <c r="U1010" s="26">
        <f t="shared" si="30"/>
        <v>-0.40260000000000001</v>
      </c>
    </row>
    <row r="1011" spans="19:21" ht="14.65" thickBot="1" x14ac:dyDescent="0.5">
      <c r="S1011" s="37">
        <f t="shared" si="31"/>
        <v>78195.931499223196</v>
      </c>
      <c r="U1011" s="26">
        <f t="shared" si="30"/>
        <v>-0.40260000000000001</v>
      </c>
    </row>
    <row r="1012" spans="19:21" ht="14.65" thickBot="1" x14ac:dyDescent="0.5">
      <c r="S1012" s="37">
        <f t="shared" si="31"/>
        <v>78977.890814215425</v>
      </c>
      <c r="U1012" s="26">
        <f t="shared" si="30"/>
        <v>-0.40260000000000001</v>
      </c>
    </row>
    <row r="1013" spans="19:21" ht="14.65" thickBot="1" x14ac:dyDescent="0.5">
      <c r="S1013" s="37">
        <f t="shared" si="31"/>
        <v>79767.669722357576</v>
      </c>
      <c r="U1013" s="26">
        <f t="shared" si="30"/>
        <v>-0.40260000000000001</v>
      </c>
    </row>
    <row r="1014" spans="19:21" ht="14.65" thickBot="1" x14ac:dyDescent="0.5">
      <c r="S1014" s="37">
        <f t="shared" si="31"/>
        <v>80565.346419581154</v>
      </c>
      <c r="U1014" s="26">
        <f t="shared" si="30"/>
        <v>-0.40260000000000001</v>
      </c>
    </row>
    <row r="1015" spans="19:21" ht="14.65" thickBot="1" x14ac:dyDescent="0.5">
      <c r="S1015" s="37">
        <f t="shared" si="31"/>
        <v>81370.999883776967</v>
      </c>
      <c r="U1015" s="26">
        <f t="shared" si="30"/>
        <v>-0.40260000000000001</v>
      </c>
    </row>
    <row r="1016" spans="19:21" ht="14.65" thickBot="1" x14ac:dyDescent="0.5">
      <c r="S1016" s="37">
        <f t="shared" si="31"/>
        <v>82184.709882614741</v>
      </c>
      <c r="U1016" s="26">
        <f t="shared" si="30"/>
        <v>-0.40260000000000001</v>
      </c>
    </row>
    <row r="1017" spans="19:21" ht="14.65" thickBot="1" x14ac:dyDescent="0.5">
      <c r="S1017" s="37">
        <f t="shared" si="31"/>
        <v>83006.556981440895</v>
      </c>
      <c r="U1017" s="26">
        <f t="shared" si="30"/>
        <v>-0.40260000000000001</v>
      </c>
    </row>
    <row r="1018" spans="19:21" ht="14.65" thickBot="1" x14ac:dyDescent="0.5">
      <c r="S1018" s="37">
        <f t="shared" si="31"/>
        <v>83836.622551255306</v>
      </c>
      <c r="U1018" s="26">
        <f t="shared" si="30"/>
        <v>-0.40260000000000001</v>
      </c>
    </row>
    <row r="1019" spans="19:21" ht="14.65" thickBot="1" x14ac:dyDescent="0.5">
      <c r="S1019" s="37">
        <f t="shared" si="31"/>
        <v>84674.988776767859</v>
      </c>
      <c r="U1019" s="26">
        <f t="shared" si="30"/>
        <v>-0.40260000000000001</v>
      </c>
    </row>
    <row r="1020" spans="19:21" ht="14.65" thickBot="1" x14ac:dyDescent="0.5">
      <c r="S1020" s="37">
        <f t="shared" si="31"/>
        <v>85521.738664535544</v>
      </c>
      <c r="U1020" s="26">
        <f t="shared" si="30"/>
        <v>-0.40260000000000001</v>
      </c>
    </row>
    <row r="1021" spans="19:21" ht="14.65" thickBot="1" x14ac:dyDescent="0.5">
      <c r="S1021" s="37">
        <f t="shared" si="31"/>
        <v>86376.956051180896</v>
      </c>
      <c r="U1021" s="26">
        <f t="shared" si="30"/>
        <v>-0.40260000000000001</v>
      </c>
    </row>
    <row r="1022" spans="19:21" ht="14.65" thickBot="1" x14ac:dyDescent="0.5">
      <c r="S1022" s="37">
        <f t="shared" si="31"/>
        <v>87240.725611692702</v>
      </c>
      <c r="U1022" s="26">
        <f t="shared" si="30"/>
        <v>-0.40260000000000001</v>
      </c>
    </row>
    <row r="1023" spans="19:21" ht="14.65" thickBot="1" x14ac:dyDescent="0.5">
      <c r="S1023" s="37">
        <f t="shared" si="31"/>
        <v>88113.132867809632</v>
      </c>
      <c r="U1023" s="26">
        <f t="shared" si="30"/>
        <v>-0.40260000000000001</v>
      </c>
    </row>
    <row r="1024" spans="19:21" ht="14.65" thickBot="1" x14ac:dyDescent="0.5">
      <c r="S1024" s="37">
        <f t="shared" si="31"/>
        <v>88994.264196487726</v>
      </c>
      <c r="U1024" s="26">
        <f t="shared" si="30"/>
        <v>-0.40260000000000001</v>
      </c>
    </row>
    <row r="1025" spans="19:21" ht="14.65" thickBot="1" x14ac:dyDescent="0.5">
      <c r="S1025" s="37">
        <f t="shared" si="31"/>
        <v>89884.206838452606</v>
      </c>
      <c r="U1025" s="26">
        <f t="shared" si="30"/>
        <v>-0.40260000000000001</v>
      </c>
    </row>
    <row r="1026" spans="19:21" ht="14.65" thickBot="1" x14ac:dyDescent="0.5">
      <c r="S1026" s="37">
        <f t="shared" si="31"/>
        <v>90783.048906837139</v>
      </c>
      <c r="U1026" s="26">
        <f t="shared" si="30"/>
        <v>-0.40260000000000001</v>
      </c>
    </row>
    <row r="1027" spans="19:21" ht="14.65" thickBot="1" x14ac:dyDescent="0.5">
      <c r="S1027" s="37">
        <f t="shared" si="31"/>
        <v>91690.879395905518</v>
      </c>
      <c r="U1027" s="26">
        <f t="shared" si="30"/>
        <v>-0.40260000000000001</v>
      </c>
    </row>
    <row r="1028" spans="19:21" ht="14.65" thickBot="1" x14ac:dyDescent="0.5">
      <c r="S1028" s="37">
        <f t="shared" si="31"/>
        <v>92607.788189864572</v>
      </c>
      <c r="U1028" s="26">
        <f t="shared" si="30"/>
        <v>-0.40260000000000001</v>
      </c>
    </row>
    <row r="1029" spans="19:21" ht="14.65" thickBot="1" x14ac:dyDescent="0.5">
      <c r="S1029" s="37">
        <f t="shared" si="31"/>
        <v>93533.866071763216</v>
      </c>
      <c r="U1029" s="26">
        <f t="shared" si="30"/>
        <v>-0.40260000000000001</v>
      </c>
    </row>
    <row r="1030" spans="19:21" ht="14.65" thickBot="1" x14ac:dyDescent="0.5">
      <c r="S1030" s="37">
        <f t="shared" si="31"/>
        <v>94469.204732480852</v>
      </c>
      <c r="U1030" s="26">
        <f t="shared" si="30"/>
        <v>-0.40260000000000001</v>
      </c>
    </row>
    <row r="1031" spans="19:21" ht="14.65" thickBot="1" x14ac:dyDescent="0.5">
      <c r="S1031" s="37">
        <f t="shared" si="31"/>
        <v>95413.896779805655</v>
      </c>
      <c r="U1031" s="26">
        <f t="shared" si="30"/>
        <v>-0.40260000000000001</v>
      </c>
    </row>
    <row r="1032" spans="19:21" ht="14.65" thickBot="1" x14ac:dyDescent="0.5">
      <c r="S1032" s="37">
        <f t="shared" si="31"/>
        <v>96368.035747603717</v>
      </c>
      <c r="U1032" s="26">
        <f t="shared" si="30"/>
        <v>-0.40260000000000001</v>
      </c>
    </row>
    <row r="1033" spans="19:21" ht="14.65" thickBot="1" x14ac:dyDescent="0.5">
      <c r="S1033" s="37">
        <f t="shared" si="31"/>
        <v>97331.716105079759</v>
      </c>
      <c r="U1033" s="26">
        <f t="shared" si="30"/>
        <v>-0.40260000000000001</v>
      </c>
    </row>
  </sheetData>
  <conditionalFormatting sqref="D13">
    <cfRule type="cellIs" dxfId="19" priority="3" operator="greaterThan">
      <formula>0</formula>
    </cfRule>
    <cfRule type="cellIs" dxfId="18" priority="4" operator="lessThan">
      <formula>0</formula>
    </cfRule>
  </conditionalFormatting>
  <conditionalFormatting sqref="U18:U1033">
    <cfRule type="cellIs" dxfId="17" priority="1" operator="greaterThan">
      <formula>0</formula>
    </cfRule>
    <cfRule type="cellIs" dxfId="16" priority="2" operator="lessThan">
      <formula>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26BCA-BF0C-4E8E-B0A0-363BD9D04102}">
  <dimension ref="A1:U1034"/>
  <sheetViews>
    <sheetView zoomScaleNormal="100" workbookViewId="0">
      <selection activeCell="S19" sqref="S19:S1034"/>
    </sheetView>
  </sheetViews>
  <sheetFormatPr defaultColWidth="9.1328125" defaultRowHeight="14.25" x14ac:dyDescent="0.45"/>
  <cols>
    <col min="1" max="1" width="12.1328125" style="1" customWidth="1"/>
    <col min="2" max="2" width="1.59765625" style="1" customWidth="1"/>
    <col min="3" max="7" width="33.3984375" style="1" customWidth="1"/>
    <col min="8" max="8" width="40.59765625" style="1" customWidth="1"/>
    <col min="9" max="10" width="9.1328125" style="1"/>
    <col min="11" max="11" width="13.3984375" style="1" customWidth="1"/>
    <col min="12" max="12" width="20" style="1" customWidth="1"/>
    <col min="13" max="14" width="11.86328125" style="1" customWidth="1"/>
    <col min="15" max="16384" width="9.1328125" style="1"/>
  </cols>
  <sheetData>
    <row r="1" spans="1:10" ht="18" x14ac:dyDescent="0.55000000000000004">
      <c r="A1" s="28" t="s">
        <v>74</v>
      </c>
    </row>
    <row r="2" spans="1:10" x14ac:dyDescent="0.45">
      <c r="C2" s="20"/>
      <c r="E2" s="20" t="s">
        <v>83</v>
      </c>
    </row>
    <row r="3" spans="1:10" ht="14.65" thickBot="1" x14ac:dyDescent="0.5">
      <c r="E3" s="20" t="s">
        <v>76</v>
      </c>
    </row>
    <row r="4" spans="1:10" ht="30.75" customHeight="1" x14ac:dyDescent="0.45">
      <c r="C4" s="6" t="s">
        <v>30</v>
      </c>
      <c r="D4" s="7" t="s">
        <v>15</v>
      </c>
      <c r="E4" s="7" t="s">
        <v>31</v>
      </c>
      <c r="F4" s="7" t="s">
        <v>35</v>
      </c>
      <c r="G4" s="7" t="s">
        <v>34</v>
      </c>
      <c r="H4" s="8" t="s">
        <v>78</v>
      </c>
      <c r="J4" s="4"/>
    </row>
    <row r="5" spans="1:10" ht="30.75" customHeight="1" thickBot="1" x14ac:dyDescent="0.5">
      <c r="C5" s="34" t="s">
        <v>75</v>
      </c>
      <c r="D5" s="9" t="s">
        <v>32</v>
      </c>
      <c r="E5" s="9" t="s">
        <v>77</v>
      </c>
      <c r="F5" s="9" t="s">
        <v>37</v>
      </c>
      <c r="G5" s="9" t="s">
        <v>70</v>
      </c>
      <c r="H5" s="10" t="s">
        <v>84</v>
      </c>
      <c r="J5" s="4"/>
    </row>
    <row r="6" spans="1:10" ht="30.75" customHeight="1" thickBot="1" x14ac:dyDescent="0.5">
      <c r="E6" s="4"/>
    </row>
    <row r="7" spans="1:10" x14ac:dyDescent="0.45">
      <c r="C7" s="6" t="s">
        <v>79</v>
      </c>
      <c r="D7" s="31">
        <v>135</v>
      </c>
    </row>
    <row r="8" spans="1:10" x14ac:dyDescent="0.45">
      <c r="C8" s="29" t="s">
        <v>80</v>
      </c>
      <c r="D8" s="22">
        <v>135</v>
      </c>
    </row>
    <row r="9" spans="1:10" x14ac:dyDescent="0.45">
      <c r="C9" s="29" t="s">
        <v>66</v>
      </c>
      <c r="D9" s="22">
        <v>8.52</v>
      </c>
    </row>
    <row r="10" spans="1:10" x14ac:dyDescent="0.45">
      <c r="C10" s="29" t="s">
        <v>67</v>
      </c>
      <c r="D10" s="22">
        <v>7.37</v>
      </c>
    </row>
    <row r="11" spans="1:10" x14ac:dyDescent="0.45">
      <c r="C11" s="29" t="s">
        <v>28</v>
      </c>
      <c r="D11" s="22">
        <v>70</v>
      </c>
    </row>
    <row r="12" spans="1:10" x14ac:dyDescent="0.45">
      <c r="C12" s="29" t="s">
        <v>81</v>
      </c>
      <c r="D12" s="24">
        <f>D8-D9-D10</f>
        <v>119.11</v>
      </c>
    </row>
    <row r="13" spans="1:10" x14ac:dyDescent="0.45">
      <c r="C13" s="32" t="s">
        <v>82</v>
      </c>
      <c r="D13" s="33">
        <f>D7+D9+D10</f>
        <v>150.89000000000001</v>
      </c>
    </row>
    <row r="14" spans="1:10" ht="14.65" thickBot="1" x14ac:dyDescent="0.5">
      <c r="C14" s="30" t="s">
        <v>29</v>
      </c>
      <c r="D14" s="26">
        <f>IF(D11&lt;D8,D8-D11-D9-D10,D11-D7-D9-D10)</f>
        <v>49.110000000000007</v>
      </c>
    </row>
    <row r="18" spans="19:21" x14ac:dyDescent="0.45">
      <c r="S18" s="1" t="s">
        <v>25</v>
      </c>
    </row>
    <row r="19" spans="19:21" ht="14.65" thickBot="1" x14ac:dyDescent="0.5">
      <c r="S19" s="37">
        <f>ROUND((D7-(0.3*D7)),0)</f>
        <v>95</v>
      </c>
      <c r="U19" s="26">
        <f>IF(S19&lt;$D$8,$D$8-S19-$D$9-$D$10,S19-$D$7-$D$9-$D$10)</f>
        <v>24.11</v>
      </c>
    </row>
    <row r="20" spans="19:21" ht="14.65" thickBot="1" x14ac:dyDescent="0.5">
      <c r="S20" s="37">
        <f>S19*(1.01)</f>
        <v>95.95</v>
      </c>
      <c r="U20" s="26">
        <f t="shared" ref="U20:U83" si="0">IF(S20&lt;$D$8,$D$8-S20-$D$9-$D$10,S20-$D$7-$D$9-$D$10)</f>
        <v>23.159999999999997</v>
      </c>
    </row>
    <row r="21" spans="19:21" ht="14.65" thickBot="1" x14ac:dyDescent="0.5">
      <c r="S21" s="37">
        <f t="shared" ref="S21:S84" si="1">S20*(1.01)</f>
        <v>96.909500000000008</v>
      </c>
      <c r="U21" s="26">
        <f t="shared" si="0"/>
        <v>22.200499999999991</v>
      </c>
    </row>
    <row r="22" spans="19:21" ht="14.65" thickBot="1" x14ac:dyDescent="0.5">
      <c r="S22" s="37">
        <f t="shared" si="1"/>
        <v>97.878595000000004</v>
      </c>
      <c r="U22" s="26">
        <f t="shared" si="0"/>
        <v>21.231404999999995</v>
      </c>
    </row>
    <row r="23" spans="19:21" ht="14.65" thickBot="1" x14ac:dyDescent="0.5">
      <c r="S23" s="37">
        <f t="shared" si="1"/>
        <v>98.857380950000007</v>
      </c>
      <c r="U23" s="26">
        <f t="shared" si="0"/>
        <v>20.252619049999993</v>
      </c>
    </row>
    <row r="24" spans="19:21" ht="14.65" thickBot="1" x14ac:dyDescent="0.5">
      <c r="S24" s="37">
        <f t="shared" si="1"/>
        <v>99.845954759500003</v>
      </c>
      <c r="U24" s="26">
        <f t="shared" si="0"/>
        <v>19.264045240499996</v>
      </c>
    </row>
    <row r="25" spans="19:21" ht="14.65" thickBot="1" x14ac:dyDescent="0.5">
      <c r="S25" s="37">
        <f t="shared" si="1"/>
        <v>100.84441430709501</v>
      </c>
      <c r="U25" s="26">
        <f t="shared" si="0"/>
        <v>18.265585692904992</v>
      </c>
    </row>
    <row r="26" spans="19:21" ht="14.65" thickBot="1" x14ac:dyDescent="0.5">
      <c r="S26" s="37">
        <f t="shared" si="1"/>
        <v>101.85285845016595</v>
      </c>
      <c r="U26" s="26">
        <f t="shared" si="0"/>
        <v>17.257141549834046</v>
      </c>
    </row>
    <row r="27" spans="19:21" ht="14.65" thickBot="1" x14ac:dyDescent="0.5">
      <c r="S27" s="37">
        <f>S26*(1.01)</f>
        <v>102.87138703466762</v>
      </c>
      <c r="U27" s="26">
        <f t="shared" si="0"/>
        <v>16.238612965332379</v>
      </c>
    </row>
    <row r="28" spans="19:21" ht="14.65" thickBot="1" x14ac:dyDescent="0.5">
      <c r="S28" s="37">
        <f t="shared" si="1"/>
        <v>103.9001009050143</v>
      </c>
      <c r="U28" s="26">
        <f t="shared" si="0"/>
        <v>15.209899094985701</v>
      </c>
    </row>
    <row r="29" spans="19:21" ht="14.65" thickBot="1" x14ac:dyDescent="0.5">
      <c r="S29" s="37">
        <f t="shared" si="1"/>
        <v>104.93910191406444</v>
      </c>
      <c r="U29" s="26">
        <f t="shared" si="0"/>
        <v>14.170898085935562</v>
      </c>
    </row>
    <row r="30" spans="19:21" ht="14.65" thickBot="1" x14ac:dyDescent="0.5">
      <c r="S30" s="37">
        <f t="shared" si="1"/>
        <v>105.98849293320508</v>
      </c>
      <c r="U30" s="26">
        <f t="shared" si="0"/>
        <v>13.121507066794919</v>
      </c>
    </row>
    <row r="31" spans="19:21" ht="14.65" thickBot="1" x14ac:dyDescent="0.5">
      <c r="S31" s="37">
        <f t="shared" si="1"/>
        <v>107.04837786253714</v>
      </c>
      <c r="U31" s="26">
        <f t="shared" si="0"/>
        <v>12.061622137462862</v>
      </c>
    </row>
    <row r="32" spans="19:21" ht="14.65" thickBot="1" x14ac:dyDescent="0.5">
      <c r="S32" s="37">
        <f t="shared" si="1"/>
        <v>108.11886164116251</v>
      </c>
      <c r="U32" s="26">
        <f t="shared" si="0"/>
        <v>10.991138358837489</v>
      </c>
    </row>
    <row r="33" spans="19:21" ht="14.65" thickBot="1" x14ac:dyDescent="0.5">
      <c r="S33" s="37">
        <f>S32*(1.01)</f>
        <v>109.20005025757413</v>
      </c>
      <c r="U33" s="26">
        <f t="shared" si="0"/>
        <v>9.9099497424258658</v>
      </c>
    </row>
    <row r="34" spans="19:21" ht="14.65" thickBot="1" x14ac:dyDescent="0.5">
      <c r="S34" s="37">
        <f t="shared" si="1"/>
        <v>110.29205076014988</v>
      </c>
      <c r="U34" s="26">
        <f t="shared" si="0"/>
        <v>8.8179492398501225</v>
      </c>
    </row>
    <row r="35" spans="19:21" ht="14.65" thickBot="1" x14ac:dyDescent="0.5">
      <c r="S35" s="37">
        <f t="shared" si="1"/>
        <v>111.39497126775137</v>
      </c>
      <c r="U35" s="26">
        <f t="shared" si="0"/>
        <v>7.7150287322486273</v>
      </c>
    </row>
    <row r="36" spans="19:21" ht="14.65" thickBot="1" x14ac:dyDescent="0.5">
      <c r="S36" s="37">
        <f t="shared" si="1"/>
        <v>112.50892098042888</v>
      </c>
      <c r="U36" s="26">
        <f>IF(S36&lt;$D$8,$D$8-S36-$D$9-$D$10,S36-$D$7-$D$9-$D$10)</f>
        <v>6.6010790195711175</v>
      </c>
    </row>
    <row r="37" spans="19:21" ht="14.65" thickBot="1" x14ac:dyDescent="0.5">
      <c r="S37" s="37">
        <f t="shared" si="1"/>
        <v>113.63401019023317</v>
      </c>
      <c r="U37" s="26">
        <f t="shared" si="0"/>
        <v>5.4759898097668307</v>
      </c>
    </row>
    <row r="38" spans="19:21" ht="14.65" thickBot="1" x14ac:dyDescent="0.5">
      <c r="S38" s="37">
        <f t="shared" si="1"/>
        <v>114.7703502921355</v>
      </c>
      <c r="U38" s="26">
        <f t="shared" si="0"/>
        <v>4.3396497078644964</v>
      </c>
    </row>
    <row r="39" spans="19:21" ht="14.65" thickBot="1" x14ac:dyDescent="0.5">
      <c r="S39" s="37">
        <f t="shared" si="1"/>
        <v>115.91805379505686</v>
      </c>
      <c r="U39" s="26">
        <f t="shared" si="0"/>
        <v>3.1919462049431369</v>
      </c>
    </row>
    <row r="40" spans="19:21" ht="14.65" thickBot="1" x14ac:dyDescent="0.5">
      <c r="S40" s="37">
        <f t="shared" si="1"/>
        <v>117.07723433300744</v>
      </c>
      <c r="U40" s="26">
        <f t="shared" si="0"/>
        <v>2.0327656669925611</v>
      </c>
    </row>
    <row r="41" spans="19:21" ht="14.65" thickBot="1" x14ac:dyDescent="0.5">
      <c r="S41" s="37">
        <f t="shared" si="1"/>
        <v>118.24800667633751</v>
      </c>
      <c r="U41" s="26">
        <f t="shared" si="0"/>
        <v>0.86199332366248971</v>
      </c>
    </row>
    <row r="42" spans="19:21" ht="14.65" thickBot="1" x14ac:dyDescent="0.5">
      <c r="S42" s="37">
        <f t="shared" si="1"/>
        <v>119.43048674310089</v>
      </c>
      <c r="U42" s="26">
        <f t="shared" si="0"/>
        <v>-0.32048674310088554</v>
      </c>
    </row>
    <row r="43" spans="19:21" ht="14.65" thickBot="1" x14ac:dyDescent="0.5">
      <c r="S43" s="37">
        <f t="shared" si="1"/>
        <v>120.6247916105319</v>
      </c>
      <c r="U43" s="26">
        <f t="shared" si="0"/>
        <v>-1.5147916105319004</v>
      </c>
    </row>
    <row r="44" spans="19:21" ht="14.65" thickBot="1" x14ac:dyDescent="0.5">
      <c r="S44" s="37">
        <f t="shared" si="1"/>
        <v>121.83103952663723</v>
      </c>
      <c r="U44" s="26">
        <f t="shared" si="0"/>
        <v>-2.7210395266372265</v>
      </c>
    </row>
    <row r="45" spans="19:21" ht="14.65" thickBot="1" x14ac:dyDescent="0.5">
      <c r="S45" s="37">
        <f t="shared" si="1"/>
        <v>123.0493499219036</v>
      </c>
      <c r="U45" s="26">
        <f t="shared" si="0"/>
        <v>-3.9393499219035979</v>
      </c>
    </row>
    <row r="46" spans="19:21" ht="14.65" thickBot="1" x14ac:dyDescent="0.5">
      <c r="S46" s="37">
        <f t="shared" si="1"/>
        <v>124.27984342112264</v>
      </c>
      <c r="U46" s="26">
        <f t="shared" si="0"/>
        <v>-5.1698434211226347</v>
      </c>
    </row>
    <row r="47" spans="19:21" ht="14.65" thickBot="1" x14ac:dyDescent="0.5">
      <c r="S47" s="37">
        <f t="shared" si="1"/>
        <v>125.52264185533386</v>
      </c>
      <c r="U47" s="26">
        <f t="shared" si="0"/>
        <v>-6.4126418553338587</v>
      </c>
    </row>
    <row r="48" spans="19:21" ht="14.65" thickBot="1" x14ac:dyDescent="0.5">
      <c r="S48" s="37">
        <f t="shared" si="1"/>
        <v>126.77786827388719</v>
      </c>
      <c r="U48" s="26">
        <f t="shared" si="0"/>
        <v>-7.6678682738871933</v>
      </c>
    </row>
    <row r="49" spans="19:21" ht="14.65" thickBot="1" x14ac:dyDescent="0.5">
      <c r="S49" s="37">
        <f t="shared" si="1"/>
        <v>128.04564695662606</v>
      </c>
      <c r="U49" s="26">
        <f t="shared" si="0"/>
        <v>-8.9356469566260586</v>
      </c>
    </row>
    <row r="50" spans="19:21" ht="14.65" thickBot="1" x14ac:dyDescent="0.5">
      <c r="S50" s="37">
        <f t="shared" si="1"/>
        <v>129.32610342619233</v>
      </c>
      <c r="U50" s="26">
        <f t="shared" si="0"/>
        <v>-10.216103426192333</v>
      </c>
    </row>
    <row r="51" spans="19:21" ht="14.65" thickBot="1" x14ac:dyDescent="0.5">
      <c r="S51" s="37">
        <f t="shared" si="1"/>
        <v>130.61936446045425</v>
      </c>
      <c r="U51" s="26">
        <f t="shared" si="0"/>
        <v>-11.50936446045425</v>
      </c>
    </row>
    <row r="52" spans="19:21" ht="14.65" thickBot="1" x14ac:dyDescent="0.5">
      <c r="S52" s="37">
        <f t="shared" si="1"/>
        <v>131.9255581050588</v>
      </c>
      <c r="U52" s="26">
        <f t="shared" si="0"/>
        <v>-12.815558105058798</v>
      </c>
    </row>
    <row r="53" spans="19:21" ht="14.65" thickBot="1" x14ac:dyDescent="0.5">
      <c r="S53" s="37">
        <f t="shared" si="1"/>
        <v>133.24481368610938</v>
      </c>
      <c r="U53" s="26">
        <f t="shared" si="0"/>
        <v>-14.134813686109382</v>
      </c>
    </row>
    <row r="54" spans="19:21" ht="14.65" thickBot="1" x14ac:dyDescent="0.5">
      <c r="S54" s="37">
        <f t="shared" si="1"/>
        <v>134.57726182297048</v>
      </c>
      <c r="U54" s="26">
        <f t="shared" si="0"/>
        <v>-15.467261822970485</v>
      </c>
    </row>
    <row r="55" spans="19:21" ht="14.65" thickBot="1" x14ac:dyDescent="0.5">
      <c r="S55" s="37">
        <f t="shared" si="1"/>
        <v>135.9230344412002</v>
      </c>
      <c r="U55" s="26">
        <f t="shared" si="0"/>
        <v>-14.966965558799799</v>
      </c>
    </row>
    <row r="56" spans="19:21" ht="14.65" thickBot="1" x14ac:dyDescent="0.5">
      <c r="S56" s="37">
        <f t="shared" si="1"/>
        <v>137.2822647856122</v>
      </c>
      <c r="U56" s="26">
        <f t="shared" si="0"/>
        <v>-13.607735214387802</v>
      </c>
    </row>
    <row r="57" spans="19:21" ht="14.65" thickBot="1" x14ac:dyDescent="0.5">
      <c r="S57" s="37">
        <f t="shared" si="1"/>
        <v>138.65508743346831</v>
      </c>
      <c r="U57" s="26">
        <f t="shared" si="0"/>
        <v>-12.23491256653169</v>
      </c>
    </row>
    <row r="58" spans="19:21" ht="14.65" thickBot="1" x14ac:dyDescent="0.5">
      <c r="S58" s="37">
        <f t="shared" si="1"/>
        <v>140.041638307803</v>
      </c>
      <c r="U58" s="26">
        <f t="shared" si="0"/>
        <v>-10.848361692197003</v>
      </c>
    </row>
    <row r="59" spans="19:21" ht="14.65" thickBot="1" x14ac:dyDescent="0.5">
      <c r="S59" s="37">
        <f t="shared" si="1"/>
        <v>141.44205469088104</v>
      </c>
      <c r="U59" s="26">
        <f t="shared" si="0"/>
        <v>-9.447945309118964</v>
      </c>
    </row>
    <row r="60" spans="19:21" ht="14.65" thickBot="1" x14ac:dyDescent="0.5">
      <c r="S60" s="37">
        <f t="shared" si="1"/>
        <v>142.85647523778985</v>
      </c>
      <c r="U60" s="26">
        <f t="shared" si="0"/>
        <v>-8.0335247622101491</v>
      </c>
    </row>
    <row r="61" spans="19:21" ht="14.65" thickBot="1" x14ac:dyDescent="0.5">
      <c r="S61" s="37">
        <f t="shared" si="1"/>
        <v>144.28503999016775</v>
      </c>
      <c r="U61" s="26">
        <f t="shared" si="0"/>
        <v>-6.6049600098322534</v>
      </c>
    </row>
    <row r="62" spans="19:21" ht="14.65" thickBot="1" x14ac:dyDescent="0.5">
      <c r="S62" s="37">
        <f t="shared" si="1"/>
        <v>145.72789039006943</v>
      </c>
      <c r="U62" s="26">
        <f t="shared" si="0"/>
        <v>-5.1621096099305666</v>
      </c>
    </row>
    <row r="63" spans="19:21" ht="14.65" thickBot="1" x14ac:dyDescent="0.5">
      <c r="S63" s="37">
        <f t="shared" si="1"/>
        <v>147.18516929397012</v>
      </c>
      <c r="U63" s="26">
        <f t="shared" si="0"/>
        <v>-3.7048307060298802</v>
      </c>
    </row>
    <row r="64" spans="19:21" ht="14.65" thickBot="1" x14ac:dyDescent="0.5">
      <c r="S64" s="37">
        <f t="shared" si="1"/>
        <v>148.65702098690983</v>
      </c>
      <c r="U64" s="26">
        <f t="shared" si="0"/>
        <v>-2.2329790130901719</v>
      </c>
    </row>
    <row r="65" spans="19:21" ht="14.65" thickBot="1" x14ac:dyDescent="0.5">
      <c r="S65" s="37">
        <f t="shared" si="1"/>
        <v>150.14359119677891</v>
      </c>
      <c r="U65" s="26">
        <f t="shared" si="0"/>
        <v>-0.74640880322108583</v>
      </c>
    </row>
    <row r="66" spans="19:21" ht="14.65" thickBot="1" x14ac:dyDescent="0.5">
      <c r="S66" s="37">
        <f t="shared" si="1"/>
        <v>151.64502710874672</v>
      </c>
      <c r="U66" s="26">
        <f t="shared" si="0"/>
        <v>0.75502710874671752</v>
      </c>
    </row>
    <row r="67" spans="19:21" ht="14.65" thickBot="1" x14ac:dyDescent="0.5">
      <c r="S67" s="37">
        <f t="shared" si="1"/>
        <v>153.1614773798342</v>
      </c>
      <c r="U67" s="26">
        <f t="shared" si="0"/>
        <v>2.2714773798341961</v>
      </c>
    </row>
    <row r="68" spans="19:21" ht="14.65" thickBot="1" x14ac:dyDescent="0.5">
      <c r="S68" s="37">
        <f t="shared" si="1"/>
        <v>154.69309215363253</v>
      </c>
      <c r="U68" s="26">
        <f t="shared" si="0"/>
        <v>3.8030921536325346</v>
      </c>
    </row>
    <row r="69" spans="19:21" ht="14.65" thickBot="1" x14ac:dyDescent="0.5">
      <c r="S69" s="37">
        <f t="shared" si="1"/>
        <v>156.24002307516886</v>
      </c>
      <c r="U69" s="26">
        <f t="shared" si="0"/>
        <v>5.3500230751688642</v>
      </c>
    </row>
    <row r="70" spans="19:21" ht="14.65" thickBot="1" x14ac:dyDescent="0.5">
      <c r="S70" s="37">
        <f t="shared" si="1"/>
        <v>157.80242330592054</v>
      </c>
      <c r="U70" s="26">
        <f t="shared" si="0"/>
        <v>6.9124233059205418</v>
      </c>
    </row>
    <row r="71" spans="19:21" ht="14.65" thickBot="1" x14ac:dyDescent="0.5">
      <c r="S71" s="37">
        <f t="shared" si="1"/>
        <v>159.38044753897975</v>
      </c>
      <c r="U71" s="26">
        <f t="shared" si="0"/>
        <v>8.4904475389797511</v>
      </c>
    </row>
    <row r="72" spans="19:21" ht="14.65" thickBot="1" x14ac:dyDescent="0.5">
      <c r="S72" s="37">
        <f t="shared" si="1"/>
        <v>160.97425201436954</v>
      </c>
      <c r="U72" s="26">
        <f t="shared" si="0"/>
        <v>10.08425201436954</v>
      </c>
    </row>
    <row r="73" spans="19:21" ht="14.65" thickBot="1" x14ac:dyDescent="0.5">
      <c r="S73" s="37">
        <f t="shared" si="1"/>
        <v>162.58399453451324</v>
      </c>
      <c r="U73" s="26">
        <f t="shared" si="0"/>
        <v>11.693994534513237</v>
      </c>
    </row>
    <row r="74" spans="19:21" ht="14.65" thickBot="1" x14ac:dyDescent="0.5">
      <c r="S74" s="37">
        <f t="shared" si="1"/>
        <v>164.20983447985836</v>
      </c>
      <c r="U74" s="26">
        <f t="shared" si="0"/>
        <v>13.319834479858358</v>
      </c>
    </row>
    <row r="75" spans="19:21" ht="14.65" thickBot="1" x14ac:dyDescent="0.5">
      <c r="S75" s="37">
        <f t="shared" si="1"/>
        <v>165.85193282465696</v>
      </c>
      <c r="U75" s="26">
        <f t="shared" si="0"/>
        <v>14.961932824656955</v>
      </c>
    </row>
    <row r="76" spans="19:21" ht="14.65" thickBot="1" x14ac:dyDescent="0.5">
      <c r="S76" s="37">
        <f t="shared" si="1"/>
        <v>167.51045215290353</v>
      </c>
      <c r="U76" s="26">
        <f t="shared" si="0"/>
        <v>16.620452152903525</v>
      </c>
    </row>
    <row r="77" spans="19:21" ht="14.65" thickBot="1" x14ac:dyDescent="0.5">
      <c r="S77" s="37">
        <f t="shared" si="1"/>
        <v>169.18555667443258</v>
      </c>
      <c r="U77" s="26">
        <f t="shared" si="0"/>
        <v>18.295556674432575</v>
      </c>
    </row>
    <row r="78" spans="19:21" ht="14.65" thickBot="1" x14ac:dyDescent="0.5">
      <c r="S78" s="37">
        <f t="shared" si="1"/>
        <v>170.8774122411769</v>
      </c>
      <c r="U78" s="26">
        <f t="shared" si="0"/>
        <v>19.987412241176898</v>
      </c>
    </row>
    <row r="79" spans="19:21" ht="14.65" thickBot="1" x14ac:dyDescent="0.5">
      <c r="S79" s="37">
        <f t="shared" si="1"/>
        <v>172.58618636358867</v>
      </c>
      <c r="U79" s="26">
        <f t="shared" si="0"/>
        <v>21.696186363588666</v>
      </c>
    </row>
    <row r="80" spans="19:21" ht="14.65" thickBot="1" x14ac:dyDescent="0.5">
      <c r="S80" s="37">
        <f t="shared" si="1"/>
        <v>174.31204822722455</v>
      </c>
      <c r="U80" s="26">
        <f t="shared" si="0"/>
        <v>23.42204822722455</v>
      </c>
    </row>
    <row r="81" spans="19:21" ht="14.65" thickBot="1" x14ac:dyDescent="0.5">
      <c r="S81" s="37">
        <f t="shared" si="1"/>
        <v>176.0551687094968</v>
      </c>
      <c r="U81" s="26">
        <f t="shared" si="0"/>
        <v>25.1651687094968</v>
      </c>
    </row>
    <row r="82" spans="19:21" ht="14.65" thickBot="1" x14ac:dyDescent="0.5">
      <c r="S82" s="37">
        <f t="shared" si="1"/>
        <v>177.81572039659176</v>
      </c>
      <c r="U82" s="26">
        <f t="shared" si="0"/>
        <v>26.92572039659176</v>
      </c>
    </row>
    <row r="83" spans="19:21" ht="14.65" thickBot="1" x14ac:dyDescent="0.5">
      <c r="S83" s="37">
        <f t="shared" si="1"/>
        <v>179.59387760055768</v>
      </c>
      <c r="U83" s="26">
        <f t="shared" si="0"/>
        <v>28.703877600557679</v>
      </c>
    </row>
    <row r="84" spans="19:21" ht="14.65" thickBot="1" x14ac:dyDescent="0.5">
      <c r="S84" s="37">
        <f t="shared" si="1"/>
        <v>181.38981637656326</v>
      </c>
      <c r="U84" s="26">
        <f t="shared" ref="U84:U147" si="2">IF(S84&lt;$D$8,$D$8-S84-$D$9-$D$10,S84-$D$7-$D$9-$D$10)</f>
        <v>30.499816376563263</v>
      </c>
    </row>
    <row r="85" spans="19:21" ht="14.65" thickBot="1" x14ac:dyDescent="0.5">
      <c r="S85" s="37">
        <f t="shared" ref="S85:S148" si="3">S84*(1.01)</f>
        <v>183.20371454032889</v>
      </c>
      <c r="U85" s="26">
        <f t="shared" si="2"/>
        <v>32.313714540328895</v>
      </c>
    </row>
    <row r="86" spans="19:21" ht="14.65" thickBot="1" x14ac:dyDescent="0.5">
      <c r="S86" s="37">
        <f t="shared" si="3"/>
        <v>185.03575168573218</v>
      </c>
      <c r="U86" s="26">
        <f t="shared" si="2"/>
        <v>34.145751685732186</v>
      </c>
    </row>
    <row r="87" spans="19:21" ht="14.65" thickBot="1" x14ac:dyDescent="0.5">
      <c r="S87" s="37">
        <f t="shared" si="3"/>
        <v>186.88610920258949</v>
      </c>
      <c r="U87" s="26">
        <f t="shared" si="2"/>
        <v>35.996109202589501</v>
      </c>
    </row>
    <row r="88" spans="19:21" ht="14.65" thickBot="1" x14ac:dyDescent="0.5">
      <c r="S88" s="37">
        <f t="shared" si="3"/>
        <v>188.75497029461539</v>
      </c>
      <c r="U88" s="26">
        <f t="shared" si="2"/>
        <v>37.864970294615397</v>
      </c>
    </row>
    <row r="89" spans="19:21" ht="14.65" thickBot="1" x14ac:dyDescent="0.5">
      <c r="S89" s="37">
        <f t="shared" si="3"/>
        <v>190.64251999756155</v>
      </c>
      <c r="U89" s="26">
        <f t="shared" si="2"/>
        <v>39.752519997561556</v>
      </c>
    </row>
    <row r="90" spans="19:21" ht="14.65" thickBot="1" x14ac:dyDescent="0.5">
      <c r="S90" s="37">
        <f t="shared" si="3"/>
        <v>192.54894519753717</v>
      </c>
      <c r="U90" s="26">
        <f t="shared" si="2"/>
        <v>41.658945197537172</v>
      </c>
    </row>
    <row r="91" spans="19:21" ht="14.65" thickBot="1" x14ac:dyDescent="0.5">
      <c r="S91" s="37">
        <f t="shared" si="3"/>
        <v>194.47443464951255</v>
      </c>
      <c r="U91" s="26">
        <f t="shared" si="2"/>
        <v>43.584434649512552</v>
      </c>
    </row>
    <row r="92" spans="19:21" ht="14.65" thickBot="1" x14ac:dyDescent="0.5">
      <c r="S92" s="37">
        <f t="shared" si="3"/>
        <v>196.41917899600767</v>
      </c>
      <c r="U92" s="26">
        <f t="shared" si="2"/>
        <v>45.52917899600768</v>
      </c>
    </row>
    <row r="93" spans="19:21" ht="14.65" thickBot="1" x14ac:dyDescent="0.5">
      <c r="S93" s="37">
        <f t="shared" si="3"/>
        <v>198.38337078596774</v>
      </c>
      <c r="U93" s="26">
        <f t="shared" si="2"/>
        <v>47.493370785967748</v>
      </c>
    </row>
    <row r="94" spans="19:21" ht="14.65" thickBot="1" x14ac:dyDescent="0.5">
      <c r="S94" s="37">
        <f t="shared" si="3"/>
        <v>200.36720449382742</v>
      </c>
      <c r="U94" s="26">
        <f t="shared" si="2"/>
        <v>49.477204493827422</v>
      </c>
    </row>
    <row r="95" spans="19:21" ht="14.65" thickBot="1" x14ac:dyDescent="0.5">
      <c r="S95" s="37">
        <f t="shared" si="3"/>
        <v>202.37087653876569</v>
      </c>
      <c r="U95" s="26">
        <f t="shared" si="2"/>
        <v>51.480876538765692</v>
      </c>
    </row>
    <row r="96" spans="19:21" ht="14.65" thickBot="1" x14ac:dyDescent="0.5">
      <c r="S96" s="37">
        <f t="shared" si="3"/>
        <v>204.39458530415334</v>
      </c>
      <c r="U96" s="26">
        <f t="shared" si="2"/>
        <v>53.504585304153345</v>
      </c>
    </row>
    <row r="97" spans="19:21" ht="14.65" thickBot="1" x14ac:dyDescent="0.5">
      <c r="S97" s="37">
        <f t="shared" si="3"/>
        <v>206.43853115719489</v>
      </c>
      <c r="U97" s="26">
        <f t="shared" si="2"/>
        <v>55.548531157194894</v>
      </c>
    </row>
    <row r="98" spans="19:21" ht="14.65" thickBot="1" x14ac:dyDescent="0.5">
      <c r="S98" s="37">
        <f t="shared" si="3"/>
        <v>208.50291646876684</v>
      </c>
      <c r="U98" s="26">
        <f t="shared" si="2"/>
        <v>57.612916468766848</v>
      </c>
    </row>
    <row r="99" spans="19:21" ht="14.65" thickBot="1" x14ac:dyDescent="0.5">
      <c r="S99" s="37">
        <f t="shared" si="3"/>
        <v>210.58794563345452</v>
      </c>
      <c r="U99" s="26">
        <f t="shared" si="2"/>
        <v>59.69794563345453</v>
      </c>
    </row>
    <row r="100" spans="19:21" ht="14.65" thickBot="1" x14ac:dyDescent="0.5">
      <c r="S100" s="37">
        <f t="shared" si="3"/>
        <v>212.69382508978907</v>
      </c>
      <c r="U100" s="26">
        <f t="shared" si="2"/>
        <v>61.803825089789079</v>
      </c>
    </row>
    <row r="101" spans="19:21" ht="14.65" thickBot="1" x14ac:dyDescent="0.5">
      <c r="S101" s="37">
        <f t="shared" si="3"/>
        <v>214.82076334068697</v>
      </c>
      <c r="U101" s="26">
        <f t="shared" si="2"/>
        <v>63.930763340686973</v>
      </c>
    </row>
    <row r="102" spans="19:21" ht="14.65" thickBot="1" x14ac:dyDescent="0.5">
      <c r="S102" s="37">
        <f t="shared" si="3"/>
        <v>216.96897097409385</v>
      </c>
      <c r="U102" s="26">
        <f t="shared" si="2"/>
        <v>66.078970974093849</v>
      </c>
    </row>
    <row r="103" spans="19:21" ht="14.65" thickBot="1" x14ac:dyDescent="0.5">
      <c r="S103" s="37">
        <f t="shared" si="3"/>
        <v>219.13866068383479</v>
      </c>
      <c r="U103" s="26">
        <f t="shared" si="2"/>
        <v>68.248660683834785</v>
      </c>
    </row>
    <row r="104" spans="19:21" ht="14.65" thickBot="1" x14ac:dyDescent="0.5">
      <c r="S104" s="37">
        <f t="shared" si="3"/>
        <v>221.33004729067312</v>
      </c>
      <c r="U104" s="26">
        <f t="shared" si="2"/>
        <v>70.440047290673121</v>
      </c>
    </row>
    <row r="105" spans="19:21" ht="14.65" thickBot="1" x14ac:dyDescent="0.5">
      <c r="S105" s="37">
        <f t="shared" si="3"/>
        <v>223.54334776357985</v>
      </c>
      <c r="U105" s="26">
        <f t="shared" si="2"/>
        <v>72.653347763579845</v>
      </c>
    </row>
    <row r="106" spans="19:21" ht="14.65" thickBot="1" x14ac:dyDescent="0.5">
      <c r="S106" s="37">
        <f t="shared" si="3"/>
        <v>225.77878124121565</v>
      </c>
      <c r="U106" s="26">
        <f t="shared" si="2"/>
        <v>74.888781241215653</v>
      </c>
    </row>
    <row r="107" spans="19:21" ht="14.65" thickBot="1" x14ac:dyDescent="0.5">
      <c r="S107" s="37">
        <f t="shared" si="3"/>
        <v>228.0365690536278</v>
      </c>
      <c r="U107" s="26">
        <f t="shared" si="2"/>
        <v>77.1465690536278</v>
      </c>
    </row>
    <row r="108" spans="19:21" ht="14.65" thickBot="1" x14ac:dyDescent="0.5">
      <c r="S108" s="37">
        <f t="shared" si="3"/>
        <v>230.31693474416409</v>
      </c>
      <c r="U108" s="26">
        <f t="shared" si="2"/>
        <v>79.426934744164086</v>
      </c>
    </row>
    <row r="109" spans="19:21" ht="14.65" thickBot="1" x14ac:dyDescent="0.5">
      <c r="S109" s="37">
        <f t="shared" si="3"/>
        <v>232.62010409160573</v>
      </c>
      <c r="U109" s="26">
        <f t="shared" si="2"/>
        <v>81.730104091605725</v>
      </c>
    </row>
    <row r="110" spans="19:21" ht="14.65" thickBot="1" x14ac:dyDescent="0.5">
      <c r="S110" s="37">
        <f t="shared" si="3"/>
        <v>234.94630513252179</v>
      </c>
      <c r="U110" s="26">
        <f t="shared" si="2"/>
        <v>84.056305132521786</v>
      </c>
    </row>
    <row r="111" spans="19:21" ht="14.65" thickBot="1" x14ac:dyDescent="0.5">
      <c r="S111" s="37">
        <f t="shared" si="3"/>
        <v>237.295768183847</v>
      </c>
      <c r="U111" s="26">
        <f t="shared" si="2"/>
        <v>86.405768183847002</v>
      </c>
    </row>
    <row r="112" spans="19:21" ht="14.65" thickBot="1" x14ac:dyDescent="0.5">
      <c r="S112" s="37">
        <f t="shared" si="3"/>
        <v>239.66872586568547</v>
      </c>
      <c r="U112" s="26">
        <f t="shared" si="2"/>
        <v>88.778725865685473</v>
      </c>
    </row>
    <row r="113" spans="19:21" ht="14.65" thickBot="1" x14ac:dyDescent="0.5">
      <c r="S113" s="37">
        <f t="shared" si="3"/>
        <v>242.06541312434234</v>
      </c>
      <c r="U113" s="26">
        <f t="shared" si="2"/>
        <v>91.175413124342342</v>
      </c>
    </row>
    <row r="114" spans="19:21" ht="14.65" thickBot="1" x14ac:dyDescent="0.5">
      <c r="S114" s="37">
        <f t="shared" si="3"/>
        <v>244.48606725558577</v>
      </c>
      <c r="U114" s="26">
        <f t="shared" si="2"/>
        <v>93.596067255585766</v>
      </c>
    </row>
    <row r="115" spans="19:21" ht="14.65" thickBot="1" x14ac:dyDescent="0.5">
      <c r="S115" s="37">
        <f t="shared" si="3"/>
        <v>246.93092792814161</v>
      </c>
      <c r="U115" s="26">
        <f t="shared" si="2"/>
        <v>96.040927928141613</v>
      </c>
    </row>
    <row r="116" spans="19:21" ht="14.65" thickBot="1" x14ac:dyDescent="0.5">
      <c r="S116" s="37">
        <f t="shared" si="3"/>
        <v>249.40023720742303</v>
      </c>
      <c r="U116" s="26">
        <f t="shared" si="2"/>
        <v>98.510237207423032</v>
      </c>
    </row>
    <row r="117" spans="19:21" ht="14.65" thickBot="1" x14ac:dyDescent="0.5">
      <c r="S117" s="37">
        <f t="shared" si="3"/>
        <v>251.89423957949725</v>
      </c>
      <c r="U117" s="26">
        <f t="shared" si="2"/>
        <v>101.00423957949725</v>
      </c>
    </row>
    <row r="118" spans="19:21" ht="14.65" thickBot="1" x14ac:dyDescent="0.5">
      <c r="S118" s="37">
        <f t="shared" si="3"/>
        <v>254.41318197529222</v>
      </c>
      <c r="U118" s="26">
        <f t="shared" si="2"/>
        <v>103.52318197529222</v>
      </c>
    </row>
    <row r="119" spans="19:21" ht="14.65" thickBot="1" x14ac:dyDescent="0.5">
      <c r="S119" s="37">
        <f t="shared" si="3"/>
        <v>256.95731379504514</v>
      </c>
      <c r="U119" s="26">
        <f t="shared" si="2"/>
        <v>106.06731379504514</v>
      </c>
    </row>
    <row r="120" spans="19:21" ht="14.65" thickBot="1" x14ac:dyDescent="0.5">
      <c r="S120" s="37">
        <f t="shared" si="3"/>
        <v>259.52688693299558</v>
      </c>
      <c r="U120" s="26">
        <f t="shared" si="2"/>
        <v>108.63688693299558</v>
      </c>
    </row>
    <row r="121" spans="19:21" ht="14.65" thickBot="1" x14ac:dyDescent="0.5">
      <c r="S121" s="37">
        <f t="shared" si="3"/>
        <v>262.12215580232555</v>
      </c>
      <c r="U121" s="26">
        <f t="shared" si="2"/>
        <v>111.23215580232555</v>
      </c>
    </row>
    <row r="122" spans="19:21" ht="14.65" thickBot="1" x14ac:dyDescent="0.5">
      <c r="S122" s="37">
        <f t="shared" si="3"/>
        <v>264.7433773603488</v>
      </c>
      <c r="U122" s="26">
        <f t="shared" si="2"/>
        <v>113.8533773603488</v>
      </c>
    </row>
    <row r="123" spans="19:21" ht="14.65" thickBot="1" x14ac:dyDescent="0.5">
      <c r="S123" s="37">
        <f t="shared" si="3"/>
        <v>267.3908111339523</v>
      </c>
      <c r="U123" s="26">
        <f t="shared" si="2"/>
        <v>116.5008111339523</v>
      </c>
    </row>
    <row r="124" spans="19:21" ht="14.65" thickBot="1" x14ac:dyDescent="0.5">
      <c r="S124" s="37">
        <f t="shared" si="3"/>
        <v>270.06471924529183</v>
      </c>
      <c r="U124" s="26">
        <f t="shared" si="2"/>
        <v>119.17471924529183</v>
      </c>
    </row>
    <row r="125" spans="19:21" ht="14.65" thickBot="1" x14ac:dyDescent="0.5">
      <c r="S125" s="37">
        <f t="shared" si="3"/>
        <v>272.76536643774477</v>
      </c>
      <c r="U125" s="26">
        <f t="shared" si="2"/>
        <v>121.87536643774476</v>
      </c>
    </row>
    <row r="126" spans="19:21" ht="14.65" thickBot="1" x14ac:dyDescent="0.5">
      <c r="S126" s="37">
        <f t="shared" si="3"/>
        <v>275.49302010212222</v>
      </c>
      <c r="U126" s="26">
        <f t="shared" si="2"/>
        <v>124.6030201021222</v>
      </c>
    </row>
    <row r="127" spans="19:21" ht="14.65" thickBot="1" x14ac:dyDescent="0.5">
      <c r="S127" s="37">
        <f t="shared" si="3"/>
        <v>278.24795030314345</v>
      </c>
      <c r="U127" s="26">
        <f t="shared" si="2"/>
        <v>127.35795030314344</v>
      </c>
    </row>
    <row r="128" spans="19:21" ht="14.65" thickBot="1" x14ac:dyDescent="0.5">
      <c r="S128" s="37">
        <f t="shared" si="3"/>
        <v>281.03042980617488</v>
      </c>
      <c r="U128" s="26">
        <f t="shared" si="2"/>
        <v>130.14042980617486</v>
      </c>
    </row>
    <row r="129" spans="19:21" ht="14.65" thickBot="1" x14ac:dyDescent="0.5">
      <c r="S129" s="37">
        <f t="shared" si="3"/>
        <v>283.84073410423662</v>
      </c>
      <c r="U129" s="26">
        <f t="shared" si="2"/>
        <v>132.9507341042366</v>
      </c>
    </row>
    <row r="130" spans="19:21" ht="14.65" thickBot="1" x14ac:dyDescent="0.5">
      <c r="S130" s="37">
        <f t="shared" si="3"/>
        <v>286.67914144527896</v>
      </c>
      <c r="U130" s="26">
        <f t="shared" si="2"/>
        <v>135.78914144527894</v>
      </c>
    </row>
    <row r="131" spans="19:21" ht="14.65" thickBot="1" x14ac:dyDescent="0.5">
      <c r="S131" s="37">
        <f t="shared" si="3"/>
        <v>289.54593285973175</v>
      </c>
      <c r="U131" s="26">
        <f t="shared" si="2"/>
        <v>138.65593285973173</v>
      </c>
    </row>
    <row r="132" spans="19:21" ht="14.65" thickBot="1" x14ac:dyDescent="0.5">
      <c r="S132" s="37">
        <f t="shared" si="3"/>
        <v>292.44139218832908</v>
      </c>
      <c r="U132" s="26">
        <f t="shared" si="2"/>
        <v>141.55139218832906</v>
      </c>
    </row>
    <row r="133" spans="19:21" ht="14.65" thickBot="1" x14ac:dyDescent="0.5">
      <c r="S133" s="37">
        <f t="shared" si="3"/>
        <v>295.36580611021236</v>
      </c>
      <c r="U133" s="26">
        <f t="shared" si="2"/>
        <v>144.47580611021235</v>
      </c>
    </row>
    <row r="134" spans="19:21" ht="14.65" thickBot="1" x14ac:dyDescent="0.5">
      <c r="S134" s="37">
        <f t="shared" si="3"/>
        <v>298.31946417131451</v>
      </c>
      <c r="U134" s="26">
        <f t="shared" si="2"/>
        <v>147.42946417131449</v>
      </c>
    </row>
    <row r="135" spans="19:21" ht="14.65" thickBot="1" x14ac:dyDescent="0.5">
      <c r="S135" s="37">
        <f t="shared" si="3"/>
        <v>301.30265881302768</v>
      </c>
      <c r="U135" s="26">
        <f t="shared" si="2"/>
        <v>150.41265881302766</v>
      </c>
    </row>
    <row r="136" spans="19:21" ht="14.65" thickBot="1" x14ac:dyDescent="0.5">
      <c r="S136" s="37">
        <f t="shared" si="3"/>
        <v>304.31568540115796</v>
      </c>
      <c r="U136" s="26">
        <f t="shared" si="2"/>
        <v>153.42568540115795</v>
      </c>
    </row>
    <row r="137" spans="19:21" ht="14.65" thickBot="1" x14ac:dyDescent="0.5">
      <c r="S137" s="37">
        <f t="shared" si="3"/>
        <v>307.35884225516952</v>
      </c>
      <c r="U137" s="26">
        <f t="shared" si="2"/>
        <v>156.46884225516951</v>
      </c>
    </row>
    <row r="138" spans="19:21" ht="14.65" thickBot="1" x14ac:dyDescent="0.5">
      <c r="S138" s="37">
        <f t="shared" si="3"/>
        <v>310.43243067772124</v>
      </c>
      <c r="U138" s="26">
        <f t="shared" si="2"/>
        <v>159.54243067772123</v>
      </c>
    </row>
    <row r="139" spans="19:21" ht="14.65" thickBot="1" x14ac:dyDescent="0.5">
      <c r="S139" s="37">
        <f t="shared" si="3"/>
        <v>313.53675498449843</v>
      </c>
      <c r="U139" s="26">
        <f t="shared" si="2"/>
        <v>162.64675498449841</v>
      </c>
    </row>
    <row r="140" spans="19:21" ht="14.65" thickBot="1" x14ac:dyDescent="0.5">
      <c r="S140" s="37">
        <f t="shared" si="3"/>
        <v>316.67212253434343</v>
      </c>
      <c r="U140" s="26">
        <f t="shared" si="2"/>
        <v>165.78212253434342</v>
      </c>
    </row>
    <row r="141" spans="19:21" ht="14.65" thickBot="1" x14ac:dyDescent="0.5">
      <c r="S141" s="37">
        <f t="shared" si="3"/>
        <v>319.83884375968688</v>
      </c>
      <c r="U141" s="26">
        <f t="shared" si="2"/>
        <v>168.94884375968687</v>
      </c>
    </row>
    <row r="142" spans="19:21" ht="14.65" thickBot="1" x14ac:dyDescent="0.5">
      <c r="S142" s="37">
        <f t="shared" si="3"/>
        <v>323.03723219728374</v>
      </c>
      <c r="U142" s="26">
        <f t="shared" si="2"/>
        <v>172.14723219728373</v>
      </c>
    </row>
    <row r="143" spans="19:21" ht="14.65" thickBot="1" x14ac:dyDescent="0.5">
      <c r="S143" s="37">
        <f t="shared" si="3"/>
        <v>326.26760451925657</v>
      </c>
      <c r="U143" s="26">
        <f t="shared" si="2"/>
        <v>175.37760451925655</v>
      </c>
    </row>
    <row r="144" spans="19:21" ht="14.65" thickBot="1" x14ac:dyDescent="0.5">
      <c r="S144" s="37">
        <f t="shared" si="3"/>
        <v>329.53028056444913</v>
      </c>
      <c r="U144" s="26">
        <f t="shared" si="2"/>
        <v>178.64028056444911</v>
      </c>
    </row>
    <row r="145" spans="19:21" ht="14.65" thickBot="1" x14ac:dyDescent="0.5">
      <c r="S145" s="37">
        <f t="shared" si="3"/>
        <v>332.82558337009363</v>
      </c>
      <c r="U145" s="26">
        <f t="shared" si="2"/>
        <v>181.93558337009361</v>
      </c>
    </row>
    <row r="146" spans="19:21" ht="14.65" thickBot="1" x14ac:dyDescent="0.5">
      <c r="S146" s="37">
        <f t="shared" si="3"/>
        <v>336.15383920379458</v>
      </c>
      <c r="U146" s="26">
        <f t="shared" si="2"/>
        <v>185.26383920379456</v>
      </c>
    </row>
    <row r="147" spans="19:21" ht="14.65" thickBot="1" x14ac:dyDescent="0.5">
      <c r="S147" s="37">
        <f t="shared" si="3"/>
        <v>339.51537759583255</v>
      </c>
      <c r="U147" s="26">
        <f t="shared" si="2"/>
        <v>188.62537759583253</v>
      </c>
    </row>
    <row r="148" spans="19:21" ht="14.65" thickBot="1" x14ac:dyDescent="0.5">
      <c r="S148" s="37">
        <f t="shared" si="3"/>
        <v>342.91053137179085</v>
      </c>
      <c r="U148" s="26">
        <f t="shared" ref="U148:U211" si="4">IF(S148&lt;$D$8,$D$8-S148-$D$9-$D$10,S148-$D$7-$D$9-$D$10)</f>
        <v>192.02053137179084</v>
      </c>
    </row>
    <row r="149" spans="19:21" ht="14.65" thickBot="1" x14ac:dyDescent="0.5">
      <c r="S149" s="37">
        <f t="shared" ref="S149:S212" si="5">S148*(1.01)</f>
        <v>346.33963668550876</v>
      </c>
      <c r="U149" s="26">
        <f t="shared" si="4"/>
        <v>195.44963668550875</v>
      </c>
    </row>
    <row r="150" spans="19:21" ht="14.65" thickBot="1" x14ac:dyDescent="0.5">
      <c r="S150" s="37">
        <f t="shared" si="5"/>
        <v>349.80303305236384</v>
      </c>
      <c r="U150" s="26">
        <f t="shared" si="4"/>
        <v>198.91303305236383</v>
      </c>
    </row>
    <row r="151" spans="19:21" ht="14.65" thickBot="1" x14ac:dyDescent="0.5">
      <c r="S151" s="37">
        <f t="shared" si="5"/>
        <v>353.30106338288749</v>
      </c>
      <c r="U151" s="26">
        <f t="shared" si="4"/>
        <v>202.41106338288748</v>
      </c>
    </row>
    <row r="152" spans="19:21" ht="14.65" thickBot="1" x14ac:dyDescent="0.5">
      <c r="S152" s="37">
        <f t="shared" si="5"/>
        <v>356.83407401671639</v>
      </c>
      <c r="U152" s="26">
        <f t="shared" si="4"/>
        <v>205.94407401671637</v>
      </c>
    </row>
    <row r="153" spans="19:21" ht="14.65" thickBot="1" x14ac:dyDescent="0.5">
      <c r="S153" s="37">
        <f t="shared" si="5"/>
        <v>360.40241475688356</v>
      </c>
      <c r="U153" s="26">
        <f t="shared" si="4"/>
        <v>209.51241475688354</v>
      </c>
    </row>
    <row r="154" spans="19:21" ht="14.65" thickBot="1" x14ac:dyDescent="0.5">
      <c r="S154" s="37">
        <f t="shared" si="5"/>
        <v>364.00643890445241</v>
      </c>
      <c r="U154" s="26">
        <f t="shared" si="4"/>
        <v>213.11643890445239</v>
      </c>
    </row>
    <row r="155" spans="19:21" ht="14.65" thickBot="1" x14ac:dyDescent="0.5">
      <c r="S155" s="37">
        <f t="shared" si="5"/>
        <v>367.64650329349695</v>
      </c>
      <c r="U155" s="26">
        <f t="shared" si="4"/>
        <v>216.75650329349693</v>
      </c>
    </row>
    <row r="156" spans="19:21" ht="14.65" thickBot="1" x14ac:dyDescent="0.5">
      <c r="S156" s="37">
        <f t="shared" si="5"/>
        <v>371.32296832643192</v>
      </c>
      <c r="U156" s="26">
        <f t="shared" si="4"/>
        <v>220.4329683264319</v>
      </c>
    </row>
    <row r="157" spans="19:21" ht="14.65" thickBot="1" x14ac:dyDescent="0.5">
      <c r="S157" s="37">
        <f t="shared" si="5"/>
        <v>375.03619800969625</v>
      </c>
      <c r="U157" s="26">
        <f t="shared" si="4"/>
        <v>224.14619800969623</v>
      </c>
    </row>
    <row r="158" spans="19:21" ht="14.65" thickBot="1" x14ac:dyDescent="0.5">
      <c r="S158" s="37">
        <f t="shared" si="5"/>
        <v>378.7865599897932</v>
      </c>
      <c r="U158" s="26">
        <f t="shared" si="4"/>
        <v>227.89655998979319</v>
      </c>
    </row>
    <row r="159" spans="19:21" ht="14.65" thickBot="1" x14ac:dyDescent="0.5">
      <c r="S159" s="37">
        <f t="shared" si="5"/>
        <v>382.57442558969115</v>
      </c>
      <c r="U159" s="26">
        <f t="shared" si="4"/>
        <v>231.68442558969113</v>
      </c>
    </row>
    <row r="160" spans="19:21" ht="14.65" thickBot="1" x14ac:dyDescent="0.5">
      <c r="S160" s="37">
        <f t="shared" si="5"/>
        <v>386.40016984558804</v>
      </c>
      <c r="U160" s="26">
        <f t="shared" si="4"/>
        <v>235.51016984558802</v>
      </c>
    </row>
    <row r="161" spans="19:21" ht="14.65" thickBot="1" x14ac:dyDescent="0.5">
      <c r="S161" s="37">
        <f t="shared" si="5"/>
        <v>390.2641715440439</v>
      </c>
      <c r="U161" s="26">
        <f t="shared" si="4"/>
        <v>239.37417154404389</v>
      </c>
    </row>
    <row r="162" spans="19:21" ht="14.65" thickBot="1" x14ac:dyDescent="0.5">
      <c r="S162" s="37">
        <f t="shared" si="5"/>
        <v>394.16681325948434</v>
      </c>
      <c r="U162" s="26">
        <f t="shared" si="4"/>
        <v>243.27681325948433</v>
      </c>
    </row>
    <row r="163" spans="19:21" ht="14.65" thickBot="1" x14ac:dyDescent="0.5">
      <c r="S163" s="37">
        <f t="shared" si="5"/>
        <v>398.10848139207917</v>
      </c>
      <c r="U163" s="26">
        <f t="shared" si="4"/>
        <v>247.21848139207916</v>
      </c>
    </row>
    <row r="164" spans="19:21" ht="14.65" thickBot="1" x14ac:dyDescent="0.5">
      <c r="S164" s="37">
        <f t="shared" si="5"/>
        <v>402.08956620599997</v>
      </c>
      <c r="U164" s="26">
        <f t="shared" si="4"/>
        <v>251.19956620599999</v>
      </c>
    </row>
    <row r="165" spans="19:21" ht="14.65" thickBot="1" x14ac:dyDescent="0.5">
      <c r="S165" s="37">
        <f t="shared" si="5"/>
        <v>406.11046186805999</v>
      </c>
      <c r="U165" s="26">
        <f t="shared" si="4"/>
        <v>255.22046186806</v>
      </c>
    </row>
    <row r="166" spans="19:21" ht="14.65" thickBot="1" x14ac:dyDescent="0.5">
      <c r="S166" s="37">
        <f t="shared" si="5"/>
        <v>410.17156648674057</v>
      </c>
      <c r="U166" s="26">
        <f t="shared" si="4"/>
        <v>259.28156648674059</v>
      </c>
    </row>
    <row r="167" spans="19:21" ht="14.65" thickBot="1" x14ac:dyDescent="0.5">
      <c r="S167" s="37">
        <f t="shared" si="5"/>
        <v>414.27328215160799</v>
      </c>
      <c r="U167" s="26">
        <f t="shared" si="4"/>
        <v>263.383282151608</v>
      </c>
    </row>
    <row r="168" spans="19:21" ht="14.65" thickBot="1" x14ac:dyDescent="0.5">
      <c r="S168" s="37">
        <f t="shared" si="5"/>
        <v>418.41601497312405</v>
      </c>
      <c r="U168" s="26">
        <f t="shared" si="4"/>
        <v>267.52601497312406</v>
      </c>
    </row>
    <row r="169" spans="19:21" ht="14.65" thickBot="1" x14ac:dyDescent="0.5">
      <c r="S169" s="37">
        <f t="shared" si="5"/>
        <v>422.60017512285532</v>
      </c>
      <c r="U169" s="26">
        <f t="shared" si="4"/>
        <v>271.71017512285533</v>
      </c>
    </row>
    <row r="170" spans="19:21" ht="14.65" thickBot="1" x14ac:dyDescent="0.5">
      <c r="S170" s="37">
        <f t="shared" si="5"/>
        <v>426.8261768740839</v>
      </c>
      <c r="U170" s="26">
        <f t="shared" si="4"/>
        <v>275.93617687408391</v>
      </c>
    </row>
    <row r="171" spans="19:21" ht="14.65" thickBot="1" x14ac:dyDescent="0.5">
      <c r="S171" s="37">
        <f t="shared" si="5"/>
        <v>431.09443864282474</v>
      </c>
      <c r="U171" s="26">
        <f t="shared" si="4"/>
        <v>280.20443864282475</v>
      </c>
    </row>
    <row r="172" spans="19:21" ht="14.65" thickBot="1" x14ac:dyDescent="0.5">
      <c r="S172" s="37">
        <f t="shared" si="5"/>
        <v>435.40538302925302</v>
      </c>
      <c r="U172" s="26">
        <f t="shared" si="4"/>
        <v>284.51538302925303</v>
      </c>
    </row>
    <row r="173" spans="19:21" ht="14.65" thickBot="1" x14ac:dyDescent="0.5">
      <c r="S173" s="37">
        <f t="shared" si="5"/>
        <v>439.75943685954553</v>
      </c>
      <c r="U173" s="26">
        <f t="shared" si="4"/>
        <v>288.86943685954554</v>
      </c>
    </row>
    <row r="174" spans="19:21" ht="14.65" thickBot="1" x14ac:dyDescent="0.5">
      <c r="S174" s="37">
        <f t="shared" si="5"/>
        <v>444.15703122814097</v>
      </c>
      <c r="U174" s="26">
        <f t="shared" si="4"/>
        <v>293.26703122814098</v>
      </c>
    </row>
    <row r="175" spans="19:21" ht="14.65" thickBot="1" x14ac:dyDescent="0.5">
      <c r="S175" s="37">
        <f t="shared" si="5"/>
        <v>448.59860154042235</v>
      </c>
      <c r="U175" s="26">
        <f t="shared" si="4"/>
        <v>297.70860154042236</v>
      </c>
    </row>
    <row r="176" spans="19:21" ht="14.65" thickBot="1" x14ac:dyDescent="0.5">
      <c r="S176" s="37">
        <f t="shared" si="5"/>
        <v>453.0845875558266</v>
      </c>
      <c r="U176" s="26">
        <f t="shared" si="4"/>
        <v>302.19458755582662</v>
      </c>
    </row>
    <row r="177" spans="19:21" ht="14.65" thickBot="1" x14ac:dyDescent="0.5">
      <c r="S177" s="37">
        <f t="shared" si="5"/>
        <v>457.61543343138487</v>
      </c>
      <c r="U177" s="26">
        <f t="shared" si="4"/>
        <v>306.72543343138489</v>
      </c>
    </row>
    <row r="178" spans="19:21" ht="14.65" thickBot="1" x14ac:dyDescent="0.5">
      <c r="S178" s="37">
        <f t="shared" si="5"/>
        <v>462.19158776569873</v>
      </c>
      <c r="U178" s="26">
        <f t="shared" si="4"/>
        <v>311.30158776569874</v>
      </c>
    </row>
    <row r="179" spans="19:21" ht="14.65" thickBot="1" x14ac:dyDescent="0.5">
      <c r="S179" s="37">
        <f t="shared" si="5"/>
        <v>466.81350364335572</v>
      </c>
      <c r="U179" s="26">
        <f t="shared" si="4"/>
        <v>315.92350364335573</v>
      </c>
    </row>
    <row r="180" spans="19:21" ht="14.65" thickBot="1" x14ac:dyDescent="0.5">
      <c r="S180" s="37">
        <f t="shared" si="5"/>
        <v>471.48163867978928</v>
      </c>
      <c r="U180" s="26">
        <f t="shared" si="4"/>
        <v>320.5916386797893</v>
      </c>
    </row>
    <row r="181" spans="19:21" ht="14.65" thickBot="1" x14ac:dyDescent="0.5">
      <c r="S181" s="37">
        <f t="shared" si="5"/>
        <v>476.19645506658719</v>
      </c>
      <c r="U181" s="26">
        <f t="shared" si="4"/>
        <v>325.3064550665872</v>
      </c>
    </row>
    <row r="182" spans="19:21" ht="14.65" thickBot="1" x14ac:dyDescent="0.5">
      <c r="S182" s="37">
        <f t="shared" si="5"/>
        <v>480.95841961725307</v>
      </c>
      <c r="U182" s="26">
        <f t="shared" si="4"/>
        <v>330.06841961725308</v>
      </c>
    </row>
    <row r="183" spans="19:21" ht="14.65" thickBot="1" x14ac:dyDescent="0.5">
      <c r="S183" s="37">
        <f t="shared" si="5"/>
        <v>485.76800381342559</v>
      </c>
      <c r="U183" s="26">
        <f t="shared" si="4"/>
        <v>334.87800381342561</v>
      </c>
    </row>
    <row r="184" spans="19:21" ht="14.65" thickBot="1" x14ac:dyDescent="0.5">
      <c r="S184" s="37">
        <f t="shared" si="5"/>
        <v>490.62568385155987</v>
      </c>
      <c r="U184" s="26">
        <f t="shared" si="4"/>
        <v>339.73568385155988</v>
      </c>
    </row>
    <row r="185" spans="19:21" ht="14.65" thickBot="1" x14ac:dyDescent="0.5">
      <c r="S185" s="37">
        <f t="shared" si="5"/>
        <v>495.53194069007549</v>
      </c>
      <c r="U185" s="26">
        <f t="shared" si="4"/>
        <v>344.6419406900755</v>
      </c>
    </row>
    <row r="186" spans="19:21" ht="14.65" thickBot="1" x14ac:dyDescent="0.5">
      <c r="S186" s="37">
        <f t="shared" si="5"/>
        <v>500.48726009697623</v>
      </c>
      <c r="U186" s="26">
        <f t="shared" si="4"/>
        <v>349.59726009697624</v>
      </c>
    </row>
    <row r="187" spans="19:21" ht="14.65" thickBot="1" x14ac:dyDescent="0.5">
      <c r="S187" s="37">
        <f t="shared" si="5"/>
        <v>505.49213269794598</v>
      </c>
      <c r="U187" s="26">
        <f t="shared" si="4"/>
        <v>354.60213269794599</v>
      </c>
    </row>
    <row r="188" spans="19:21" ht="14.65" thickBot="1" x14ac:dyDescent="0.5">
      <c r="S188" s="37">
        <f t="shared" si="5"/>
        <v>510.54705402492544</v>
      </c>
      <c r="U188" s="26">
        <f t="shared" si="4"/>
        <v>359.65705402492546</v>
      </c>
    </row>
    <row r="189" spans="19:21" ht="14.65" thickBot="1" x14ac:dyDescent="0.5">
      <c r="S189" s="37">
        <f t="shared" si="5"/>
        <v>515.65252456517476</v>
      </c>
      <c r="U189" s="26">
        <f t="shared" si="4"/>
        <v>364.76252456517477</v>
      </c>
    </row>
    <row r="190" spans="19:21" ht="14.65" thickBot="1" x14ac:dyDescent="0.5">
      <c r="S190" s="37">
        <f t="shared" si="5"/>
        <v>520.80904981082654</v>
      </c>
      <c r="U190" s="26">
        <f t="shared" si="4"/>
        <v>369.91904981082655</v>
      </c>
    </row>
    <row r="191" spans="19:21" ht="14.65" thickBot="1" x14ac:dyDescent="0.5">
      <c r="S191" s="37">
        <f t="shared" si="5"/>
        <v>526.01714030893481</v>
      </c>
      <c r="U191" s="26">
        <f t="shared" si="4"/>
        <v>375.12714030893483</v>
      </c>
    </row>
    <row r="192" spans="19:21" ht="14.65" thickBot="1" x14ac:dyDescent="0.5">
      <c r="S192" s="37">
        <f t="shared" si="5"/>
        <v>531.27731171202413</v>
      </c>
      <c r="U192" s="26">
        <f t="shared" si="4"/>
        <v>380.38731171202414</v>
      </c>
    </row>
    <row r="193" spans="19:21" ht="14.65" thickBot="1" x14ac:dyDescent="0.5">
      <c r="S193" s="37">
        <f t="shared" si="5"/>
        <v>536.59008482914442</v>
      </c>
      <c r="U193" s="26">
        <f t="shared" si="4"/>
        <v>385.70008482914443</v>
      </c>
    </row>
    <row r="194" spans="19:21" ht="14.65" thickBot="1" x14ac:dyDescent="0.5">
      <c r="S194" s="37">
        <f t="shared" si="5"/>
        <v>541.95598567743582</v>
      </c>
      <c r="U194" s="26">
        <f t="shared" si="4"/>
        <v>391.06598567743583</v>
      </c>
    </row>
    <row r="195" spans="19:21" ht="14.65" thickBot="1" x14ac:dyDescent="0.5">
      <c r="S195" s="37">
        <f t="shared" si="5"/>
        <v>547.37554553421023</v>
      </c>
      <c r="U195" s="26">
        <f t="shared" si="4"/>
        <v>396.48554553421025</v>
      </c>
    </row>
    <row r="196" spans="19:21" ht="14.65" thickBot="1" x14ac:dyDescent="0.5">
      <c r="S196" s="37">
        <f t="shared" si="5"/>
        <v>552.84930098955238</v>
      </c>
      <c r="U196" s="26">
        <f t="shared" si="4"/>
        <v>401.95930098955239</v>
      </c>
    </row>
    <row r="197" spans="19:21" ht="14.65" thickBot="1" x14ac:dyDescent="0.5">
      <c r="S197" s="37">
        <f t="shared" si="5"/>
        <v>558.37779399944793</v>
      </c>
      <c r="U197" s="26">
        <f t="shared" si="4"/>
        <v>407.48779399944794</v>
      </c>
    </row>
    <row r="198" spans="19:21" ht="14.65" thickBot="1" x14ac:dyDescent="0.5">
      <c r="S198" s="37">
        <f t="shared" si="5"/>
        <v>563.96157193944236</v>
      </c>
      <c r="U198" s="26">
        <f t="shared" si="4"/>
        <v>413.07157193944238</v>
      </c>
    </row>
    <row r="199" spans="19:21" ht="14.65" thickBot="1" x14ac:dyDescent="0.5">
      <c r="S199" s="37">
        <f t="shared" si="5"/>
        <v>569.60118765883681</v>
      </c>
      <c r="U199" s="26">
        <f t="shared" si="4"/>
        <v>418.71118765883682</v>
      </c>
    </row>
    <row r="200" spans="19:21" ht="14.65" thickBot="1" x14ac:dyDescent="0.5">
      <c r="S200" s="37">
        <f t="shared" si="5"/>
        <v>575.29719953542519</v>
      </c>
      <c r="U200" s="26">
        <f t="shared" si="4"/>
        <v>424.40719953542521</v>
      </c>
    </row>
    <row r="201" spans="19:21" ht="14.65" thickBot="1" x14ac:dyDescent="0.5">
      <c r="S201" s="37">
        <f t="shared" si="5"/>
        <v>581.05017153077949</v>
      </c>
      <c r="U201" s="26">
        <f t="shared" si="4"/>
        <v>430.16017153077951</v>
      </c>
    </row>
    <row r="202" spans="19:21" ht="14.65" thickBot="1" x14ac:dyDescent="0.5">
      <c r="S202" s="37">
        <f t="shared" si="5"/>
        <v>586.86067324608734</v>
      </c>
      <c r="U202" s="26">
        <f t="shared" si="4"/>
        <v>435.97067324608736</v>
      </c>
    </row>
    <row r="203" spans="19:21" ht="14.65" thickBot="1" x14ac:dyDescent="0.5">
      <c r="S203" s="37">
        <f t="shared" si="5"/>
        <v>592.72927997854822</v>
      </c>
      <c r="U203" s="26">
        <f t="shared" si="4"/>
        <v>441.83927997854823</v>
      </c>
    </row>
    <row r="204" spans="19:21" ht="14.65" thickBot="1" x14ac:dyDescent="0.5">
      <c r="S204" s="37">
        <f t="shared" si="5"/>
        <v>598.65657277833373</v>
      </c>
      <c r="U204" s="26">
        <f t="shared" si="4"/>
        <v>447.76657277833374</v>
      </c>
    </row>
    <row r="205" spans="19:21" ht="14.65" thickBot="1" x14ac:dyDescent="0.5">
      <c r="S205" s="37">
        <f t="shared" si="5"/>
        <v>604.64313850611711</v>
      </c>
      <c r="U205" s="26">
        <f t="shared" si="4"/>
        <v>453.75313850611712</v>
      </c>
    </row>
    <row r="206" spans="19:21" ht="14.65" thickBot="1" x14ac:dyDescent="0.5">
      <c r="S206" s="37">
        <f t="shared" si="5"/>
        <v>610.68956989117828</v>
      </c>
      <c r="U206" s="26">
        <f t="shared" si="4"/>
        <v>459.79956989117829</v>
      </c>
    </row>
    <row r="207" spans="19:21" ht="14.65" thickBot="1" x14ac:dyDescent="0.5">
      <c r="S207" s="37">
        <f t="shared" si="5"/>
        <v>616.79646559009007</v>
      </c>
      <c r="U207" s="26">
        <f t="shared" si="4"/>
        <v>465.90646559009008</v>
      </c>
    </row>
    <row r="208" spans="19:21" ht="14.65" thickBot="1" x14ac:dyDescent="0.5">
      <c r="S208" s="37">
        <f t="shared" si="5"/>
        <v>622.96443024599103</v>
      </c>
      <c r="U208" s="26">
        <f t="shared" si="4"/>
        <v>472.07443024599104</v>
      </c>
    </row>
    <row r="209" spans="19:21" ht="14.65" thickBot="1" x14ac:dyDescent="0.5">
      <c r="S209" s="37">
        <f t="shared" si="5"/>
        <v>629.19407454845089</v>
      </c>
      <c r="U209" s="26">
        <f t="shared" si="4"/>
        <v>478.3040745484509</v>
      </c>
    </row>
    <row r="210" spans="19:21" ht="14.65" thickBot="1" x14ac:dyDescent="0.5">
      <c r="S210" s="37">
        <f t="shared" si="5"/>
        <v>635.48601529393545</v>
      </c>
      <c r="U210" s="26">
        <f t="shared" si="4"/>
        <v>484.59601529393547</v>
      </c>
    </row>
    <row r="211" spans="19:21" ht="14.65" thickBot="1" x14ac:dyDescent="0.5">
      <c r="S211" s="37">
        <f t="shared" si="5"/>
        <v>641.84087544687486</v>
      </c>
      <c r="U211" s="26">
        <f t="shared" si="4"/>
        <v>490.95087544687487</v>
      </c>
    </row>
    <row r="212" spans="19:21" ht="14.65" thickBot="1" x14ac:dyDescent="0.5">
      <c r="S212" s="37">
        <f t="shared" si="5"/>
        <v>648.25928420134358</v>
      </c>
      <c r="U212" s="26">
        <f t="shared" ref="U212:U275" si="6">IF(S212&lt;$D$8,$D$8-S212-$D$9-$D$10,S212-$D$7-$D$9-$D$10)</f>
        <v>497.36928420134359</v>
      </c>
    </row>
    <row r="213" spans="19:21" ht="14.65" thickBot="1" x14ac:dyDescent="0.5">
      <c r="S213" s="37">
        <f t="shared" ref="S213:S276" si="7">S212*(1.01)</f>
        <v>654.74187704335702</v>
      </c>
      <c r="U213" s="26">
        <f t="shared" si="6"/>
        <v>503.85187704335704</v>
      </c>
    </row>
    <row r="214" spans="19:21" ht="14.65" thickBot="1" x14ac:dyDescent="0.5">
      <c r="S214" s="37">
        <f t="shared" si="7"/>
        <v>661.28929581379055</v>
      </c>
      <c r="U214" s="26">
        <f t="shared" si="6"/>
        <v>510.39929581379056</v>
      </c>
    </row>
    <row r="215" spans="19:21" ht="14.65" thickBot="1" x14ac:dyDescent="0.5">
      <c r="S215" s="37">
        <f t="shared" si="7"/>
        <v>667.90218877192842</v>
      </c>
      <c r="U215" s="26">
        <f t="shared" si="6"/>
        <v>517.01218877192844</v>
      </c>
    </row>
    <row r="216" spans="19:21" ht="14.65" thickBot="1" x14ac:dyDescent="0.5">
      <c r="S216" s="37">
        <f t="shared" si="7"/>
        <v>674.5812106596477</v>
      </c>
      <c r="U216" s="26">
        <f t="shared" si="6"/>
        <v>523.69121065964771</v>
      </c>
    </row>
    <row r="217" spans="19:21" ht="14.65" thickBot="1" x14ac:dyDescent="0.5">
      <c r="S217" s="37">
        <f t="shared" si="7"/>
        <v>681.32702276624423</v>
      </c>
      <c r="U217" s="26">
        <f t="shared" si="6"/>
        <v>530.43702276624424</v>
      </c>
    </row>
    <row r="218" spans="19:21" ht="14.65" thickBot="1" x14ac:dyDescent="0.5">
      <c r="S218" s="37">
        <f t="shared" si="7"/>
        <v>688.14029299390666</v>
      </c>
      <c r="U218" s="26">
        <f t="shared" si="6"/>
        <v>537.25029299390667</v>
      </c>
    </row>
    <row r="219" spans="19:21" ht="14.65" thickBot="1" x14ac:dyDescent="0.5">
      <c r="S219" s="37">
        <f t="shared" si="7"/>
        <v>695.02169592384575</v>
      </c>
      <c r="U219" s="26">
        <f t="shared" si="6"/>
        <v>544.13169592384577</v>
      </c>
    </row>
    <row r="220" spans="19:21" ht="14.65" thickBot="1" x14ac:dyDescent="0.5">
      <c r="S220" s="37">
        <f t="shared" si="7"/>
        <v>701.9719128830842</v>
      </c>
      <c r="U220" s="26">
        <f t="shared" si="6"/>
        <v>551.08191288308421</v>
      </c>
    </row>
    <row r="221" spans="19:21" ht="14.65" thickBot="1" x14ac:dyDescent="0.5">
      <c r="S221" s="37">
        <f t="shared" si="7"/>
        <v>708.99163201191504</v>
      </c>
      <c r="U221" s="26">
        <f t="shared" si="6"/>
        <v>558.10163201191506</v>
      </c>
    </row>
    <row r="222" spans="19:21" ht="14.65" thickBot="1" x14ac:dyDescent="0.5">
      <c r="S222" s="37">
        <f t="shared" si="7"/>
        <v>716.08154833203423</v>
      </c>
      <c r="U222" s="26">
        <f t="shared" si="6"/>
        <v>565.19154833203424</v>
      </c>
    </row>
    <row r="223" spans="19:21" ht="14.65" thickBot="1" x14ac:dyDescent="0.5">
      <c r="S223" s="37">
        <f t="shared" si="7"/>
        <v>723.24236381535457</v>
      </c>
      <c r="U223" s="26">
        <f t="shared" si="6"/>
        <v>572.35236381535458</v>
      </c>
    </row>
    <row r="224" spans="19:21" ht="14.65" thickBot="1" x14ac:dyDescent="0.5">
      <c r="S224" s="37">
        <f t="shared" si="7"/>
        <v>730.47478745350816</v>
      </c>
      <c r="U224" s="26">
        <f t="shared" si="6"/>
        <v>579.58478745350817</v>
      </c>
    </row>
    <row r="225" spans="19:21" ht="14.65" thickBot="1" x14ac:dyDescent="0.5">
      <c r="S225" s="37">
        <f t="shared" si="7"/>
        <v>737.77953532804327</v>
      </c>
      <c r="U225" s="26">
        <f t="shared" si="6"/>
        <v>586.88953532804328</v>
      </c>
    </row>
    <row r="226" spans="19:21" ht="14.65" thickBot="1" x14ac:dyDescent="0.5">
      <c r="S226" s="37">
        <f t="shared" si="7"/>
        <v>745.15733068132374</v>
      </c>
      <c r="U226" s="26">
        <f t="shared" si="6"/>
        <v>594.26733068132376</v>
      </c>
    </row>
    <row r="227" spans="19:21" ht="14.65" thickBot="1" x14ac:dyDescent="0.5">
      <c r="S227" s="37">
        <f t="shared" si="7"/>
        <v>752.60890398813694</v>
      </c>
      <c r="U227" s="26">
        <f t="shared" si="6"/>
        <v>601.71890398813696</v>
      </c>
    </row>
    <row r="228" spans="19:21" ht="14.65" thickBot="1" x14ac:dyDescent="0.5">
      <c r="S228" s="37">
        <f t="shared" si="7"/>
        <v>760.13499302801836</v>
      </c>
      <c r="U228" s="26">
        <f t="shared" si="6"/>
        <v>609.24499302801837</v>
      </c>
    </row>
    <row r="229" spans="19:21" ht="14.65" thickBot="1" x14ac:dyDescent="0.5">
      <c r="S229" s="37">
        <f t="shared" si="7"/>
        <v>767.73634295829856</v>
      </c>
      <c r="U229" s="26">
        <f t="shared" si="6"/>
        <v>616.84634295829858</v>
      </c>
    </row>
    <row r="230" spans="19:21" ht="14.65" thickBot="1" x14ac:dyDescent="0.5">
      <c r="S230" s="37">
        <f t="shared" si="7"/>
        <v>775.41370638788158</v>
      </c>
      <c r="U230" s="26">
        <f t="shared" si="6"/>
        <v>624.52370638788159</v>
      </c>
    </row>
    <row r="231" spans="19:21" ht="14.65" thickBot="1" x14ac:dyDescent="0.5">
      <c r="S231" s="37">
        <f t="shared" si="7"/>
        <v>783.1678434517604</v>
      </c>
      <c r="U231" s="26">
        <f t="shared" si="6"/>
        <v>632.27784345176042</v>
      </c>
    </row>
    <row r="232" spans="19:21" ht="14.65" thickBot="1" x14ac:dyDescent="0.5">
      <c r="S232" s="37">
        <f t="shared" si="7"/>
        <v>790.99952188627799</v>
      </c>
      <c r="U232" s="26">
        <f t="shared" si="6"/>
        <v>640.109521886278</v>
      </c>
    </row>
    <row r="233" spans="19:21" ht="14.65" thickBot="1" x14ac:dyDescent="0.5">
      <c r="S233" s="37">
        <f t="shared" si="7"/>
        <v>798.90951710514082</v>
      </c>
      <c r="U233" s="26">
        <f t="shared" si="6"/>
        <v>648.01951710514084</v>
      </c>
    </row>
    <row r="234" spans="19:21" ht="14.65" thickBot="1" x14ac:dyDescent="0.5">
      <c r="S234" s="37">
        <f t="shared" si="7"/>
        <v>806.89861227619224</v>
      </c>
      <c r="U234" s="26">
        <f t="shared" si="6"/>
        <v>656.00861227619225</v>
      </c>
    </row>
    <row r="235" spans="19:21" ht="14.65" thickBot="1" x14ac:dyDescent="0.5">
      <c r="S235" s="37">
        <f t="shared" si="7"/>
        <v>814.96759839895412</v>
      </c>
      <c r="U235" s="26">
        <f t="shared" si="6"/>
        <v>664.07759839895414</v>
      </c>
    </row>
    <row r="236" spans="19:21" ht="14.65" thickBot="1" x14ac:dyDescent="0.5">
      <c r="S236" s="37">
        <f t="shared" si="7"/>
        <v>823.11727438294372</v>
      </c>
      <c r="U236" s="26">
        <f t="shared" si="6"/>
        <v>672.22727438294373</v>
      </c>
    </row>
    <row r="237" spans="19:21" ht="14.65" thickBot="1" x14ac:dyDescent="0.5">
      <c r="S237" s="37">
        <f t="shared" si="7"/>
        <v>831.34844712677318</v>
      </c>
      <c r="U237" s="26">
        <f t="shared" si="6"/>
        <v>680.45844712677319</v>
      </c>
    </row>
    <row r="238" spans="19:21" ht="14.65" thickBot="1" x14ac:dyDescent="0.5">
      <c r="S238" s="37">
        <f t="shared" si="7"/>
        <v>839.66193159804095</v>
      </c>
      <c r="U238" s="26">
        <f t="shared" si="6"/>
        <v>688.77193159804096</v>
      </c>
    </row>
    <row r="239" spans="19:21" ht="14.65" thickBot="1" x14ac:dyDescent="0.5">
      <c r="S239" s="37">
        <f t="shared" si="7"/>
        <v>848.05855091402134</v>
      </c>
      <c r="U239" s="26">
        <f t="shared" si="6"/>
        <v>697.16855091402135</v>
      </c>
    </row>
    <row r="240" spans="19:21" ht="14.65" thickBot="1" x14ac:dyDescent="0.5">
      <c r="S240" s="37">
        <f t="shared" si="7"/>
        <v>856.53913642316161</v>
      </c>
      <c r="U240" s="26">
        <f t="shared" si="6"/>
        <v>705.64913642316162</v>
      </c>
    </row>
    <row r="241" spans="19:21" ht="14.65" thickBot="1" x14ac:dyDescent="0.5">
      <c r="S241" s="37">
        <f t="shared" si="7"/>
        <v>865.10452778739318</v>
      </c>
      <c r="U241" s="26">
        <f t="shared" si="6"/>
        <v>714.21452778739319</v>
      </c>
    </row>
    <row r="242" spans="19:21" ht="14.65" thickBot="1" x14ac:dyDescent="0.5">
      <c r="S242" s="37">
        <f t="shared" si="7"/>
        <v>873.75557306526707</v>
      </c>
      <c r="U242" s="26">
        <f t="shared" si="6"/>
        <v>722.86557306526709</v>
      </c>
    </row>
    <row r="243" spans="19:21" ht="14.65" thickBot="1" x14ac:dyDescent="0.5">
      <c r="S243" s="37">
        <f t="shared" si="7"/>
        <v>882.4931287959198</v>
      </c>
      <c r="U243" s="26">
        <f t="shared" si="6"/>
        <v>731.60312879591982</v>
      </c>
    </row>
    <row r="244" spans="19:21" ht="14.65" thickBot="1" x14ac:dyDescent="0.5">
      <c r="S244" s="37">
        <f t="shared" si="7"/>
        <v>891.318060083879</v>
      </c>
      <c r="U244" s="26">
        <f t="shared" si="6"/>
        <v>740.42806008387902</v>
      </c>
    </row>
    <row r="245" spans="19:21" ht="14.65" thickBot="1" x14ac:dyDescent="0.5">
      <c r="S245" s="37">
        <f t="shared" si="7"/>
        <v>900.23124068471782</v>
      </c>
      <c r="U245" s="26">
        <f t="shared" si="6"/>
        <v>749.34124068471783</v>
      </c>
    </row>
    <row r="246" spans="19:21" ht="14.65" thickBot="1" x14ac:dyDescent="0.5">
      <c r="S246" s="37">
        <f t="shared" si="7"/>
        <v>909.233553091565</v>
      </c>
      <c r="U246" s="26">
        <f t="shared" si="6"/>
        <v>758.34355309156501</v>
      </c>
    </row>
    <row r="247" spans="19:21" ht="14.65" thickBot="1" x14ac:dyDescent="0.5">
      <c r="S247" s="37">
        <f t="shared" si="7"/>
        <v>918.32588862248065</v>
      </c>
      <c r="U247" s="26">
        <f t="shared" si="6"/>
        <v>767.43588862248066</v>
      </c>
    </row>
    <row r="248" spans="19:21" ht="14.65" thickBot="1" x14ac:dyDescent="0.5">
      <c r="S248" s="37">
        <f t="shared" si="7"/>
        <v>927.5091475087055</v>
      </c>
      <c r="U248" s="26">
        <f t="shared" si="6"/>
        <v>776.61914750870551</v>
      </c>
    </row>
    <row r="249" spans="19:21" ht="14.65" thickBot="1" x14ac:dyDescent="0.5">
      <c r="S249" s="37">
        <f t="shared" si="7"/>
        <v>936.78423898379253</v>
      </c>
      <c r="U249" s="26">
        <f t="shared" si="6"/>
        <v>785.89423898379255</v>
      </c>
    </row>
    <row r="250" spans="19:21" ht="14.65" thickBot="1" x14ac:dyDescent="0.5">
      <c r="S250" s="37">
        <f t="shared" si="7"/>
        <v>946.15208137363049</v>
      </c>
      <c r="U250" s="26">
        <f t="shared" si="6"/>
        <v>795.26208137363051</v>
      </c>
    </row>
    <row r="251" spans="19:21" ht="14.65" thickBot="1" x14ac:dyDescent="0.5">
      <c r="S251" s="37">
        <f t="shared" si="7"/>
        <v>955.61360218736684</v>
      </c>
      <c r="U251" s="26">
        <f t="shared" si="6"/>
        <v>804.72360218736685</v>
      </c>
    </row>
    <row r="252" spans="19:21" ht="14.65" thickBot="1" x14ac:dyDescent="0.5">
      <c r="S252" s="37">
        <f t="shared" si="7"/>
        <v>965.16973820924056</v>
      </c>
      <c r="U252" s="26">
        <f t="shared" si="6"/>
        <v>814.27973820924058</v>
      </c>
    </row>
    <row r="253" spans="19:21" ht="14.65" thickBot="1" x14ac:dyDescent="0.5">
      <c r="S253" s="37">
        <f t="shared" si="7"/>
        <v>974.82143559133294</v>
      </c>
      <c r="U253" s="26">
        <f t="shared" si="6"/>
        <v>823.93143559133296</v>
      </c>
    </row>
    <row r="254" spans="19:21" ht="14.65" thickBot="1" x14ac:dyDescent="0.5">
      <c r="S254" s="37">
        <f t="shared" si="7"/>
        <v>984.56964994724626</v>
      </c>
      <c r="U254" s="26">
        <f t="shared" si="6"/>
        <v>833.67964994724628</v>
      </c>
    </row>
    <row r="255" spans="19:21" ht="14.65" thickBot="1" x14ac:dyDescent="0.5">
      <c r="S255" s="37">
        <f t="shared" si="7"/>
        <v>994.41534644671879</v>
      </c>
      <c r="U255" s="26">
        <f t="shared" si="6"/>
        <v>843.5253464467188</v>
      </c>
    </row>
    <row r="256" spans="19:21" ht="14.65" thickBot="1" x14ac:dyDescent="0.5">
      <c r="S256" s="37">
        <f t="shared" si="7"/>
        <v>1004.3594999111859</v>
      </c>
      <c r="U256" s="26">
        <f t="shared" si="6"/>
        <v>853.46949991118595</v>
      </c>
    </row>
    <row r="257" spans="19:21" ht="14.65" thickBot="1" x14ac:dyDescent="0.5">
      <c r="S257" s="37">
        <f t="shared" si="7"/>
        <v>1014.4030949102978</v>
      </c>
      <c r="U257" s="26">
        <f t="shared" si="6"/>
        <v>863.51309491029781</v>
      </c>
    </row>
    <row r="258" spans="19:21" ht="14.65" thickBot="1" x14ac:dyDescent="0.5">
      <c r="S258" s="37">
        <f t="shared" si="7"/>
        <v>1024.5471258594007</v>
      </c>
      <c r="U258" s="26">
        <f t="shared" si="6"/>
        <v>873.65712585940071</v>
      </c>
    </row>
    <row r="259" spans="19:21" ht="14.65" thickBot="1" x14ac:dyDescent="0.5">
      <c r="S259" s="37">
        <f t="shared" si="7"/>
        <v>1034.7925971179948</v>
      </c>
      <c r="U259" s="26">
        <f t="shared" si="6"/>
        <v>883.90259711799479</v>
      </c>
    </row>
    <row r="260" spans="19:21" ht="14.65" thickBot="1" x14ac:dyDescent="0.5">
      <c r="S260" s="37">
        <f t="shared" si="7"/>
        <v>1045.1405230891746</v>
      </c>
      <c r="U260" s="26">
        <f t="shared" si="6"/>
        <v>894.25052308917464</v>
      </c>
    </row>
    <row r="261" spans="19:21" ht="14.65" thickBot="1" x14ac:dyDescent="0.5">
      <c r="S261" s="37">
        <f t="shared" si="7"/>
        <v>1055.5919283200665</v>
      </c>
      <c r="U261" s="26">
        <f t="shared" si="6"/>
        <v>904.70192832006649</v>
      </c>
    </row>
    <row r="262" spans="19:21" ht="14.65" thickBot="1" x14ac:dyDescent="0.5">
      <c r="S262" s="37">
        <f t="shared" si="7"/>
        <v>1066.1478476032671</v>
      </c>
      <c r="U262" s="26">
        <f t="shared" si="6"/>
        <v>915.25784760326712</v>
      </c>
    </row>
    <row r="263" spans="19:21" ht="14.65" thickBot="1" x14ac:dyDescent="0.5">
      <c r="S263" s="37">
        <f t="shared" si="7"/>
        <v>1076.8093260792998</v>
      </c>
      <c r="U263" s="26">
        <f t="shared" si="6"/>
        <v>925.91932607929982</v>
      </c>
    </row>
    <row r="264" spans="19:21" ht="14.65" thickBot="1" x14ac:dyDescent="0.5">
      <c r="S264" s="37">
        <f t="shared" si="7"/>
        <v>1087.5774193400928</v>
      </c>
      <c r="U264" s="26">
        <f t="shared" si="6"/>
        <v>936.68741934009279</v>
      </c>
    </row>
    <row r="265" spans="19:21" ht="14.65" thickBot="1" x14ac:dyDescent="0.5">
      <c r="S265" s="37">
        <f t="shared" si="7"/>
        <v>1098.4531935334937</v>
      </c>
      <c r="U265" s="26">
        <f t="shared" si="6"/>
        <v>947.56319353349375</v>
      </c>
    </row>
    <row r="266" spans="19:21" ht="14.65" thickBot="1" x14ac:dyDescent="0.5">
      <c r="S266" s="37">
        <f t="shared" si="7"/>
        <v>1109.4377254688286</v>
      </c>
      <c r="U266" s="26">
        <f t="shared" si="6"/>
        <v>958.54772546882862</v>
      </c>
    </row>
    <row r="267" spans="19:21" ht="14.65" thickBot="1" x14ac:dyDescent="0.5">
      <c r="S267" s="37">
        <f t="shared" si="7"/>
        <v>1120.5321027235168</v>
      </c>
      <c r="U267" s="26">
        <f t="shared" si="6"/>
        <v>969.64210272351681</v>
      </c>
    </row>
    <row r="268" spans="19:21" ht="14.65" thickBot="1" x14ac:dyDescent="0.5">
      <c r="S268" s="37">
        <f t="shared" si="7"/>
        <v>1131.737423750752</v>
      </c>
      <c r="U268" s="26">
        <f t="shared" si="6"/>
        <v>980.847423750752</v>
      </c>
    </row>
    <row r="269" spans="19:21" ht="14.65" thickBot="1" x14ac:dyDescent="0.5">
      <c r="S269" s="37">
        <f t="shared" si="7"/>
        <v>1143.0547979882595</v>
      </c>
      <c r="U269" s="26">
        <f t="shared" si="6"/>
        <v>992.16479798825947</v>
      </c>
    </row>
    <row r="270" spans="19:21" ht="14.65" thickBot="1" x14ac:dyDescent="0.5">
      <c r="S270" s="37">
        <f t="shared" si="7"/>
        <v>1154.4853459681422</v>
      </c>
      <c r="U270" s="26">
        <f t="shared" si="6"/>
        <v>1003.5953459681422</v>
      </c>
    </row>
    <row r="271" spans="19:21" ht="14.65" thickBot="1" x14ac:dyDescent="0.5">
      <c r="S271" s="37">
        <f t="shared" si="7"/>
        <v>1166.0301994278236</v>
      </c>
      <c r="U271" s="26">
        <f t="shared" si="6"/>
        <v>1015.1401994278236</v>
      </c>
    </row>
    <row r="272" spans="19:21" ht="14.65" thickBot="1" x14ac:dyDescent="0.5">
      <c r="S272" s="37">
        <f t="shared" si="7"/>
        <v>1177.6905014221018</v>
      </c>
      <c r="U272" s="26">
        <f t="shared" si="6"/>
        <v>1026.8005014221019</v>
      </c>
    </row>
    <row r="273" spans="19:21" ht="14.65" thickBot="1" x14ac:dyDescent="0.5">
      <c r="S273" s="37">
        <f t="shared" si="7"/>
        <v>1189.4674064363228</v>
      </c>
      <c r="U273" s="26">
        <f t="shared" si="6"/>
        <v>1038.5774064363229</v>
      </c>
    </row>
    <row r="274" spans="19:21" ht="14.65" thickBot="1" x14ac:dyDescent="0.5">
      <c r="S274" s="37">
        <f t="shared" si="7"/>
        <v>1201.362080500686</v>
      </c>
      <c r="U274" s="26">
        <f t="shared" si="6"/>
        <v>1050.4720805006862</v>
      </c>
    </row>
    <row r="275" spans="19:21" ht="14.65" thickBot="1" x14ac:dyDescent="0.5">
      <c r="S275" s="37">
        <f t="shared" si="7"/>
        <v>1213.3757013056929</v>
      </c>
      <c r="U275" s="26">
        <f t="shared" si="6"/>
        <v>1062.4857013056931</v>
      </c>
    </row>
    <row r="276" spans="19:21" ht="14.65" thickBot="1" x14ac:dyDescent="0.5">
      <c r="S276" s="37">
        <f t="shared" si="7"/>
        <v>1225.5094583187499</v>
      </c>
      <c r="U276" s="26">
        <f t="shared" ref="U276:U339" si="8">IF(S276&lt;$D$8,$D$8-S276-$D$9-$D$10,S276-$D$7-$D$9-$D$10)</f>
        <v>1074.61945831875</v>
      </c>
    </row>
    <row r="277" spans="19:21" ht="14.65" thickBot="1" x14ac:dyDescent="0.5">
      <c r="S277" s="37">
        <f t="shared" ref="S277:S340" si="9">S276*(1.01)</f>
        <v>1237.7645529019373</v>
      </c>
      <c r="U277" s="26">
        <f t="shared" si="8"/>
        <v>1086.8745529019375</v>
      </c>
    </row>
    <row r="278" spans="19:21" ht="14.65" thickBot="1" x14ac:dyDescent="0.5">
      <c r="S278" s="37">
        <f t="shared" si="9"/>
        <v>1250.1421984309568</v>
      </c>
      <c r="U278" s="26">
        <f t="shared" si="8"/>
        <v>1099.2521984309569</v>
      </c>
    </row>
    <row r="279" spans="19:21" ht="14.65" thickBot="1" x14ac:dyDescent="0.5">
      <c r="S279" s="37">
        <f t="shared" si="9"/>
        <v>1262.6436204152665</v>
      </c>
      <c r="U279" s="26">
        <f t="shared" si="8"/>
        <v>1111.7536204152666</v>
      </c>
    </row>
    <row r="280" spans="19:21" ht="14.65" thickBot="1" x14ac:dyDescent="0.5">
      <c r="S280" s="37">
        <f t="shared" si="9"/>
        <v>1275.2700566194192</v>
      </c>
      <c r="U280" s="26">
        <f t="shared" si="8"/>
        <v>1124.3800566194193</v>
      </c>
    </row>
    <row r="281" spans="19:21" ht="14.65" thickBot="1" x14ac:dyDescent="0.5">
      <c r="S281" s="37">
        <f t="shared" si="9"/>
        <v>1288.0227571856133</v>
      </c>
      <c r="U281" s="26">
        <f t="shared" si="8"/>
        <v>1137.1327571856134</v>
      </c>
    </row>
    <row r="282" spans="19:21" ht="14.65" thickBot="1" x14ac:dyDescent="0.5">
      <c r="S282" s="37">
        <f t="shared" si="9"/>
        <v>1300.9029847574693</v>
      </c>
      <c r="U282" s="26">
        <f t="shared" si="8"/>
        <v>1150.0129847574694</v>
      </c>
    </row>
    <row r="283" spans="19:21" ht="14.65" thickBot="1" x14ac:dyDescent="0.5">
      <c r="S283" s="37">
        <f t="shared" si="9"/>
        <v>1313.9120146050441</v>
      </c>
      <c r="U283" s="26">
        <f t="shared" si="8"/>
        <v>1163.0220146050442</v>
      </c>
    </row>
    <row r="284" spans="19:21" ht="14.65" thickBot="1" x14ac:dyDescent="0.5">
      <c r="S284" s="37">
        <f t="shared" si="9"/>
        <v>1327.0511347510944</v>
      </c>
      <c r="U284" s="26">
        <f t="shared" si="8"/>
        <v>1176.1611347510946</v>
      </c>
    </row>
    <row r="285" spans="19:21" ht="14.65" thickBot="1" x14ac:dyDescent="0.5">
      <c r="S285" s="37">
        <f t="shared" si="9"/>
        <v>1340.3216460986055</v>
      </c>
      <c r="U285" s="26">
        <f t="shared" si="8"/>
        <v>1189.4316460986056</v>
      </c>
    </row>
    <row r="286" spans="19:21" ht="14.65" thickBot="1" x14ac:dyDescent="0.5">
      <c r="S286" s="37">
        <f t="shared" si="9"/>
        <v>1353.7248625595914</v>
      </c>
      <c r="U286" s="26">
        <f t="shared" si="8"/>
        <v>1202.8348625595916</v>
      </c>
    </row>
    <row r="287" spans="19:21" ht="14.65" thickBot="1" x14ac:dyDescent="0.5">
      <c r="S287" s="37">
        <f t="shared" si="9"/>
        <v>1367.2621111851875</v>
      </c>
      <c r="U287" s="26">
        <f t="shared" si="8"/>
        <v>1216.3721111851876</v>
      </c>
    </row>
    <row r="288" spans="19:21" ht="14.65" thickBot="1" x14ac:dyDescent="0.5">
      <c r="S288" s="37">
        <f t="shared" si="9"/>
        <v>1380.9347322970393</v>
      </c>
      <c r="U288" s="26">
        <f t="shared" si="8"/>
        <v>1230.0447322970394</v>
      </c>
    </row>
    <row r="289" spans="19:21" ht="14.65" thickBot="1" x14ac:dyDescent="0.5">
      <c r="S289" s="37">
        <f t="shared" si="9"/>
        <v>1394.7440796200096</v>
      </c>
      <c r="U289" s="26">
        <f t="shared" si="8"/>
        <v>1243.8540796200098</v>
      </c>
    </row>
    <row r="290" spans="19:21" ht="14.65" thickBot="1" x14ac:dyDescent="0.5">
      <c r="S290" s="37">
        <f t="shared" si="9"/>
        <v>1408.6915204162096</v>
      </c>
      <c r="U290" s="26">
        <f t="shared" si="8"/>
        <v>1257.8015204162098</v>
      </c>
    </row>
    <row r="291" spans="19:21" ht="14.65" thickBot="1" x14ac:dyDescent="0.5">
      <c r="S291" s="37">
        <f t="shared" si="9"/>
        <v>1422.7784356203717</v>
      </c>
      <c r="U291" s="26">
        <f t="shared" si="8"/>
        <v>1271.8884356203719</v>
      </c>
    </row>
    <row r="292" spans="19:21" ht="14.65" thickBot="1" x14ac:dyDescent="0.5">
      <c r="S292" s="37">
        <f t="shared" si="9"/>
        <v>1437.0062199765755</v>
      </c>
      <c r="U292" s="26">
        <f t="shared" si="8"/>
        <v>1286.1162199765756</v>
      </c>
    </row>
    <row r="293" spans="19:21" ht="14.65" thickBot="1" x14ac:dyDescent="0.5">
      <c r="S293" s="37">
        <f t="shared" si="9"/>
        <v>1451.3762821763412</v>
      </c>
      <c r="U293" s="26">
        <f t="shared" si="8"/>
        <v>1300.4862821763413</v>
      </c>
    </row>
    <row r="294" spans="19:21" ht="14.65" thickBot="1" x14ac:dyDescent="0.5">
      <c r="S294" s="37">
        <f t="shared" si="9"/>
        <v>1465.8900449981047</v>
      </c>
      <c r="U294" s="26">
        <f t="shared" si="8"/>
        <v>1315.0000449981048</v>
      </c>
    </row>
    <row r="295" spans="19:21" ht="14.65" thickBot="1" x14ac:dyDescent="0.5">
      <c r="S295" s="37">
        <f t="shared" si="9"/>
        <v>1480.5489454480858</v>
      </c>
      <c r="U295" s="26">
        <f t="shared" si="8"/>
        <v>1329.6589454480859</v>
      </c>
    </row>
    <row r="296" spans="19:21" ht="14.65" thickBot="1" x14ac:dyDescent="0.5">
      <c r="S296" s="37">
        <f t="shared" si="9"/>
        <v>1495.3544349025667</v>
      </c>
      <c r="U296" s="26">
        <f t="shared" si="8"/>
        <v>1344.4644349025668</v>
      </c>
    </row>
    <row r="297" spans="19:21" ht="14.65" thickBot="1" x14ac:dyDescent="0.5">
      <c r="S297" s="37">
        <f t="shared" si="9"/>
        <v>1510.3079792515923</v>
      </c>
      <c r="U297" s="26">
        <f t="shared" si="8"/>
        <v>1359.4179792515924</v>
      </c>
    </row>
    <row r="298" spans="19:21" ht="14.65" thickBot="1" x14ac:dyDescent="0.5">
      <c r="S298" s="37">
        <f t="shared" si="9"/>
        <v>1525.4110590441082</v>
      </c>
      <c r="U298" s="26">
        <f t="shared" si="8"/>
        <v>1374.5210590441084</v>
      </c>
    </row>
    <row r="299" spans="19:21" ht="14.65" thickBot="1" x14ac:dyDescent="0.5">
      <c r="S299" s="37">
        <f t="shared" si="9"/>
        <v>1540.6651696345493</v>
      </c>
      <c r="U299" s="26">
        <f t="shared" si="8"/>
        <v>1389.7751696345495</v>
      </c>
    </row>
    <row r="300" spans="19:21" ht="14.65" thickBot="1" x14ac:dyDescent="0.5">
      <c r="S300" s="37">
        <f t="shared" si="9"/>
        <v>1556.0718213308949</v>
      </c>
      <c r="U300" s="26">
        <f t="shared" si="8"/>
        <v>1405.181821330895</v>
      </c>
    </row>
    <row r="301" spans="19:21" ht="14.65" thickBot="1" x14ac:dyDescent="0.5">
      <c r="S301" s="37">
        <f t="shared" si="9"/>
        <v>1571.6325395442038</v>
      </c>
      <c r="U301" s="26">
        <f t="shared" si="8"/>
        <v>1420.742539544204</v>
      </c>
    </row>
    <row r="302" spans="19:21" ht="14.65" thickBot="1" x14ac:dyDescent="0.5">
      <c r="S302" s="37">
        <f t="shared" si="9"/>
        <v>1587.3488649396459</v>
      </c>
      <c r="U302" s="26">
        <f t="shared" si="8"/>
        <v>1436.458864939646</v>
      </c>
    </row>
    <row r="303" spans="19:21" ht="14.65" thickBot="1" x14ac:dyDescent="0.5">
      <c r="S303" s="37">
        <f t="shared" si="9"/>
        <v>1603.2223535890423</v>
      </c>
      <c r="U303" s="26">
        <f t="shared" si="8"/>
        <v>1452.3323535890424</v>
      </c>
    </row>
    <row r="304" spans="19:21" ht="14.65" thickBot="1" x14ac:dyDescent="0.5">
      <c r="S304" s="37">
        <f t="shared" si="9"/>
        <v>1619.2545771249327</v>
      </c>
      <c r="U304" s="26">
        <f t="shared" si="8"/>
        <v>1468.3645771249328</v>
      </c>
    </row>
    <row r="305" spans="19:21" ht="14.65" thickBot="1" x14ac:dyDescent="0.5">
      <c r="S305" s="37">
        <f t="shared" si="9"/>
        <v>1635.447122896182</v>
      </c>
      <c r="U305" s="26">
        <f t="shared" si="8"/>
        <v>1484.5571228961821</v>
      </c>
    </row>
    <row r="306" spans="19:21" ht="14.65" thickBot="1" x14ac:dyDescent="0.5">
      <c r="S306" s="37">
        <f t="shared" si="9"/>
        <v>1651.8015941251438</v>
      </c>
      <c r="U306" s="26">
        <f t="shared" si="8"/>
        <v>1500.9115941251439</v>
      </c>
    </row>
    <row r="307" spans="19:21" ht="14.65" thickBot="1" x14ac:dyDescent="0.5">
      <c r="S307" s="37">
        <f t="shared" si="9"/>
        <v>1668.3196100663952</v>
      </c>
      <c r="U307" s="26">
        <f t="shared" si="8"/>
        <v>1517.4296100663953</v>
      </c>
    </row>
    <row r="308" spans="19:21" ht="14.65" thickBot="1" x14ac:dyDescent="0.5">
      <c r="S308" s="37">
        <f t="shared" si="9"/>
        <v>1685.0028061670591</v>
      </c>
      <c r="U308" s="26">
        <f t="shared" si="8"/>
        <v>1534.1128061670593</v>
      </c>
    </row>
    <row r="309" spans="19:21" ht="14.65" thickBot="1" x14ac:dyDescent="0.5">
      <c r="S309" s="37">
        <f t="shared" si="9"/>
        <v>1701.8528342287298</v>
      </c>
      <c r="U309" s="26">
        <f t="shared" si="8"/>
        <v>1550.9628342287299</v>
      </c>
    </row>
    <row r="310" spans="19:21" ht="14.65" thickBot="1" x14ac:dyDescent="0.5">
      <c r="S310" s="37">
        <f t="shared" si="9"/>
        <v>1718.871362571017</v>
      </c>
      <c r="U310" s="26">
        <f t="shared" si="8"/>
        <v>1567.9813625710171</v>
      </c>
    </row>
    <row r="311" spans="19:21" ht="14.65" thickBot="1" x14ac:dyDescent="0.5">
      <c r="S311" s="37">
        <f t="shared" si="9"/>
        <v>1736.0600761967271</v>
      </c>
      <c r="U311" s="26">
        <f t="shared" si="8"/>
        <v>1585.1700761967272</v>
      </c>
    </row>
    <row r="312" spans="19:21" ht="14.65" thickBot="1" x14ac:dyDescent="0.5">
      <c r="S312" s="37">
        <f t="shared" si="9"/>
        <v>1753.4206769586945</v>
      </c>
      <c r="U312" s="26">
        <f t="shared" si="8"/>
        <v>1602.5306769586946</v>
      </c>
    </row>
    <row r="313" spans="19:21" ht="14.65" thickBot="1" x14ac:dyDescent="0.5">
      <c r="S313" s="37">
        <f t="shared" si="9"/>
        <v>1770.9548837282814</v>
      </c>
      <c r="U313" s="26">
        <f t="shared" si="8"/>
        <v>1620.0648837282815</v>
      </c>
    </row>
    <row r="314" spans="19:21" ht="14.65" thickBot="1" x14ac:dyDescent="0.5">
      <c r="S314" s="37">
        <f t="shared" si="9"/>
        <v>1788.6644325655643</v>
      </c>
      <c r="U314" s="26">
        <f t="shared" si="8"/>
        <v>1637.7744325655644</v>
      </c>
    </row>
    <row r="315" spans="19:21" ht="14.65" thickBot="1" x14ac:dyDescent="0.5">
      <c r="S315" s="37">
        <f t="shared" si="9"/>
        <v>1806.55107689122</v>
      </c>
      <c r="U315" s="26">
        <f t="shared" si="8"/>
        <v>1655.6610768912201</v>
      </c>
    </row>
    <row r="316" spans="19:21" ht="14.65" thickBot="1" x14ac:dyDescent="0.5">
      <c r="S316" s="37">
        <f t="shared" si="9"/>
        <v>1824.6165876601322</v>
      </c>
      <c r="U316" s="26">
        <f t="shared" si="8"/>
        <v>1673.7265876601323</v>
      </c>
    </row>
    <row r="317" spans="19:21" ht="14.65" thickBot="1" x14ac:dyDescent="0.5">
      <c r="S317" s="37">
        <f t="shared" si="9"/>
        <v>1842.8627535367334</v>
      </c>
      <c r="U317" s="26">
        <f t="shared" si="8"/>
        <v>1691.9727535367335</v>
      </c>
    </row>
    <row r="318" spans="19:21" ht="14.65" thickBot="1" x14ac:dyDescent="0.5">
      <c r="S318" s="37">
        <f t="shared" si="9"/>
        <v>1861.2913810721006</v>
      </c>
      <c r="U318" s="26">
        <f t="shared" si="8"/>
        <v>1710.4013810721008</v>
      </c>
    </row>
    <row r="319" spans="19:21" ht="14.65" thickBot="1" x14ac:dyDescent="0.5">
      <c r="S319" s="37">
        <f t="shared" si="9"/>
        <v>1879.9042948828217</v>
      </c>
      <c r="U319" s="26">
        <f t="shared" si="8"/>
        <v>1729.0142948828218</v>
      </c>
    </row>
    <row r="320" spans="19:21" ht="14.65" thickBot="1" x14ac:dyDescent="0.5">
      <c r="S320" s="37">
        <f t="shared" si="9"/>
        <v>1898.7033378316498</v>
      </c>
      <c r="U320" s="26">
        <f t="shared" si="8"/>
        <v>1747.81333783165</v>
      </c>
    </row>
    <row r="321" spans="19:21" ht="14.65" thickBot="1" x14ac:dyDescent="0.5">
      <c r="S321" s="37">
        <f t="shared" si="9"/>
        <v>1917.6903712099663</v>
      </c>
      <c r="U321" s="26">
        <f t="shared" si="8"/>
        <v>1766.8003712099664</v>
      </c>
    </row>
    <row r="322" spans="19:21" ht="14.65" thickBot="1" x14ac:dyDescent="0.5">
      <c r="S322" s="37">
        <f t="shared" si="9"/>
        <v>1936.8672749220659</v>
      </c>
      <c r="U322" s="26">
        <f t="shared" si="8"/>
        <v>1785.977274922066</v>
      </c>
    </row>
    <row r="323" spans="19:21" ht="14.65" thickBot="1" x14ac:dyDescent="0.5">
      <c r="S323" s="37">
        <f t="shared" si="9"/>
        <v>1956.2359476712866</v>
      </c>
      <c r="U323" s="26">
        <f t="shared" si="8"/>
        <v>1805.3459476712867</v>
      </c>
    </row>
    <row r="324" spans="19:21" ht="14.65" thickBot="1" x14ac:dyDescent="0.5">
      <c r="S324" s="37">
        <f t="shared" si="9"/>
        <v>1975.7983071479994</v>
      </c>
      <c r="U324" s="26">
        <f t="shared" si="8"/>
        <v>1824.9083071479995</v>
      </c>
    </row>
    <row r="325" spans="19:21" ht="14.65" thickBot="1" x14ac:dyDescent="0.5">
      <c r="S325" s="37">
        <f t="shared" si="9"/>
        <v>1995.5562902194795</v>
      </c>
      <c r="U325" s="26">
        <f t="shared" si="8"/>
        <v>1844.6662902194796</v>
      </c>
    </row>
    <row r="326" spans="19:21" ht="14.65" thickBot="1" x14ac:dyDescent="0.5">
      <c r="S326" s="37">
        <f t="shared" si="9"/>
        <v>2015.5118531216742</v>
      </c>
      <c r="U326" s="26">
        <f t="shared" si="8"/>
        <v>1864.6218531216743</v>
      </c>
    </row>
    <row r="327" spans="19:21" ht="14.65" thickBot="1" x14ac:dyDescent="0.5">
      <c r="S327" s="37">
        <f t="shared" si="9"/>
        <v>2035.6669716528909</v>
      </c>
      <c r="U327" s="26">
        <f t="shared" si="8"/>
        <v>1884.776971652891</v>
      </c>
    </row>
    <row r="328" spans="19:21" ht="14.65" thickBot="1" x14ac:dyDescent="0.5">
      <c r="S328" s="37">
        <f t="shared" si="9"/>
        <v>2056.0236413694197</v>
      </c>
      <c r="U328" s="26">
        <f t="shared" si="8"/>
        <v>1905.1336413694198</v>
      </c>
    </row>
    <row r="329" spans="19:21" ht="14.65" thickBot="1" x14ac:dyDescent="0.5">
      <c r="S329" s="37">
        <f t="shared" si="9"/>
        <v>2076.5838777831141</v>
      </c>
      <c r="U329" s="26">
        <f t="shared" si="8"/>
        <v>1925.6938777831142</v>
      </c>
    </row>
    <row r="330" spans="19:21" ht="14.65" thickBot="1" x14ac:dyDescent="0.5">
      <c r="S330" s="37">
        <f t="shared" si="9"/>
        <v>2097.3497165609451</v>
      </c>
      <c r="U330" s="26">
        <f t="shared" si="8"/>
        <v>1946.4597165609453</v>
      </c>
    </row>
    <row r="331" spans="19:21" ht="14.65" thickBot="1" x14ac:dyDescent="0.5">
      <c r="S331" s="37">
        <f t="shared" si="9"/>
        <v>2118.3232137265545</v>
      </c>
      <c r="U331" s="26">
        <f t="shared" si="8"/>
        <v>1967.4332137265546</v>
      </c>
    </row>
    <row r="332" spans="19:21" ht="14.65" thickBot="1" x14ac:dyDescent="0.5">
      <c r="S332" s="37">
        <f t="shared" si="9"/>
        <v>2139.5064458638199</v>
      </c>
      <c r="U332" s="26">
        <f t="shared" si="8"/>
        <v>1988.61644586382</v>
      </c>
    </row>
    <row r="333" spans="19:21" ht="14.65" thickBot="1" x14ac:dyDescent="0.5">
      <c r="S333" s="37">
        <f t="shared" si="9"/>
        <v>2160.9015103224583</v>
      </c>
      <c r="U333" s="26">
        <f t="shared" si="8"/>
        <v>2010.0115103224584</v>
      </c>
    </row>
    <row r="334" spans="19:21" ht="14.65" thickBot="1" x14ac:dyDescent="0.5">
      <c r="S334" s="37">
        <f t="shared" si="9"/>
        <v>2182.5105254256828</v>
      </c>
      <c r="U334" s="26">
        <f t="shared" si="8"/>
        <v>2031.6205254256829</v>
      </c>
    </row>
    <row r="335" spans="19:21" ht="14.65" thickBot="1" x14ac:dyDescent="0.5">
      <c r="S335" s="37">
        <f t="shared" si="9"/>
        <v>2204.3356306799396</v>
      </c>
      <c r="U335" s="26">
        <f t="shared" si="8"/>
        <v>2053.4456306799398</v>
      </c>
    </row>
    <row r="336" spans="19:21" ht="14.65" thickBot="1" x14ac:dyDescent="0.5">
      <c r="S336" s="37">
        <f t="shared" si="9"/>
        <v>2226.3789869867392</v>
      </c>
      <c r="U336" s="26">
        <f t="shared" si="8"/>
        <v>2075.4889869867393</v>
      </c>
    </row>
    <row r="337" spans="19:21" ht="14.65" thickBot="1" x14ac:dyDescent="0.5">
      <c r="S337" s="37">
        <f t="shared" si="9"/>
        <v>2248.6427768566064</v>
      </c>
      <c r="U337" s="26">
        <f t="shared" si="8"/>
        <v>2097.7527768566065</v>
      </c>
    </row>
    <row r="338" spans="19:21" ht="14.65" thickBot="1" x14ac:dyDescent="0.5">
      <c r="S338" s="37">
        <f t="shared" si="9"/>
        <v>2271.1292046251724</v>
      </c>
      <c r="U338" s="26">
        <f t="shared" si="8"/>
        <v>2120.2392046251725</v>
      </c>
    </row>
    <row r="339" spans="19:21" ht="14.65" thickBot="1" x14ac:dyDescent="0.5">
      <c r="S339" s="37">
        <f t="shared" si="9"/>
        <v>2293.8404966714243</v>
      </c>
      <c r="U339" s="26">
        <f t="shared" si="8"/>
        <v>2142.9504966714244</v>
      </c>
    </row>
    <row r="340" spans="19:21" ht="14.65" thickBot="1" x14ac:dyDescent="0.5">
      <c r="S340" s="37">
        <f t="shared" si="9"/>
        <v>2316.7789016381384</v>
      </c>
      <c r="U340" s="26">
        <f t="shared" ref="U340:U403" si="10">IF(S340&lt;$D$8,$D$8-S340-$D$9-$D$10,S340-$D$7-$D$9-$D$10)</f>
        <v>2165.8889016381386</v>
      </c>
    </row>
    <row r="341" spans="19:21" ht="14.65" thickBot="1" x14ac:dyDescent="0.5">
      <c r="S341" s="37">
        <f t="shared" ref="S341:S404" si="11">S340*(1.01)</f>
        <v>2339.9466906545199</v>
      </c>
      <c r="U341" s="26">
        <f t="shared" si="10"/>
        <v>2189.05669065452</v>
      </c>
    </row>
    <row r="342" spans="19:21" ht="14.65" thickBot="1" x14ac:dyDescent="0.5">
      <c r="S342" s="37">
        <f t="shared" si="11"/>
        <v>2363.346157561065</v>
      </c>
      <c r="U342" s="26">
        <f t="shared" si="10"/>
        <v>2212.4561575610651</v>
      </c>
    </row>
    <row r="343" spans="19:21" ht="14.65" thickBot="1" x14ac:dyDescent="0.5">
      <c r="S343" s="37">
        <f t="shared" si="11"/>
        <v>2386.9796191366754</v>
      </c>
      <c r="U343" s="26">
        <f t="shared" si="10"/>
        <v>2236.0896191366755</v>
      </c>
    </row>
    <row r="344" spans="19:21" ht="14.65" thickBot="1" x14ac:dyDescent="0.5">
      <c r="S344" s="37">
        <f t="shared" si="11"/>
        <v>2410.8494153280421</v>
      </c>
      <c r="U344" s="26">
        <f t="shared" si="10"/>
        <v>2259.9594153280423</v>
      </c>
    </row>
    <row r="345" spans="19:21" ht="14.65" thickBot="1" x14ac:dyDescent="0.5">
      <c r="S345" s="37">
        <f t="shared" si="11"/>
        <v>2434.9579094813225</v>
      </c>
      <c r="U345" s="26">
        <f t="shared" si="10"/>
        <v>2284.0679094813227</v>
      </c>
    </row>
    <row r="346" spans="19:21" ht="14.65" thickBot="1" x14ac:dyDescent="0.5">
      <c r="S346" s="37">
        <f t="shared" si="11"/>
        <v>2459.3074885761357</v>
      </c>
      <c r="U346" s="26">
        <f t="shared" si="10"/>
        <v>2308.4174885761358</v>
      </c>
    </row>
    <row r="347" spans="19:21" ht="14.65" thickBot="1" x14ac:dyDescent="0.5">
      <c r="S347" s="37">
        <f t="shared" si="11"/>
        <v>2483.900563461897</v>
      </c>
      <c r="U347" s="26">
        <f t="shared" si="10"/>
        <v>2333.0105634618972</v>
      </c>
    </row>
    <row r="348" spans="19:21" ht="14.65" thickBot="1" x14ac:dyDescent="0.5">
      <c r="S348" s="37">
        <f t="shared" si="11"/>
        <v>2508.7395690965159</v>
      </c>
      <c r="U348" s="26">
        <f t="shared" si="10"/>
        <v>2357.849569096516</v>
      </c>
    </row>
    <row r="349" spans="19:21" ht="14.65" thickBot="1" x14ac:dyDescent="0.5">
      <c r="S349" s="37">
        <f t="shared" si="11"/>
        <v>2533.8269647874808</v>
      </c>
      <c r="U349" s="26">
        <f t="shared" si="10"/>
        <v>2382.936964787481</v>
      </c>
    </row>
    <row r="350" spans="19:21" ht="14.65" thickBot="1" x14ac:dyDescent="0.5">
      <c r="S350" s="37">
        <f t="shared" si="11"/>
        <v>2559.1652344353556</v>
      </c>
      <c r="U350" s="26">
        <f t="shared" si="10"/>
        <v>2408.2752344353557</v>
      </c>
    </row>
    <row r="351" spans="19:21" ht="14.65" thickBot="1" x14ac:dyDescent="0.5">
      <c r="S351" s="37">
        <f t="shared" si="11"/>
        <v>2584.756886779709</v>
      </c>
      <c r="U351" s="26">
        <f t="shared" si="10"/>
        <v>2433.8668867797091</v>
      </c>
    </row>
    <row r="352" spans="19:21" ht="14.65" thickBot="1" x14ac:dyDescent="0.5">
      <c r="S352" s="37">
        <f t="shared" si="11"/>
        <v>2610.6044556475063</v>
      </c>
      <c r="U352" s="26">
        <f t="shared" si="10"/>
        <v>2459.7144556475064</v>
      </c>
    </row>
    <row r="353" spans="19:21" ht="14.65" thickBot="1" x14ac:dyDescent="0.5">
      <c r="S353" s="37">
        <f t="shared" si="11"/>
        <v>2636.7105002039812</v>
      </c>
      <c r="U353" s="26">
        <f t="shared" si="10"/>
        <v>2485.8205002039813</v>
      </c>
    </row>
    <row r="354" spans="19:21" ht="14.65" thickBot="1" x14ac:dyDescent="0.5">
      <c r="S354" s="37">
        <f t="shared" si="11"/>
        <v>2663.077605206021</v>
      </c>
      <c r="U354" s="26">
        <f t="shared" si="10"/>
        <v>2512.1876052060211</v>
      </c>
    </row>
    <row r="355" spans="19:21" ht="14.65" thickBot="1" x14ac:dyDescent="0.5">
      <c r="S355" s="37">
        <f t="shared" si="11"/>
        <v>2689.7083812580813</v>
      </c>
      <c r="U355" s="26">
        <f t="shared" si="10"/>
        <v>2538.8183812580814</v>
      </c>
    </row>
    <row r="356" spans="19:21" ht="14.65" thickBot="1" x14ac:dyDescent="0.5">
      <c r="S356" s="37">
        <f t="shared" si="11"/>
        <v>2716.6054650706624</v>
      </c>
      <c r="U356" s="26">
        <f t="shared" si="10"/>
        <v>2565.7154650706625</v>
      </c>
    </row>
    <row r="357" spans="19:21" ht="14.65" thickBot="1" x14ac:dyDescent="0.5">
      <c r="S357" s="37">
        <f t="shared" si="11"/>
        <v>2743.7715197213688</v>
      </c>
      <c r="U357" s="26">
        <f t="shared" si="10"/>
        <v>2592.8815197213689</v>
      </c>
    </row>
    <row r="358" spans="19:21" ht="14.65" thickBot="1" x14ac:dyDescent="0.5">
      <c r="S358" s="37">
        <f t="shared" si="11"/>
        <v>2771.2092349185823</v>
      </c>
      <c r="U358" s="26">
        <f t="shared" si="10"/>
        <v>2620.3192349185824</v>
      </c>
    </row>
    <row r="359" spans="19:21" ht="14.65" thickBot="1" x14ac:dyDescent="0.5">
      <c r="S359" s="37">
        <f t="shared" si="11"/>
        <v>2798.921327267768</v>
      </c>
      <c r="U359" s="26">
        <f t="shared" si="10"/>
        <v>2648.0313272677681</v>
      </c>
    </row>
    <row r="360" spans="19:21" ht="14.65" thickBot="1" x14ac:dyDescent="0.5">
      <c r="S360" s="37">
        <f t="shared" si="11"/>
        <v>2826.9105405404457</v>
      </c>
      <c r="U360" s="26">
        <f t="shared" si="10"/>
        <v>2676.0205405404458</v>
      </c>
    </row>
    <row r="361" spans="19:21" ht="14.65" thickBot="1" x14ac:dyDescent="0.5">
      <c r="S361" s="37">
        <f t="shared" si="11"/>
        <v>2855.1796459458501</v>
      </c>
      <c r="U361" s="26">
        <f t="shared" si="10"/>
        <v>2704.2896459458502</v>
      </c>
    </row>
    <row r="362" spans="19:21" ht="14.65" thickBot="1" x14ac:dyDescent="0.5">
      <c r="S362" s="37">
        <f t="shared" si="11"/>
        <v>2883.7314424053088</v>
      </c>
      <c r="U362" s="26">
        <f t="shared" si="10"/>
        <v>2732.841442405309</v>
      </c>
    </row>
    <row r="363" spans="19:21" ht="14.65" thickBot="1" x14ac:dyDescent="0.5">
      <c r="S363" s="37">
        <f t="shared" si="11"/>
        <v>2912.568756829362</v>
      </c>
      <c r="U363" s="26">
        <f t="shared" si="10"/>
        <v>2761.6787568293621</v>
      </c>
    </row>
    <row r="364" spans="19:21" ht="14.65" thickBot="1" x14ac:dyDescent="0.5">
      <c r="S364" s="37">
        <f t="shared" si="11"/>
        <v>2941.6944443976558</v>
      </c>
      <c r="U364" s="26">
        <f t="shared" si="10"/>
        <v>2790.804444397656</v>
      </c>
    </row>
    <row r="365" spans="19:21" ht="14.65" thickBot="1" x14ac:dyDescent="0.5">
      <c r="S365" s="37">
        <f t="shared" si="11"/>
        <v>2971.1113888416326</v>
      </c>
      <c r="U365" s="26">
        <f t="shared" si="10"/>
        <v>2820.2213888416327</v>
      </c>
    </row>
    <row r="366" spans="19:21" ht="14.65" thickBot="1" x14ac:dyDescent="0.5">
      <c r="S366" s="37">
        <f t="shared" si="11"/>
        <v>3000.8225027300491</v>
      </c>
      <c r="U366" s="26">
        <f t="shared" si="10"/>
        <v>2849.9325027300492</v>
      </c>
    </row>
    <row r="367" spans="19:21" ht="14.65" thickBot="1" x14ac:dyDescent="0.5">
      <c r="S367" s="37">
        <f t="shared" si="11"/>
        <v>3030.8307277573495</v>
      </c>
      <c r="U367" s="26">
        <f t="shared" si="10"/>
        <v>2879.9407277573496</v>
      </c>
    </row>
    <row r="368" spans="19:21" ht="14.65" thickBot="1" x14ac:dyDescent="0.5">
      <c r="S368" s="37">
        <f t="shared" si="11"/>
        <v>3061.1390350349229</v>
      </c>
      <c r="U368" s="26">
        <f t="shared" si="10"/>
        <v>2910.2490350349231</v>
      </c>
    </row>
    <row r="369" spans="19:21" ht="14.65" thickBot="1" x14ac:dyDescent="0.5">
      <c r="S369" s="37">
        <f t="shared" si="11"/>
        <v>3091.7504253852721</v>
      </c>
      <c r="U369" s="26">
        <f t="shared" si="10"/>
        <v>2940.8604253852723</v>
      </c>
    </row>
    <row r="370" spans="19:21" ht="14.65" thickBot="1" x14ac:dyDescent="0.5">
      <c r="S370" s="37">
        <f t="shared" si="11"/>
        <v>3122.6679296391248</v>
      </c>
      <c r="U370" s="26">
        <f t="shared" si="10"/>
        <v>2971.777929639125</v>
      </c>
    </row>
    <row r="371" spans="19:21" ht="14.65" thickBot="1" x14ac:dyDescent="0.5">
      <c r="S371" s="37">
        <f t="shared" si="11"/>
        <v>3153.8946089355163</v>
      </c>
      <c r="U371" s="26">
        <f t="shared" si="10"/>
        <v>3003.0046089355164</v>
      </c>
    </row>
    <row r="372" spans="19:21" ht="14.65" thickBot="1" x14ac:dyDescent="0.5">
      <c r="S372" s="37">
        <f t="shared" si="11"/>
        <v>3185.4335550248716</v>
      </c>
      <c r="U372" s="26">
        <f t="shared" si="10"/>
        <v>3034.5435550248717</v>
      </c>
    </row>
    <row r="373" spans="19:21" ht="14.65" thickBot="1" x14ac:dyDescent="0.5">
      <c r="S373" s="37">
        <f t="shared" si="11"/>
        <v>3217.2878905751204</v>
      </c>
      <c r="U373" s="26">
        <f t="shared" si="10"/>
        <v>3066.3978905751205</v>
      </c>
    </row>
    <row r="374" spans="19:21" ht="14.65" thickBot="1" x14ac:dyDescent="0.5">
      <c r="S374" s="37">
        <f t="shared" si="11"/>
        <v>3249.4607694808715</v>
      </c>
      <c r="U374" s="26">
        <f t="shared" si="10"/>
        <v>3098.5707694808716</v>
      </c>
    </row>
    <row r="375" spans="19:21" ht="14.65" thickBot="1" x14ac:dyDescent="0.5">
      <c r="S375" s="37">
        <f t="shared" si="11"/>
        <v>3281.95537717568</v>
      </c>
      <c r="U375" s="26">
        <f t="shared" si="10"/>
        <v>3131.0653771756802</v>
      </c>
    </row>
    <row r="376" spans="19:21" ht="14.65" thickBot="1" x14ac:dyDescent="0.5">
      <c r="S376" s="37">
        <f t="shared" si="11"/>
        <v>3314.774930947437</v>
      </c>
      <c r="U376" s="26">
        <f t="shared" si="10"/>
        <v>3163.8849309474372</v>
      </c>
    </row>
    <row r="377" spans="19:21" ht="14.65" thickBot="1" x14ac:dyDescent="0.5">
      <c r="S377" s="37">
        <f t="shared" si="11"/>
        <v>3347.9226802569115</v>
      </c>
      <c r="U377" s="26">
        <f t="shared" si="10"/>
        <v>3197.0326802569116</v>
      </c>
    </row>
    <row r="378" spans="19:21" ht="14.65" thickBot="1" x14ac:dyDescent="0.5">
      <c r="S378" s="37">
        <f t="shared" si="11"/>
        <v>3381.4019070594804</v>
      </c>
      <c r="U378" s="26">
        <f t="shared" si="10"/>
        <v>3230.5119070594806</v>
      </c>
    </row>
    <row r="379" spans="19:21" ht="14.65" thickBot="1" x14ac:dyDescent="0.5">
      <c r="S379" s="37">
        <f t="shared" si="11"/>
        <v>3415.2159261300753</v>
      </c>
      <c r="U379" s="26">
        <f t="shared" si="10"/>
        <v>3264.3259261300755</v>
      </c>
    </row>
    <row r="380" spans="19:21" ht="14.65" thickBot="1" x14ac:dyDescent="0.5">
      <c r="S380" s="37">
        <f t="shared" si="11"/>
        <v>3449.3680853913761</v>
      </c>
      <c r="U380" s="26">
        <f t="shared" si="10"/>
        <v>3298.4780853913762</v>
      </c>
    </row>
    <row r="381" spans="19:21" ht="14.65" thickBot="1" x14ac:dyDescent="0.5">
      <c r="S381" s="37">
        <f t="shared" si="11"/>
        <v>3483.8617662452898</v>
      </c>
      <c r="U381" s="26">
        <f t="shared" si="10"/>
        <v>3332.9717662452899</v>
      </c>
    </row>
    <row r="382" spans="19:21" ht="14.65" thickBot="1" x14ac:dyDescent="0.5">
      <c r="S382" s="37">
        <f t="shared" si="11"/>
        <v>3518.7003839077429</v>
      </c>
      <c r="U382" s="26">
        <f t="shared" si="10"/>
        <v>3367.810383907743</v>
      </c>
    </row>
    <row r="383" spans="19:21" ht="14.65" thickBot="1" x14ac:dyDescent="0.5">
      <c r="S383" s="37">
        <f t="shared" si="11"/>
        <v>3553.8873877468204</v>
      </c>
      <c r="U383" s="26">
        <f t="shared" si="10"/>
        <v>3402.9973877468206</v>
      </c>
    </row>
    <row r="384" spans="19:21" ht="14.65" thickBot="1" x14ac:dyDescent="0.5">
      <c r="S384" s="37">
        <f t="shared" si="11"/>
        <v>3589.4262616242886</v>
      </c>
      <c r="U384" s="26">
        <f t="shared" si="10"/>
        <v>3438.5362616242887</v>
      </c>
    </row>
    <row r="385" spans="19:21" ht="14.65" thickBot="1" x14ac:dyDescent="0.5">
      <c r="S385" s="37">
        <f t="shared" si="11"/>
        <v>3625.3205242405315</v>
      </c>
      <c r="U385" s="26">
        <f t="shared" si="10"/>
        <v>3474.4305242405317</v>
      </c>
    </row>
    <row r="386" spans="19:21" ht="14.65" thickBot="1" x14ac:dyDescent="0.5">
      <c r="S386" s="37">
        <f t="shared" si="11"/>
        <v>3661.5737294829369</v>
      </c>
      <c r="U386" s="26">
        <f t="shared" si="10"/>
        <v>3510.683729482937</v>
      </c>
    </row>
    <row r="387" spans="19:21" ht="14.65" thickBot="1" x14ac:dyDescent="0.5">
      <c r="S387" s="37">
        <f t="shared" si="11"/>
        <v>3698.1894667777665</v>
      </c>
      <c r="U387" s="26">
        <f t="shared" si="10"/>
        <v>3547.2994667777666</v>
      </c>
    </row>
    <row r="388" spans="19:21" ht="14.65" thickBot="1" x14ac:dyDescent="0.5">
      <c r="S388" s="37">
        <f t="shared" si="11"/>
        <v>3735.1713614455443</v>
      </c>
      <c r="U388" s="26">
        <f t="shared" si="10"/>
        <v>3584.2813614455445</v>
      </c>
    </row>
    <row r="389" spans="19:21" ht="14.65" thickBot="1" x14ac:dyDescent="0.5">
      <c r="S389" s="37">
        <f t="shared" si="11"/>
        <v>3772.5230750599999</v>
      </c>
      <c r="U389" s="26">
        <f t="shared" si="10"/>
        <v>3621.63307506</v>
      </c>
    </row>
    <row r="390" spans="19:21" ht="14.65" thickBot="1" x14ac:dyDescent="0.5">
      <c r="S390" s="37">
        <f t="shared" si="11"/>
        <v>3810.2483058106</v>
      </c>
      <c r="U390" s="26">
        <f t="shared" si="10"/>
        <v>3659.3583058106001</v>
      </c>
    </row>
    <row r="391" spans="19:21" ht="14.65" thickBot="1" x14ac:dyDescent="0.5">
      <c r="S391" s="37">
        <f t="shared" si="11"/>
        <v>3848.3507888687059</v>
      </c>
      <c r="U391" s="26">
        <f t="shared" si="10"/>
        <v>3697.460788868706</v>
      </c>
    </row>
    <row r="392" spans="19:21" ht="14.65" thickBot="1" x14ac:dyDescent="0.5">
      <c r="S392" s="37">
        <f t="shared" si="11"/>
        <v>3886.8342967573931</v>
      </c>
      <c r="U392" s="26">
        <f t="shared" si="10"/>
        <v>3735.9442967573932</v>
      </c>
    </row>
    <row r="393" spans="19:21" ht="14.65" thickBot="1" x14ac:dyDescent="0.5">
      <c r="S393" s="37">
        <f t="shared" si="11"/>
        <v>3925.702639724967</v>
      </c>
      <c r="U393" s="26">
        <f t="shared" si="10"/>
        <v>3774.8126397249671</v>
      </c>
    </row>
    <row r="394" spans="19:21" ht="14.65" thickBot="1" x14ac:dyDescent="0.5">
      <c r="S394" s="37">
        <f t="shared" si="11"/>
        <v>3964.9596661222167</v>
      </c>
      <c r="U394" s="26">
        <f t="shared" si="10"/>
        <v>3814.0696661222169</v>
      </c>
    </row>
    <row r="395" spans="19:21" ht="14.65" thickBot="1" x14ac:dyDescent="0.5">
      <c r="S395" s="37">
        <f t="shared" si="11"/>
        <v>4004.6092627834391</v>
      </c>
      <c r="U395" s="26">
        <f t="shared" si="10"/>
        <v>3853.7192627834393</v>
      </c>
    </row>
    <row r="396" spans="19:21" ht="14.65" thickBot="1" x14ac:dyDescent="0.5">
      <c r="S396" s="37">
        <f t="shared" si="11"/>
        <v>4044.6553554112734</v>
      </c>
      <c r="U396" s="26">
        <f t="shared" si="10"/>
        <v>3893.7653554112735</v>
      </c>
    </row>
    <row r="397" spans="19:21" ht="14.65" thickBot="1" x14ac:dyDescent="0.5">
      <c r="S397" s="37">
        <f t="shared" si="11"/>
        <v>4085.101908965386</v>
      </c>
      <c r="U397" s="26">
        <f t="shared" si="10"/>
        <v>3934.2119089653861</v>
      </c>
    </row>
    <row r="398" spans="19:21" ht="14.65" thickBot="1" x14ac:dyDescent="0.5">
      <c r="S398" s="37">
        <f t="shared" si="11"/>
        <v>4125.9529280550396</v>
      </c>
      <c r="U398" s="26">
        <f t="shared" si="10"/>
        <v>3975.0629280550397</v>
      </c>
    </row>
    <row r="399" spans="19:21" ht="14.65" thickBot="1" x14ac:dyDescent="0.5">
      <c r="S399" s="37">
        <f t="shared" si="11"/>
        <v>4167.2124573355904</v>
      </c>
      <c r="U399" s="26">
        <f t="shared" si="10"/>
        <v>4016.3224573355906</v>
      </c>
    </row>
    <row r="400" spans="19:21" ht="14.65" thickBot="1" x14ac:dyDescent="0.5">
      <c r="S400" s="37">
        <f t="shared" si="11"/>
        <v>4208.8845819089465</v>
      </c>
      <c r="U400" s="26">
        <f t="shared" si="10"/>
        <v>4057.9945819089467</v>
      </c>
    </row>
    <row r="401" spans="19:21" ht="14.65" thickBot="1" x14ac:dyDescent="0.5">
      <c r="S401" s="37">
        <f t="shared" si="11"/>
        <v>4250.9734277280359</v>
      </c>
      <c r="U401" s="26">
        <f t="shared" si="10"/>
        <v>4100.0834277280355</v>
      </c>
    </row>
    <row r="402" spans="19:21" ht="14.65" thickBot="1" x14ac:dyDescent="0.5">
      <c r="S402" s="37">
        <f t="shared" si="11"/>
        <v>4293.4831620053164</v>
      </c>
      <c r="U402" s="26">
        <f t="shared" si="10"/>
        <v>4142.5931620053161</v>
      </c>
    </row>
    <row r="403" spans="19:21" ht="14.65" thickBot="1" x14ac:dyDescent="0.5">
      <c r="S403" s="37">
        <f t="shared" si="11"/>
        <v>4336.4179936253695</v>
      </c>
      <c r="U403" s="26">
        <f t="shared" si="10"/>
        <v>4185.5279936253692</v>
      </c>
    </row>
    <row r="404" spans="19:21" ht="14.65" thickBot="1" x14ac:dyDescent="0.5">
      <c r="S404" s="37">
        <f t="shared" si="11"/>
        <v>4379.7821735616235</v>
      </c>
      <c r="U404" s="26">
        <f t="shared" ref="U404:U467" si="12">IF(S404&lt;$D$8,$D$8-S404-$D$9-$D$10,S404-$D$7-$D$9-$D$10)</f>
        <v>4228.8921735616232</v>
      </c>
    </row>
    <row r="405" spans="19:21" ht="14.65" thickBot="1" x14ac:dyDescent="0.5">
      <c r="S405" s="37">
        <f t="shared" ref="S405:S468" si="13">S404*(1.01)</f>
        <v>4423.5799952972402</v>
      </c>
      <c r="U405" s="26">
        <f t="shared" si="12"/>
        <v>4272.6899952972399</v>
      </c>
    </row>
    <row r="406" spans="19:21" ht="14.65" thickBot="1" x14ac:dyDescent="0.5">
      <c r="S406" s="37">
        <f t="shared" si="13"/>
        <v>4467.8157952502124</v>
      </c>
      <c r="U406" s="26">
        <f t="shared" si="12"/>
        <v>4316.9257952502121</v>
      </c>
    </row>
    <row r="407" spans="19:21" ht="14.65" thickBot="1" x14ac:dyDescent="0.5">
      <c r="S407" s="37">
        <f t="shared" si="13"/>
        <v>4512.4939532027147</v>
      </c>
      <c r="U407" s="26">
        <f t="shared" si="12"/>
        <v>4361.6039532027144</v>
      </c>
    </row>
    <row r="408" spans="19:21" ht="14.65" thickBot="1" x14ac:dyDescent="0.5">
      <c r="S408" s="37">
        <f t="shared" si="13"/>
        <v>4557.6188927347421</v>
      </c>
      <c r="U408" s="26">
        <f t="shared" si="12"/>
        <v>4406.7288927347417</v>
      </c>
    </row>
    <row r="409" spans="19:21" ht="14.65" thickBot="1" x14ac:dyDescent="0.5">
      <c r="S409" s="37">
        <f t="shared" si="13"/>
        <v>4603.1950816620893</v>
      </c>
      <c r="U409" s="26">
        <f t="shared" si="12"/>
        <v>4452.3050816620889</v>
      </c>
    </row>
    <row r="410" spans="19:21" ht="14.65" thickBot="1" x14ac:dyDescent="0.5">
      <c r="S410" s="37">
        <f t="shared" si="13"/>
        <v>4649.2270324787105</v>
      </c>
      <c r="U410" s="26">
        <f t="shared" si="12"/>
        <v>4498.3370324787102</v>
      </c>
    </row>
    <row r="411" spans="19:21" ht="14.65" thickBot="1" x14ac:dyDescent="0.5">
      <c r="S411" s="37">
        <f t="shared" si="13"/>
        <v>4695.7193028034981</v>
      </c>
      <c r="U411" s="26">
        <f t="shared" si="12"/>
        <v>4544.8293028034977</v>
      </c>
    </row>
    <row r="412" spans="19:21" ht="14.65" thickBot="1" x14ac:dyDescent="0.5">
      <c r="S412" s="37">
        <f t="shared" si="13"/>
        <v>4742.6764958315334</v>
      </c>
      <c r="U412" s="26">
        <f t="shared" si="12"/>
        <v>4591.7864958315331</v>
      </c>
    </row>
    <row r="413" spans="19:21" ht="14.65" thickBot="1" x14ac:dyDescent="0.5">
      <c r="S413" s="37">
        <f t="shared" si="13"/>
        <v>4790.1032607898487</v>
      </c>
      <c r="U413" s="26">
        <f t="shared" si="12"/>
        <v>4639.2132607898484</v>
      </c>
    </row>
    <row r="414" spans="19:21" ht="14.65" thickBot="1" x14ac:dyDescent="0.5">
      <c r="S414" s="37">
        <f t="shared" si="13"/>
        <v>4838.0042933977475</v>
      </c>
      <c r="U414" s="26">
        <f t="shared" si="12"/>
        <v>4687.1142933977471</v>
      </c>
    </row>
    <row r="415" spans="19:21" ht="14.65" thickBot="1" x14ac:dyDescent="0.5">
      <c r="S415" s="37">
        <f t="shared" si="13"/>
        <v>4886.3843363317246</v>
      </c>
      <c r="U415" s="26">
        <f t="shared" si="12"/>
        <v>4735.4943363317243</v>
      </c>
    </row>
    <row r="416" spans="19:21" ht="14.65" thickBot="1" x14ac:dyDescent="0.5">
      <c r="S416" s="37">
        <f t="shared" si="13"/>
        <v>4935.2481796950415</v>
      </c>
      <c r="U416" s="26">
        <f t="shared" si="12"/>
        <v>4784.3581796950411</v>
      </c>
    </row>
    <row r="417" spans="19:21" ht="14.65" thickBot="1" x14ac:dyDescent="0.5">
      <c r="S417" s="37">
        <f t="shared" si="13"/>
        <v>4984.6006614919916</v>
      </c>
      <c r="U417" s="26">
        <f t="shared" si="12"/>
        <v>4833.7106614919912</v>
      </c>
    </row>
    <row r="418" spans="19:21" ht="14.65" thickBot="1" x14ac:dyDescent="0.5">
      <c r="S418" s="37">
        <f t="shared" si="13"/>
        <v>5034.4466681069116</v>
      </c>
      <c r="U418" s="26">
        <f t="shared" si="12"/>
        <v>4883.5566681069113</v>
      </c>
    </row>
    <row r="419" spans="19:21" ht="14.65" thickBot="1" x14ac:dyDescent="0.5">
      <c r="S419" s="37">
        <f t="shared" si="13"/>
        <v>5084.7911347879808</v>
      </c>
      <c r="U419" s="26">
        <f t="shared" si="12"/>
        <v>4933.9011347879805</v>
      </c>
    </row>
    <row r="420" spans="19:21" ht="14.65" thickBot="1" x14ac:dyDescent="0.5">
      <c r="S420" s="37">
        <f t="shared" si="13"/>
        <v>5135.6390461358606</v>
      </c>
      <c r="U420" s="26">
        <f t="shared" si="12"/>
        <v>4984.7490461358602</v>
      </c>
    </row>
    <row r="421" spans="19:21" ht="14.65" thickBot="1" x14ac:dyDescent="0.5">
      <c r="S421" s="37">
        <f t="shared" si="13"/>
        <v>5186.9954365972189</v>
      </c>
      <c r="U421" s="26">
        <f t="shared" si="12"/>
        <v>5036.1054365972186</v>
      </c>
    </row>
    <row r="422" spans="19:21" ht="14.65" thickBot="1" x14ac:dyDescent="0.5">
      <c r="S422" s="37">
        <f t="shared" si="13"/>
        <v>5238.8653909631912</v>
      </c>
      <c r="U422" s="26">
        <f t="shared" si="12"/>
        <v>5087.9753909631909</v>
      </c>
    </row>
    <row r="423" spans="19:21" ht="14.65" thickBot="1" x14ac:dyDescent="0.5">
      <c r="S423" s="37">
        <f t="shared" si="13"/>
        <v>5291.2540448728232</v>
      </c>
      <c r="U423" s="26">
        <f t="shared" si="12"/>
        <v>5140.3640448728229</v>
      </c>
    </row>
    <row r="424" spans="19:21" ht="14.65" thickBot="1" x14ac:dyDescent="0.5">
      <c r="S424" s="37">
        <f t="shared" si="13"/>
        <v>5344.1665853215518</v>
      </c>
      <c r="U424" s="26">
        <f t="shared" si="12"/>
        <v>5193.2765853215515</v>
      </c>
    </row>
    <row r="425" spans="19:21" ht="14.65" thickBot="1" x14ac:dyDescent="0.5">
      <c r="S425" s="37">
        <f t="shared" si="13"/>
        <v>5397.6082511747672</v>
      </c>
      <c r="U425" s="26">
        <f t="shared" si="12"/>
        <v>5246.7182511747669</v>
      </c>
    </row>
    <row r="426" spans="19:21" ht="14.65" thickBot="1" x14ac:dyDescent="0.5">
      <c r="S426" s="37">
        <f t="shared" si="13"/>
        <v>5451.5843336865146</v>
      </c>
      <c r="U426" s="26">
        <f t="shared" si="12"/>
        <v>5300.6943336865143</v>
      </c>
    </row>
    <row r="427" spans="19:21" ht="14.65" thickBot="1" x14ac:dyDescent="0.5">
      <c r="S427" s="37">
        <f t="shared" si="13"/>
        <v>5506.1001770233797</v>
      </c>
      <c r="U427" s="26">
        <f t="shared" si="12"/>
        <v>5355.2101770233794</v>
      </c>
    </row>
    <row r="428" spans="19:21" ht="14.65" thickBot="1" x14ac:dyDescent="0.5">
      <c r="S428" s="37">
        <f t="shared" si="13"/>
        <v>5561.1611787936135</v>
      </c>
      <c r="U428" s="26">
        <f t="shared" si="12"/>
        <v>5410.2711787936132</v>
      </c>
    </row>
    <row r="429" spans="19:21" ht="14.65" thickBot="1" x14ac:dyDescent="0.5">
      <c r="S429" s="37">
        <f t="shared" si="13"/>
        <v>5616.77279058155</v>
      </c>
      <c r="U429" s="26">
        <f t="shared" si="12"/>
        <v>5465.8827905815497</v>
      </c>
    </row>
    <row r="430" spans="19:21" ht="14.65" thickBot="1" x14ac:dyDescent="0.5">
      <c r="S430" s="37">
        <f t="shared" si="13"/>
        <v>5672.9405184873658</v>
      </c>
      <c r="U430" s="26">
        <f t="shared" si="12"/>
        <v>5522.0505184873655</v>
      </c>
    </row>
    <row r="431" spans="19:21" ht="14.65" thickBot="1" x14ac:dyDescent="0.5">
      <c r="S431" s="37">
        <f t="shared" si="13"/>
        <v>5729.6699236722397</v>
      </c>
      <c r="U431" s="26">
        <f t="shared" si="12"/>
        <v>5578.7799236722394</v>
      </c>
    </row>
    <row r="432" spans="19:21" ht="14.65" thickBot="1" x14ac:dyDescent="0.5">
      <c r="S432" s="37">
        <f t="shared" si="13"/>
        <v>5786.9666229089626</v>
      </c>
      <c r="U432" s="26">
        <f t="shared" si="12"/>
        <v>5636.0766229089622</v>
      </c>
    </row>
    <row r="433" spans="19:21" ht="14.65" thickBot="1" x14ac:dyDescent="0.5">
      <c r="S433" s="37">
        <f t="shared" si="13"/>
        <v>5844.8362891380521</v>
      </c>
      <c r="U433" s="26">
        <f t="shared" si="12"/>
        <v>5693.9462891380517</v>
      </c>
    </row>
    <row r="434" spans="19:21" ht="14.65" thickBot="1" x14ac:dyDescent="0.5">
      <c r="S434" s="37">
        <f t="shared" si="13"/>
        <v>5903.2846520294324</v>
      </c>
      <c r="U434" s="26">
        <f t="shared" si="12"/>
        <v>5752.3946520294321</v>
      </c>
    </row>
    <row r="435" spans="19:21" ht="14.65" thickBot="1" x14ac:dyDescent="0.5">
      <c r="S435" s="37">
        <f t="shared" si="13"/>
        <v>5962.3174985497271</v>
      </c>
      <c r="U435" s="26">
        <f t="shared" si="12"/>
        <v>5811.4274985497268</v>
      </c>
    </row>
    <row r="436" spans="19:21" ht="14.65" thickBot="1" x14ac:dyDescent="0.5">
      <c r="S436" s="37">
        <f t="shared" si="13"/>
        <v>6021.9406735352241</v>
      </c>
      <c r="U436" s="26">
        <f t="shared" si="12"/>
        <v>5871.0506735352237</v>
      </c>
    </row>
    <row r="437" spans="19:21" ht="14.65" thickBot="1" x14ac:dyDescent="0.5">
      <c r="S437" s="37">
        <f t="shared" si="13"/>
        <v>6082.1600802705761</v>
      </c>
      <c r="U437" s="26">
        <f t="shared" si="12"/>
        <v>5931.2700802705758</v>
      </c>
    </row>
    <row r="438" spans="19:21" ht="14.65" thickBot="1" x14ac:dyDescent="0.5">
      <c r="S438" s="37">
        <f t="shared" si="13"/>
        <v>6142.9816810732818</v>
      </c>
      <c r="U438" s="26">
        <f t="shared" si="12"/>
        <v>5992.0916810732815</v>
      </c>
    </row>
    <row r="439" spans="19:21" ht="14.65" thickBot="1" x14ac:dyDescent="0.5">
      <c r="S439" s="37">
        <f t="shared" si="13"/>
        <v>6204.4114978840144</v>
      </c>
      <c r="U439" s="26">
        <f t="shared" si="12"/>
        <v>6053.521497884014</v>
      </c>
    </row>
    <row r="440" spans="19:21" ht="14.65" thickBot="1" x14ac:dyDescent="0.5">
      <c r="S440" s="37">
        <f t="shared" si="13"/>
        <v>6266.4556128628547</v>
      </c>
      <c r="U440" s="26">
        <f t="shared" si="12"/>
        <v>6115.5656128628543</v>
      </c>
    </row>
    <row r="441" spans="19:21" ht="14.65" thickBot="1" x14ac:dyDescent="0.5">
      <c r="S441" s="37">
        <f t="shared" si="13"/>
        <v>6329.1201689914833</v>
      </c>
      <c r="U441" s="26">
        <f t="shared" si="12"/>
        <v>6178.230168991483</v>
      </c>
    </row>
    <row r="442" spans="19:21" ht="14.65" thickBot="1" x14ac:dyDescent="0.5">
      <c r="S442" s="37">
        <f t="shared" si="13"/>
        <v>6392.4113706813978</v>
      </c>
      <c r="U442" s="26">
        <f t="shared" si="12"/>
        <v>6241.5213706813975</v>
      </c>
    </row>
    <row r="443" spans="19:21" ht="14.65" thickBot="1" x14ac:dyDescent="0.5">
      <c r="S443" s="37">
        <f t="shared" si="13"/>
        <v>6456.3354843882116</v>
      </c>
      <c r="U443" s="26">
        <f t="shared" si="12"/>
        <v>6305.4454843882113</v>
      </c>
    </row>
    <row r="444" spans="19:21" ht="14.65" thickBot="1" x14ac:dyDescent="0.5">
      <c r="S444" s="37">
        <f t="shared" si="13"/>
        <v>6520.8988392320935</v>
      </c>
      <c r="U444" s="26">
        <f t="shared" si="12"/>
        <v>6370.0088392320931</v>
      </c>
    </row>
    <row r="445" spans="19:21" ht="14.65" thickBot="1" x14ac:dyDescent="0.5">
      <c r="S445" s="37">
        <f t="shared" si="13"/>
        <v>6586.1078276244143</v>
      </c>
      <c r="U445" s="26">
        <f t="shared" si="12"/>
        <v>6435.217827624414</v>
      </c>
    </row>
    <row r="446" spans="19:21" ht="14.65" thickBot="1" x14ac:dyDescent="0.5">
      <c r="S446" s="37">
        <f t="shared" si="13"/>
        <v>6651.9689059006587</v>
      </c>
      <c r="U446" s="26">
        <f t="shared" si="12"/>
        <v>6501.0789059006584</v>
      </c>
    </row>
    <row r="447" spans="19:21" ht="14.65" thickBot="1" x14ac:dyDescent="0.5">
      <c r="S447" s="37">
        <f t="shared" si="13"/>
        <v>6718.4885949596655</v>
      </c>
      <c r="U447" s="26">
        <f t="shared" si="12"/>
        <v>6567.5985949596652</v>
      </c>
    </row>
    <row r="448" spans="19:21" ht="14.65" thickBot="1" x14ac:dyDescent="0.5">
      <c r="S448" s="37">
        <f t="shared" si="13"/>
        <v>6785.6734809092623</v>
      </c>
      <c r="U448" s="26">
        <f t="shared" si="12"/>
        <v>6634.7834809092619</v>
      </c>
    </row>
    <row r="449" spans="19:21" ht="14.65" thickBot="1" x14ac:dyDescent="0.5">
      <c r="S449" s="37">
        <f t="shared" si="13"/>
        <v>6853.5302157183551</v>
      </c>
      <c r="U449" s="26">
        <f t="shared" si="12"/>
        <v>6702.6402157183547</v>
      </c>
    </row>
    <row r="450" spans="19:21" ht="14.65" thickBot="1" x14ac:dyDescent="0.5">
      <c r="S450" s="37">
        <f t="shared" si="13"/>
        <v>6922.0655178755387</v>
      </c>
      <c r="U450" s="26">
        <f t="shared" si="12"/>
        <v>6771.1755178755384</v>
      </c>
    </row>
    <row r="451" spans="19:21" ht="14.65" thickBot="1" x14ac:dyDescent="0.5">
      <c r="S451" s="37">
        <f t="shared" si="13"/>
        <v>6991.2861730542945</v>
      </c>
      <c r="U451" s="26">
        <f t="shared" si="12"/>
        <v>6840.3961730542942</v>
      </c>
    </row>
    <row r="452" spans="19:21" ht="14.65" thickBot="1" x14ac:dyDescent="0.5">
      <c r="S452" s="37">
        <f t="shared" si="13"/>
        <v>7061.1990347848377</v>
      </c>
      <c r="U452" s="26">
        <f t="shared" si="12"/>
        <v>6910.3090347848374</v>
      </c>
    </row>
    <row r="453" spans="19:21" ht="14.65" thickBot="1" x14ac:dyDescent="0.5">
      <c r="S453" s="37">
        <f t="shared" si="13"/>
        <v>7131.8110251326862</v>
      </c>
      <c r="U453" s="26">
        <f t="shared" si="12"/>
        <v>6980.9210251326858</v>
      </c>
    </row>
    <row r="454" spans="19:21" ht="14.65" thickBot="1" x14ac:dyDescent="0.5">
      <c r="S454" s="37">
        <f t="shared" si="13"/>
        <v>7203.1291353840134</v>
      </c>
      <c r="U454" s="26">
        <f t="shared" si="12"/>
        <v>7052.239135384013</v>
      </c>
    </row>
    <row r="455" spans="19:21" ht="14.65" thickBot="1" x14ac:dyDescent="0.5">
      <c r="S455" s="37">
        <f t="shared" si="13"/>
        <v>7275.1604267378534</v>
      </c>
      <c r="U455" s="26">
        <f t="shared" si="12"/>
        <v>7124.2704267378531</v>
      </c>
    </row>
    <row r="456" spans="19:21" ht="14.65" thickBot="1" x14ac:dyDescent="0.5">
      <c r="S456" s="37">
        <f t="shared" si="13"/>
        <v>7347.9120310052322</v>
      </c>
      <c r="U456" s="26">
        <f t="shared" si="12"/>
        <v>7197.0220310052318</v>
      </c>
    </row>
    <row r="457" spans="19:21" ht="14.65" thickBot="1" x14ac:dyDescent="0.5">
      <c r="S457" s="37">
        <f t="shared" si="13"/>
        <v>7421.3911513152843</v>
      </c>
      <c r="U457" s="26">
        <f t="shared" si="12"/>
        <v>7270.501151315284</v>
      </c>
    </row>
    <row r="458" spans="19:21" ht="14.65" thickBot="1" x14ac:dyDescent="0.5">
      <c r="S458" s="37">
        <f t="shared" si="13"/>
        <v>7495.6050628284374</v>
      </c>
      <c r="U458" s="26">
        <f t="shared" si="12"/>
        <v>7344.7150628284371</v>
      </c>
    </row>
    <row r="459" spans="19:21" ht="14.65" thickBot="1" x14ac:dyDescent="0.5">
      <c r="S459" s="37">
        <f t="shared" si="13"/>
        <v>7570.5611134567216</v>
      </c>
      <c r="U459" s="26">
        <f t="shared" si="12"/>
        <v>7419.6711134567213</v>
      </c>
    </row>
    <row r="460" spans="19:21" ht="14.65" thickBot="1" x14ac:dyDescent="0.5">
      <c r="S460" s="37">
        <f t="shared" si="13"/>
        <v>7646.2667245912889</v>
      </c>
      <c r="U460" s="26">
        <f t="shared" si="12"/>
        <v>7495.3767245912886</v>
      </c>
    </row>
    <row r="461" spans="19:21" ht="14.65" thickBot="1" x14ac:dyDescent="0.5">
      <c r="S461" s="37">
        <f t="shared" si="13"/>
        <v>7722.7293918372015</v>
      </c>
      <c r="U461" s="26">
        <f t="shared" si="12"/>
        <v>7571.8393918372012</v>
      </c>
    </row>
    <row r="462" spans="19:21" ht="14.65" thickBot="1" x14ac:dyDescent="0.5">
      <c r="S462" s="37">
        <f t="shared" si="13"/>
        <v>7799.9566857555737</v>
      </c>
      <c r="U462" s="26">
        <f t="shared" si="12"/>
        <v>7649.0666857555734</v>
      </c>
    </row>
    <row r="463" spans="19:21" ht="14.65" thickBot="1" x14ac:dyDescent="0.5">
      <c r="S463" s="37">
        <f t="shared" si="13"/>
        <v>7877.9562526131294</v>
      </c>
      <c r="U463" s="26">
        <f t="shared" si="12"/>
        <v>7727.0662526131291</v>
      </c>
    </row>
    <row r="464" spans="19:21" ht="14.65" thickBot="1" x14ac:dyDescent="0.5">
      <c r="S464" s="37">
        <f t="shared" si="13"/>
        <v>7956.7358151392609</v>
      </c>
      <c r="U464" s="26">
        <f t="shared" si="12"/>
        <v>7805.8458151392606</v>
      </c>
    </row>
    <row r="465" spans="19:21" ht="14.65" thickBot="1" x14ac:dyDescent="0.5">
      <c r="S465" s="37">
        <f t="shared" si="13"/>
        <v>8036.3031732906538</v>
      </c>
      <c r="U465" s="26">
        <f t="shared" si="12"/>
        <v>7885.4131732906535</v>
      </c>
    </row>
    <row r="466" spans="19:21" ht="14.65" thickBot="1" x14ac:dyDescent="0.5">
      <c r="S466" s="37">
        <f t="shared" si="13"/>
        <v>8116.66620502356</v>
      </c>
      <c r="U466" s="26">
        <f t="shared" si="12"/>
        <v>7965.7762050235597</v>
      </c>
    </row>
    <row r="467" spans="19:21" ht="14.65" thickBot="1" x14ac:dyDescent="0.5">
      <c r="S467" s="37">
        <f t="shared" si="13"/>
        <v>8197.8328670737956</v>
      </c>
      <c r="U467" s="26">
        <f t="shared" si="12"/>
        <v>8046.9428670737952</v>
      </c>
    </row>
    <row r="468" spans="19:21" ht="14.65" thickBot="1" x14ac:dyDescent="0.5">
      <c r="S468" s="37">
        <f t="shared" si="13"/>
        <v>8279.8111957445344</v>
      </c>
      <c r="U468" s="26">
        <f t="shared" ref="U468:U531" si="14">IF(S468&lt;$D$8,$D$8-S468-$D$9-$D$10,S468-$D$7-$D$9-$D$10)</f>
        <v>8128.9211957445341</v>
      </c>
    </row>
    <row r="469" spans="19:21" ht="14.65" thickBot="1" x14ac:dyDescent="0.5">
      <c r="S469" s="37">
        <f t="shared" ref="S469:S532" si="15">S468*(1.01)</f>
        <v>8362.6093077019796</v>
      </c>
      <c r="U469" s="26">
        <f t="shared" si="14"/>
        <v>8211.7193077019783</v>
      </c>
    </row>
    <row r="470" spans="19:21" ht="14.65" thickBot="1" x14ac:dyDescent="0.5">
      <c r="S470" s="37">
        <f t="shared" si="15"/>
        <v>8446.235400779</v>
      </c>
      <c r="U470" s="26">
        <f t="shared" si="14"/>
        <v>8295.3454007789987</v>
      </c>
    </row>
    <row r="471" spans="19:21" ht="14.65" thickBot="1" x14ac:dyDescent="0.5">
      <c r="S471" s="37">
        <f t="shared" si="15"/>
        <v>8530.69775478679</v>
      </c>
      <c r="U471" s="26">
        <f t="shared" si="14"/>
        <v>8379.8077547867888</v>
      </c>
    </row>
    <row r="472" spans="19:21" ht="14.65" thickBot="1" x14ac:dyDescent="0.5">
      <c r="S472" s="37">
        <f t="shared" si="15"/>
        <v>8616.0047323346589</v>
      </c>
      <c r="U472" s="26">
        <f t="shared" si="14"/>
        <v>8465.1147323346577</v>
      </c>
    </row>
    <row r="473" spans="19:21" ht="14.65" thickBot="1" x14ac:dyDescent="0.5">
      <c r="S473" s="37">
        <f t="shared" si="15"/>
        <v>8702.1647796580055</v>
      </c>
      <c r="U473" s="26">
        <f t="shared" si="14"/>
        <v>8551.2747796580043</v>
      </c>
    </row>
    <row r="474" spans="19:21" ht="14.65" thickBot="1" x14ac:dyDescent="0.5">
      <c r="S474" s="37">
        <f t="shared" si="15"/>
        <v>8789.186427454586</v>
      </c>
      <c r="U474" s="26">
        <f t="shared" si="14"/>
        <v>8638.2964274545848</v>
      </c>
    </row>
    <row r="475" spans="19:21" ht="14.65" thickBot="1" x14ac:dyDescent="0.5">
      <c r="S475" s="37">
        <f t="shared" si="15"/>
        <v>8877.0782917291326</v>
      </c>
      <c r="U475" s="26">
        <f t="shared" si="14"/>
        <v>8726.1882917291314</v>
      </c>
    </row>
    <row r="476" spans="19:21" ht="14.65" thickBot="1" x14ac:dyDescent="0.5">
      <c r="S476" s="37">
        <f t="shared" si="15"/>
        <v>8965.8490746464249</v>
      </c>
      <c r="U476" s="26">
        <f t="shared" si="14"/>
        <v>8814.9590746464237</v>
      </c>
    </row>
    <row r="477" spans="19:21" ht="14.65" thickBot="1" x14ac:dyDescent="0.5">
      <c r="S477" s="37">
        <f t="shared" si="15"/>
        <v>9055.5075653928889</v>
      </c>
      <c r="U477" s="26">
        <f t="shared" si="14"/>
        <v>8904.6175653928876</v>
      </c>
    </row>
    <row r="478" spans="19:21" ht="14.65" thickBot="1" x14ac:dyDescent="0.5">
      <c r="S478" s="37">
        <f t="shared" si="15"/>
        <v>9146.0626410468176</v>
      </c>
      <c r="U478" s="26">
        <f t="shared" si="14"/>
        <v>8995.1726410468164</v>
      </c>
    </row>
    <row r="479" spans="19:21" ht="14.65" thickBot="1" x14ac:dyDescent="0.5">
      <c r="S479" s="37">
        <f t="shared" si="15"/>
        <v>9237.5232674572853</v>
      </c>
      <c r="U479" s="26">
        <f t="shared" si="14"/>
        <v>9086.6332674572841</v>
      </c>
    </row>
    <row r="480" spans="19:21" ht="14.65" thickBot="1" x14ac:dyDescent="0.5">
      <c r="S480" s="37">
        <f t="shared" si="15"/>
        <v>9329.8985001318579</v>
      </c>
      <c r="U480" s="26">
        <f t="shared" si="14"/>
        <v>9179.0085001318566</v>
      </c>
    </row>
    <row r="481" spans="19:21" ht="14.65" thickBot="1" x14ac:dyDescent="0.5">
      <c r="S481" s="37">
        <f t="shared" si="15"/>
        <v>9423.1974851331761</v>
      </c>
      <c r="U481" s="26">
        <f t="shared" si="14"/>
        <v>9272.3074851331749</v>
      </c>
    </row>
    <row r="482" spans="19:21" ht="14.65" thickBot="1" x14ac:dyDescent="0.5">
      <c r="S482" s="37">
        <f t="shared" si="15"/>
        <v>9517.429459984507</v>
      </c>
      <c r="U482" s="26">
        <f t="shared" si="14"/>
        <v>9366.5394599845058</v>
      </c>
    </row>
    <row r="483" spans="19:21" ht="14.65" thickBot="1" x14ac:dyDescent="0.5">
      <c r="S483" s="37">
        <f t="shared" si="15"/>
        <v>9612.6037545843519</v>
      </c>
      <c r="U483" s="26">
        <f t="shared" si="14"/>
        <v>9461.7137545843507</v>
      </c>
    </row>
    <row r="484" spans="19:21" ht="14.65" thickBot="1" x14ac:dyDescent="0.5">
      <c r="S484" s="37">
        <f t="shared" si="15"/>
        <v>9708.7297921301961</v>
      </c>
      <c r="U484" s="26">
        <f t="shared" si="14"/>
        <v>9557.8397921301948</v>
      </c>
    </row>
    <row r="485" spans="19:21" ht="14.65" thickBot="1" x14ac:dyDescent="0.5">
      <c r="S485" s="37">
        <f t="shared" si="15"/>
        <v>9805.8170900514979</v>
      </c>
      <c r="U485" s="26">
        <f t="shared" si="14"/>
        <v>9654.9270900514966</v>
      </c>
    </row>
    <row r="486" spans="19:21" ht="14.65" thickBot="1" x14ac:dyDescent="0.5">
      <c r="S486" s="37">
        <f t="shared" si="15"/>
        <v>9903.8752609520125</v>
      </c>
      <c r="U486" s="26">
        <f t="shared" si="14"/>
        <v>9752.9852609520112</v>
      </c>
    </row>
    <row r="487" spans="19:21" ht="14.65" thickBot="1" x14ac:dyDescent="0.5">
      <c r="S487" s="37">
        <f t="shared" si="15"/>
        <v>10002.914013561533</v>
      </c>
      <c r="U487" s="26">
        <f t="shared" si="14"/>
        <v>9852.0240135615313</v>
      </c>
    </row>
    <row r="488" spans="19:21" ht="14.65" thickBot="1" x14ac:dyDescent="0.5">
      <c r="S488" s="37">
        <f t="shared" si="15"/>
        <v>10102.943153697148</v>
      </c>
      <c r="U488" s="26">
        <f t="shared" si="14"/>
        <v>9952.0531536971466</v>
      </c>
    </row>
    <row r="489" spans="19:21" ht="14.65" thickBot="1" x14ac:dyDescent="0.5">
      <c r="S489" s="37">
        <f t="shared" si="15"/>
        <v>10203.97258523412</v>
      </c>
      <c r="U489" s="26">
        <f t="shared" si="14"/>
        <v>10053.082585234119</v>
      </c>
    </row>
    <row r="490" spans="19:21" ht="14.65" thickBot="1" x14ac:dyDescent="0.5">
      <c r="S490" s="37">
        <f t="shared" si="15"/>
        <v>10306.012311086461</v>
      </c>
      <c r="U490" s="26">
        <f t="shared" si="14"/>
        <v>10155.122311086459</v>
      </c>
    </row>
    <row r="491" spans="19:21" ht="14.65" thickBot="1" x14ac:dyDescent="0.5">
      <c r="S491" s="37">
        <f t="shared" si="15"/>
        <v>10409.072434197325</v>
      </c>
      <c r="U491" s="26">
        <f t="shared" si="14"/>
        <v>10258.182434197324</v>
      </c>
    </row>
    <row r="492" spans="19:21" ht="14.65" thickBot="1" x14ac:dyDescent="0.5">
      <c r="S492" s="37">
        <f t="shared" si="15"/>
        <v>10513.163158539299</v>
      </c>
      <c r="U492" s="26">
        <f t="shared" si="14"/>
        <v>10362.273158539298</v>
      </c>
    </row>
    <row r="493" spans="19:21" ht="14.65" thickBot="1" x14ac:dyDescent="0.5">
      <c r="S493" s="37">
        <f t="shared" si="15"/>
        <v>10618.294790124692</v>
      </c>
      <c r="U493" s="26">
        <f t="shared" si="14"/>
        <v>10467.40479012469</v>
      </c>
    </row>
    <row r="494" spans="19:21" ht="14.65" thickBot="1" x14ac:dyDescent="0.5">
      <c r="S494" s="37">
        <f t="shared" si="15"/>
        <v>10724.477738025938</v>
      </c>
      <c r="U494" s="26">
        <f t="shared" si="14"/>
        <v>10573.587738025937</v>
      </c>
    </row>
    <row r="495" spans="19:21" ht="14.65" thickBot="1" x14ac:dyDescent="0.5">
      <c r="S495" s="37">
        <f t="shared" si="15"/>
        <v>10831.722515406198</v>
      </c>
      <c r="U495" s="26">
        <f t="shared" si="14"/>
        <v>10680.832515406197</v>
      </c>
    </row>
    <row r="496" spans="19:21" ht="14.65" thickBot="1" x14ac:dyDescent="0.5">
      <c r="S496" s="37">
        <f t="shared" si="15"/>
        <v>10940.03974056026</v>
      </c>
      <c r="U496" s="26">
        <f t="shared" si="14"/>
        <v>10789.149740560259</v>
      </c>
    </row>
    <row r="497" spans="19:21" ht="14.65" thickBot="1" x14ac:dyDescent="0.5">
      <c r="S497" s="37">
        <f t="shared" si="15"/>
        <v>11049.440137965863</v>
      </c>
      <c r="U497" s="26">
        <f t="shared" si="14"/>
        <v>10898.550137965862</v>
      </c>
    </row>
    <row r="498" spans="19:21" ht="14.65" thickBot="1" x14ac:dyDescent="0.5">
      <c r="S498" s="37">
        <f t="shared" si="15"/>
        <v>11159.934539345522</v>
      </c>
      <c r="U498" s="26">
        <f t="shared" si="14"/>
        <v>11009.044539345521</v>
      </c>
    </row>
    <row r="499" spans="19:21" ht="14.65" thickBot="1" x14ac:dyDescent="0.5">
      <c r="S499" s="37">
        <f t="shared" si="15"/>
        <v>11271.533884738978</v>
      </c>
      <c r="U499" s="26">
        <f t="shared" si="14"/>
        <v>11120.643884738976</v>
      </c>
    </row>
    <row r="500" spans="19:21" ht="14.65" thickBot="1" x14ac:dyDescent="0.5">
      <c r="S500" s="37">
        <f t="shared" si="15"/>
        <v>11384.249223586368</v>
      </c>
      <c r="U500" s="26">
        <f t="shared" si="14"/>
        <v>11233.359223586367</v>
      </c>
    </row>
    <row r="501" spans="19:21" ht="14.65" thickBot="1" x14ac:dyDescent="0.5">
      <c r="S501" s="37">
        <f t="shared" si="15"/>
        <v>11498.091715822233</v>
      </c>
      <c r="U501" s="26">
        <f t="shared" si="14"/>
        <v>11347.201715822232</v>
      </c>
    </row>
    <row r="502" spans="19:21" ht="14.65" thickBot="1" x14ac:dyDescent="0.5">
      <c r="S502" s="37">
        <f t="shared" si="15"/>
        <v>11613.072632980455</v>
      </c>
      <c r="U502" s="26">
        <f t="shared" si="14"/>
        <v>11462.182632980453</v>
      </c>
    </row>
    <row r="503" spans="19:21" ht="14.65" thickBot="1" x14ac:dyDescent="0.5">
      <c r="S503" s="37">
        <f t="shared" si="15"/>
        <v>11729.203359310259</v>
      </c>
      <c r="U503" s="26">
        <f t="shared" si="14"/>
        <v>11578.313359310258</v>
      </c>
    </row>
    <row r="504" spans="19:21" ht="14.65" thickBot="1" x14ac:dyDescent="0.5">
      <c r="S504" s="37">
        <f t="shared" si="15"/>
        <v>11846.495392903362</v>
      </c>
      <c r="U504" s="26">
        <f t="shared" si="14"/>
        <v>11695.605392903361</v>
      </c>
    </row>
    <row r="505" spans="19:21" ht="14.65" thickBot="1" x14ac:dyDescent="0.5">
      <c r="S505" s="37">
        <f t="shared" si="15"/>
        <v>11964.960346832395</v>
      </c>
      <c r="U505" s="26">
        <f t="shared" si="14"/>
        <v>11814.070346832394</v>
      </c>
    </row>
    <row r="506" spans="19:21" ht="14.65" thickBot="1" x14ac:dyDescent="0.5">
      <c r="S506" s="37">
        <f t="shared" si="15"/>
        <v>12084.609950300719</v>
      </c>
      <c r="U506" s="26">
        <f t="shared" si="14"/>
        <v>11933.719950300718</v>
      </c>
    </row>
    <row r="507" spans="19:21" ht="14.65" thickBot="1" x14ac:dyDescent="0.5">
      <c r="S507" s="37">
        <f t="shared" si="15"/>
        <v>12205.456049803726</v>
      </c>
      <c r="U507" s="26">
        <f t="shared" si="14"/>
        <v>12054.566049803725</v>
      </c>
    </row>
    <row r="508" spans="19:21" ht="14.65" thickBot="1" x14ac:dyDescent="0.5">
      <c r="S508" s="37">
        <f t="shared" si="15"/>
        <v>12327.510610301764</v>
      </c>
      <c r="U508" s="26">
        <f t="shared" si="14"/>
        <v>12176.620610301763</v>
      </c>
    </row>
    <row r="509" spans="19:21" ht="14.65" thickBot="1" x14ac:dyDescent="0.5">
      <c r="S509" s="37">
        <f t="shared" si="15"/>
        <v>12450.785716404782</v>
      </c>
      <c r="U509" s="26">
        <f t="shared" si="14"/>
        <v>12299.895716404781</v>
      </c>
    </row>
    <row r="510" spans="19:21" ht="14.65" thickBot="1" x14ac:dyDescent="0.5">
      <c r="S510" s="37">
        <f t="shared" si="15"/>
        <v>12575.29357356883</v>
      </c>
      <c r="U510" s="26">
        <f t="shared" si="14"/>
        <v>12424.403573568829</v>
      </c>
    </row>
    <row r="511" spans="19:21" ht="14.65" thickBot="1" x14ac:dyDescent="0.5">
      <c r="S511" s="37">
        <f t="shared" si="15"/>
        <v>12701.046509304519</v>
      </c>
      <c r="U511" s="26">
        <f t="shared" si="14"/>
        <v>12550.156509304517</v>
      </c>
    </row>
    <row r="512" spans="19:21" ht="14.65" thickBot="1" x14ac:dyDescent="0.5">
      <c r="S512" s="37">
        <f t="shared" si="15"/>
        <v>12828.056974397565</v>
      </c>
      <c r="U512" s="26">
        <f t="shared" si="14"/>
        <v>12677.166974397564</v>
      </c>
    </row>
    <row r="513" spans="19:21" ht="14.65" thickBot="1" x14ac:dyDescent="0.5">
      <c r="S513" s="37">
        <f t="shared" si="15"/>
        <v>12956.337544141541</v>
      </c>
      <c r="U513" s="26">
        <f t="shared" si="14"/>
        <v>12805.44754414154</v>
      </c>
    </row>
    <row r="514" spans="19:21" ht="14.65" thickBot="1" x14ac:dyDescent="0.5">
      <c r="S514" s="37">
        <f t="shared" si="15"/>
        <v>13085.900919582957</v>
      </c>
      <c r="U514" s="26">
        <f t="shared" si="14"/>
        <v>12935.010919582955</v>
      </c>
    </row>
    <row r="515" spans="19:21" ht="14.65" thickBot="1" x14ac:dyDescent="0.5">
      <c r="S515" s="37">
        <f t="shared" si="15"/>
        <v>13216.759928778787</v>
      </c>
      <c r="U515" s="26">
        <f t="shared" si="14"/>
        <v>13065.869928778786</v>
      </c>
    </row>
    <row r="516" spans="19:21" ht="14.65" thickBot="1" x14ac:dyDescent="0.5">
      <c r="S516" s="37">
        <f t="shared" si="15"/>
        <v>13348.927528066575</v>
      </c>
      <c r="U516" s="26">
        <f t="shared" si="14"/>
        <v>13198.037528066574</v>
      </c>
    </row>
    <row r="517" spans="19:21" ht="14.65" thickBot="1" x14ac:dyDescent="0.5">
      <c r="S517" s="37">
        <f t="shared" si="15"/>
        <v>13482.416803347242</v>
      </c>
      <c r="U517" s="26">
        <f t="shared" si="14"/>
        <v>13331.52680334724</v>
      </c>
    </row>
    <row r="518" spans="19:21" ht="14.65" thickBot="1" x14ac:dyDescent="0.5">
      <c r="S518" s="37">
        <f t="shared" si="15"/>
        <v>13617.240971380714</v>
      </c>
      <c r="U518" s="26">
        <f t="shared" si="14"/>
        <v>13466.350971380713</v>
      </c>
    </row>
    <row r="519" spans="19:21" ht="14.65" thickBot="1" x14ac:dyDescent="0.5">
      <c r="S519" s="37">
        <f t="shared" si="15"/>
        <v>13753.41338109452</v>
      </c>
      <c r="U519" s="26">
        <f t="shared" si="14"/>
        <v>13602.523381094519</v>
      </c>
    </row>
    <row r="520" spans="19:21" ht="14.65" thickBot="1" x14ac:dyDescent="0.5">
      <c r="S520" s="37">
        <f t="shared" si="15"/>
        <v>13890.947514905465</v>
      </c>
      <c r="U520" s="26">
        <f t="shared" si="14"/>
        <v>13740.057514905464</v>
      </c>
    </row>
    <row r="521" spans="19:21" ht="14.65" thickBot="1" x14ac:dyDescent="0.5">
      <c r="S521" s="37">
        <f t="shared" si="15"/>
        <v>14029.856990054521</v>
      </c>
      <c r="U521" s="26">
        <f t="shared" si="14"/>
        <v>13878.96699005452</v>
      </c>
    </row>
    <row r="522" spans="19:21" ht="14.65" thickBot="1" x14ac:dyDescent="0.5">
      <c r="S522" s="37">
        <f t="shared" si="15"/>
        <v>14170.155559955067</v>
      </c>
      <c r="U522" s="26">
        <f t="shared" si="14"/>
        <v>14019.265559955065</v>
      </c>
    </row>
    <row r="523" spans="19:21" ht="14.65" thickBot="1" x14ac:dyDescent="0.5">
      <c r="S523" s="37">
        <f t="shared" si="15"/>
        <v>14311.857115554618</v>
      </c>
      <c r="U523" s="26">
        <f t="shared" si="14"/>
        <v>14160.967115554617</v>
      </c>
    </row>
    <row r="524" spans="19:21" ht="14.65" thickBot="1" x14ac:dyDescent="0.5">
      <c r="S524" s="37">
        <f t="shared" si="15"/>
        <v>14454.975686710164</v>
      </c>
      <c r="U524" s="26">
        <f t="shared" si="14"/>
        <v>14304.085686710163</v>
      </c>
    </row>
    <row r="525" spans="19:21" ht="14.65" thickBot="1" x14ac:dyDescent="0.5">
      <c r="S525" s="37">
        <f t="shared" si="15"/>
        <v>14599.525443577266</v>
      </c>
      <c r="U525" s="26">
        <f t="shared" si="14"/>
        <v>14448.635443577265</v>
      </c>
    </row>
    <row r="526" spans="19:21" ht="14.65" thickBot="1" x14ac:dyDescent="0.5">
      <c r="S526" s="37">
        <f t="shared" si="15"/>
        <v>14745.520698013039</v>
      </c>
      <c r="U526" s="26">
        <f t="shared" si="14"/>
        <v>14594.630698013038</v>
      </c>
    </row>
    <row r="527" spans="19:21" ht="14.65" thickBot="1" x14ac:dyDescent="0.5">
      <c r="S527" s="37">
        <f t="shared" si="15"/>
        <v>14892.975904993169</v>
      </c>
      <c r="U527" s="26">
        <f t="shared" si="14"/>
        <v>14742.085904993168</v>
      </c>
    </row>
    <row r="528" spans="19:21" ht="14.65" thickBot="1" x14ac:dyDescent="0.5">
      <c r="S528" s="37">
        <f t="shared" si="15"/>
        <v>15041.905664043101</v>
      </c>
      <c r="U528" s="26">
        <f t="shared" si="14"/>
        <v>14891.0156640431</v>
      </c>
    </row>
    <row r="529" spans="19:21" ht="14.65" thickBot="1" x14ac:dyDescent="0.5">
      <c r="S529" s="37">
        <f t="shared" si="15"/>
        <v>15192.324720683531</v>
      </c>
      <c r="U529" s="26">
        <f t="shared" si="14"/>
        <v>15041.43472068353</v>
      </c>
    </row>
    <row r="530" spans="19:21" ht="14.65" thickBot="1" x14ac:dyDescent="0.5">
      <c r="S530" s="37">
        <f t="shared" si="15"/>
        <v>15344.247967890367</v>
      </c>
      <c r="U530" s="26">
        <f t="shared" si="14"/>
        <v>15193.357967890366</v>
      </c>
    </row>
    <row r="531" spans="19:21" ht="14.65" thickBot="1" x14ac:dyDescent="0.5">
      <c r="S531" s="37">
        <f t="shared" si="15"/>
        <v>15497.690447569272</v>
      </c>
      <c r="U531" s="26">
        <f t="shared" si="14"/>
        <v>15346.800447569271</v>
      </c>
    </row>
    <row r="532" spans="19:21" ht="14.65" thickBot="1" x14ac:dyDescent="0.5">
      <c r="S532" s="37">
        <f t="shared" si="15"/>
        <v>15652.667352044964</v>
      </c>
      <c r="U532" s="26">
        <f t="shared" ref="U532:U595" si="16">IF(S532&lt;$D$8,$D$8-S532-$D$9-$D$10,S532-$D$7-$D$9-$D$10)</f>
        <v>15501.777352044963</v>
      </c>
    </row>
    <row r="533" spans="19:21" ht="14.65" thickBot="1" x14ac:dyDescent="0.5">
      <c r="S533" s="37">
        <f t="shared" ref="S533:S596" si="17">S532*(1.01)</f>
        <v>15809.194025565414</v>
      </c>
      <c r="U533" s="26">
        <f t="shared" si="16"/>
        <v>15658.304025565412</v>
      </c>
    </row>
    <row r="534" spans="19:21" ht="14.65" thickBot="1" x14ac:dyDescent="0.5">
      <c r="S534" s="37">
        <f t="shared" si="17"/>
        <v>15967.285965821067</v>
      </c>
      <c r="U534" s="26">
        <f t="shared" si="16"/>
        <v>15816.395965821066</v>
      </c>
    </row>
    <row r="535" spans="19:21" ht="14.65" thickBot="1" x14ac:dyDescent="0.5">
      <c r="S535" s="37">
        <f t="shared" si="17"/>
        <v>16126.958825479278</v>
      </c>
      <c r="U535" s="26">
        <f t="shared" si="16"/>
        <v>15976.068825479277</v>
      </c>
    </row>
    <row r="536" spans="19:21" ht="14.65" thickBot="1" x14ac:dyDescent="0.5">
      <c r="S536" s="37">
        <f t="shared" si="17"/>
        <v>16288.22841373407</v>
      </c>
      <c r="U536" s="26">
        <f t="shared" si="16"/>
        <v>16137.338413734069</v>
      </c>
    </row>
    <row r="537" spans="19:21" ht="14.65" thickBot="1" x14ac:dyDescent="0.5">
      <c r="S537" s="37">
        <f t="shared" si="17"/>
        <v>16451.110697871412</v>
      </c>
      <c r="U537" s="26">
        <f t="shared" si="16"/>
        <v>16300.220697871411</v>
      </c>
    </row>
    <row r="538" spans="19:21" ht="14.65" thickBot="1" x14ac:dyDescent="0.5">
      <c r="S538" s="37">
        <f t="shared" si="17"/>
        <v>16615.621804850125</v>
      </c>
      <c r="U538" s="26">
        <f t="shared" si="16"/>
        <v>16464.731804850126</v>
      </c>
    </row>
    <row r="539" spans="19:21" ht="14.65" thickBot="1" x14ac:dyDescent="0.5">
      <c r="S539" s="37">
        <f t="shared" si="17"/>
        <v>16781.778022898627</v>
      </c>
      <c r="U539" s="26">
        <f t="shared" si="16"/>
        <v>16630.888022898627</v>
      </c>
    </row>
    <row r="540" spans="19:21" ht="14.65" thickBot="1" x14ac:dyDescent="0.5">
      <c r="S540" s="37">
        <f t="shared" si="17"/>
        <v>16949.595803127613</v>
      </c>
      <c r="U540" s="26">
        <f t="shared" si="16"/>
        <v>16798.705803127614</v>
      </c>
    </row>
    <row r="541" spans="19:21" ht="14.65" thickBot="1" x14ac:dyDescent="0.5">
      <c r="S541" s="37">
        <f t="shared" si="17"/>
        <v>17119.091761158888</v>
      </c>
      <c r="U541" s="26">
        <f t="shared" si="16"/>
        <v>16968.201761158889</v>
      </c>
    </row>
    <row r="542" spans="19:21" ht="14.65" thickBot="1" x14ac:dyDescent="0.5">
      <c r="S542" s="37">
        <f t="shared" si="17"/>
        <v>17290.282678770476</v>
      </c>
      <c r="U542" s="26">
        <f t="shared" si="16"/>
        <v>17139.392678770477</v>
      </c>
    </row>
    <row r="543" spans="19:21" ht="14.65" thickBot="1" x14ac:dyDescent="0.5">
      <c r="S543" s="37">
        <f t="shared" si="17"/>
        <v>17463.18550555818</v>
      </c>
      <c r="U543" s="26">
        <f t="shared" si="16"/>
        <v>17312.295505558181</v>
      </c>
    </row>
    <row r="544" spans="19:21" ht="14.65" thickBot="1" x14ac:dyDescent="0.5">
      <c r="S544" s="37">
        <f t="shared" si="17"/>
        <v>17637.817360613761</v>
      </c>
      <c r="U544" s="26">
        <f t="shared" si="16"/>
        <v>17486.927360613761</v>
      </c>
    </row>
    <row r="545" spans="19:21" ht="14.65" thickBot="1" x14ac:dyDescent="0.5">
      <c r="S545" s="37">
        <f t="shared" si="17"/>
        <v>17814.1955342199</v>
      </c>
      <c r="U545" s="26">
        <f t="shared" si="16"/>
        <v>17663.3055342199</v>
      </c>
    </row>
    <row r="546" spans="19:21" ht="14.65" thickBot="1" x14ac:dyDescent="0.5">
      <c r="S546" s="37">
        <f t="shared" si="17"/>
        <v>17992.337489562098</v>
      </c>
      <c r="U546" s="26">
        <f t="shared" si="16"/>
        <v>17841.447489562099</v>
      </c>
    </row>
    <row r="547" spans="19:21" ht="14.65" thickBot="1" x14ac:dyDescent="0.5">
      <c r="S547" s="37">
        <f t="shared" si="17"/>
        <v>18172.260864457719</v>
      </c>
      <c r="U547" s="26">
        <f t="shared" si="16"/>
        <v>18021.37086445772</v>
      </c>
    </row>
    <row r="548" spans="19:21" ht="14.65" thickBot="1" x14ac:dyDescent="0.5">
      <c r="S548" s="37">
        <f t="shared" si="17"/>
        <v>18353.983473102297</v>
      </c>
      <c r="U548" s="26">
        <f t="shared" si="16"/>
        <v>18203.093473102297</v>
      </c>
    </row>
    <row r="549" spans="19:21" ht="14.65" thickBot="1" x14ac:dyDescent="0.5">
      <c r="S549" s="37">
        <f t="shared" si="17"/>
        <v>18537.523307833319</v>
      </c>
      <c r="U549" s="26">
        <f t="shared" si="16"/>
        <v>18386.633307833319</v>
      </c>
    </row>
    <row r="550" spans="19:21" ht="14.65" thickBot="1" x14ac:dyDescent="0.5">
      <c r="S550" s="37">
        <f t="shared" si="17"/>
        <v>18722.89854091165</v>
      </c>
      <c r="U550" s="26">
        <f t="shared" si="16"/>
        <v>18572.008540911651</v>
      </c>
    </row>
    <row r="551" spans="19:21" ht="14.65" thickBot="1" x14ac:dyDescent="0.5">
      <c r="S551" s="37">
        <f t="shared" si="17"/>
        <v>18910.127526320768</v>
      </c>
      <c r="U551" s="26">
        <f t="shared" si="16"/>
        <v>18759.237526320769</v>
      </c>
    </row>
    <row r="552" spans="19:21" ht="14.65" thickBot="1" x14ac:dyDescent="0.5">
      <c r="S552" s="37">
        <f t="shared" si="17"/>
        <v>19099.228801583977</v>
      </c>
      <c r="U552" s="26">
        <f t="shared" si="16"/>
        <v>18948.338801583977</v>
      </c>
    </row>
    <row r="553" spans="19:21" ht="14.65" thickBot="1" x14ac:dyDescent="0.5">
      <c r="S553" s="37">
        <f t="shared" si="17"/>
        <v>19290.221089599818</v>
      </c>
      <c r="U553" s="26">
        <f t="shared" si="16"/>
        <v>19139.331089599818</v>
      </c>
    </row>
    <row r="554" spans="19:21" ht="14.65" thickBot="1" x14ac:dyDescent="0.5">
      <c r="S554" s="37">
        <f t="shared" si="17"/>
        <v>19483.123300495816</v>
      </c>
      <c r="U554" s="26">
        <f t="shared" si="16"/>
        <v>19332.233300495816</v>
      </c>
    </row>
    <row r="555" spans="19:21" ht="14.65" thickBot="1" x14ac:dyDescent="0.5">
      <c r="S555" s="37">
        <f t="shared" si="17"/>
        <v>19677.954533500775</v>
      </c>
      <c r="U555" s="26">
        <f t="shared" si="16"/>
        <v>19527.064533500776</v>
      </c>
    </row>
    <row r="556" spans="19:21" ht="14.65" thickBot="1" x14ac:dyDescent="0.5">
      <c r="S556" s="37">
        <f t="shared" si="17"/>
        <v>19874.734078835783</v>
      </c>
      <c r="U556" s="26">
        <f t="shared" si="16"/>
        <v>19723.844078835784</v>
      </c>
    </row>
    <row r="557" spans="19:21" ht="14.65" thickBot="1" x14ac:dyDescent="0.5">
      <c r="S557" s="37">
        <f t="shared" si="17"/>
        <v>20073.481419624142</v>
      </c>
      <c r="U557" s="26">
        <f t="shared" si="16"/>
        <v>19922.591419624143</v>
      </c>
    </row>
    <row r="558" spans="19:21" ht="14.65" thickBot="1" x14ac:dyDescent="0.5">
      <c r="S558" s="37">
        <f t="shared" si="17"/>
        <v>20274.216233820385</v>
      </c>
      <c r="U558" s="26">
        <f t="shared" si="16"/>
        <v>20123.326233820386</v>
      </c>
    </row>
    <row r="559" spans="19:21" ht="14.65" thickBot="1" x14ac:dyDescent="0.5">
      <c r="S559" s="37">
        <f t="shared" si="17"/>
        <v>20476.958396158589</v>
      </c>
      <c r="U559" s="26">
        <f t="shared" si="16"/>
        <v>20326.068396158589</v>
      </c>
    </row>
    <row r="560" spans="19:21" ht="14.65" thickBot="1" x14ac:dyDescent="0.5">
      <c r="S560" s="37">
        <f t="shared" si="17"/>
        <v>20681.727980120173</v>
      </c>
      <c r="U560" s="26">
        <f t="shared" si="16"/>
        <v>20530.837980120174</v>
      </c>
    </row>
    <row r="561" spans="19:21" ht="14.65" thickBot="1" x14ac:dyDescent="0.5">
      <c r="S561" s="37">
        <f t="shared" si="17"/>
        <v>20888.545259921375</v>
      </c>
      <c r="U561" s="26">
        <f t="shared" si="16"/>
        <v>20737.655259921376</v>
      </c>
    </row>
    <row r="562" spans="19:21" ht="14.65" thickBot="1" x14ac:dyDescent="0.5">
      <c r="S562" s="37">
        <f t="shared" si="17"/>
        <v>21097.430712520589</v>
      </c>
      <c r="U562" s="26">
        <f t="shared" si="16"/>
        <v>20946.540712520589</v>
      </c>
    </row>
    <row r="563" spans="19:21" ht="14.65" thickBot="1" x14ac:dyDescent="0.5">
      <c r="S563" s="37">
        <f t="shared" si="17"/>
        <v>21308.405019645794</v>
      </c>
      <c r="U563" s="26">
        <f t="shared" si="16"/>
        <v>21157.515019645794</v>
      </c>
    </row>
    <row r="564" spans="19:21" ht="14.65" thickBot="1" x14ac:dyDescent="0.5">
      <c r="S564" s="37">
        <f t="shared" si="17"/>
        <v>21521.489069842253</v>
      </c>
      <c r="U564" s="26">
        <f t="shared" si="16"/>
        <v>21370.599069842254</v>
      </c>
    </row>
    <row r="565" spans="19:21" ht="14.65" thickBot="1" x14ac:dyDescent="0.5">
      <c r="S565" s="37">
        <f t="shared" si="17"/>
        <v>21736.703960540675</v>
      </c>
      <c r="U565" s="26">
        <f t="shared" si="16"/>
        <v>21585.813960540676</v>
      </c>
    </row>
    <row r="566" spans="19:21" ht="14.65" thickBot="1" x14ac:dyDescent="0.5">
      <c r="S566" s="37">
        <f t="shared" si="17"/>
        <v>21954.071000146083</v>
      </c>
      <c r="U566" s="26">
        <f t="shared" si="16"/>
        <v>21803.181000146084</v>
      </c>
    </row>
    <row r="567" spans="19:21" ht="14.65" thickBot="1" x14ac:dyDescent="0.5">
      <c r="S567" s="37">
        <f t="shared" si="17"/>
        <v>22173.611710147543</v>
      </c>
      <c r="U567" s="26">
        <f t="shared" si="16"/>
        <v>22022.721710147543</v>
      </c>
    </row>
    <row r="568" spans="19:21" ht="14.65" thickBot="1" x14ac:dyDescent="0.5">
      <c r="S568" s="37">
        <f t="shared" si="17"/>
        <v>22395.347827249017</v>
      </c>
      <c r="U568" s="26">
        <f t="shared" si="16"/>
        <v>22244.457827249018</v>
      </c>
    </row>
    <row r="569" spans="19:21" ht="14.65" thickBot="1" x14ac:dyDescent="0.5">
      <c r="S569" s="37">
        <f t="shared" si="17"/>
        <v>22619.301305521509</v>
      </c>
      <c r="U569" s="26">
        <f t="shared" si="16"/>
        <v>22468.411305521509</v>
      </c>
    </row>
    <row r="570" spans="19:21" ht="14.65" thickBot="1" x14ac:dyDescent="0.5">
      <c r="S570" s="37">
        <f t="shared" si="17"/>
        <v>22845.494318576722</v>
      </c>
      <c r="U570" s="26">
        <f t="shared" si="16"/>
        <v>22694.604318576723</v>
      </c>
    </row>
    <row r="571" spans="19:21" ht="14.65" thickBot="1" x14ac:dyDescent="0.5">
      <c r="S571" s="37">
        <f t="shared" si="17"/>
        <v>23073.949261762489</v>
      </c>
      <c r="U571" s="26">
        <f t="shared" si="16"/>
        <v>22923.05926176249</v>
      </c>
    </row>
    <row r="572" spans="19:21" ht="14.65" thickBot="1" x14ac:dyDescent="0.5">
      <c r="S572" s="37">
        <f t="shared" si="17"/>
        <v>23304.688754380113</v>
      </c>
      <c r="U572" s="26">
        <f t="shared" si="16"/>
        <v>23153.798754380114</v>
      </c>
    </row>
    <row r="573" spans="19:21" ht="14.65" thickBot="1" x14ac:dyDescent="0.5">
      <c r="S573" s="37">
        <f t="shared" si="17"/>
        <v>23537.735641923915</v>
      </c>
      <c r="U573" s="26">
        <f t="shared" si="16"/>
        <v>23386.845641923916</v>
      </c>
    </row>
    <row r="574" spans="19:21" ht="14.65" thickBot="1" x14ac:dyDescent="0.5">
      <c r="S574" s="37">
        <f t="shared" si="17"/>
        <v>23773.112998343153</v>
      </c>
      <c r="U574" s="26">
        <f t="shared" si="16"/>
        <v>23622.222998343153</v>
      </c>
    </row>
    <row r="575" spans="19:21" ht="14.65" thickBot="1" x14ac:dyDescent="0.5">
      <c r="S575" s="37">
        <f t="shared" si="17"/>
        <v>24010.844128326586</v>
      </c>
      <c r="U575" s="26">
        <f t="shared" si="16"/>
        <v>23859.954128326586</v>
      </c>
    </row>
    <row r="576" spans="19:21" ht="14.65" thickBot="1" x14ac:dyDescent="0.5">
      <c r="S576" s="37">
        <f t="shared" si="17"/>
        <v>24250.95256960985</v>
      </c>
      <c r="U576" s="26">
        <f t="shared" si="16"/>
        <v>24100.06256960985</v>
      </c>
    </row>
    <row r="577" spans="19:21" ht="14.65" thickBot="1" x14ac:dyDescent="0.5">
      <c r="S577" s="37">
        <f t="shared" si="17"/>
        <v>24493.462095305949</v>
      </c>
      <c r="U577" s="26">
        <f t="shared" si="16"/>
        <v>24342.57209530595</v>
      </c>
    </row>
    <row r="578" spans="19:21" ht="14.65" thickBot="1" x14ac:dyDescent="0.5">
      <c r="S578" s="37">
        <f t="shared" si="17"/>
        <v>24738.396716259009</v>
      </c>
      <c r="U578" s="26">
        <f t="shared" si="16"/>
        <v>24587.506716259009</v>
      </c>
    </row>
    <row r="579" spans="19:21" ht="14.65" thickBot="1" x14ac:dyDescent="0.5">
      <c r="S579" s="37">
        <f t="shared" si="17"/>
        <v>24985.780683421599</v>
      </c>
      <c r="U579" s="26">
        <f t="shared" si="16"/>
        <v>24834.8906834216</v>
      </c>
    </row>
    <row r="580" spans="19:21" ht="14.65" thickBot="1" x14ac:dyDescent="0.5">
      <c r="S580" s="37">
        <f t="shared" si="17"/>
        <v>25235.638490255817</v>
      </c>
      <c r="U580" s="26">
        <f t="shared" si="16"/>
        <v>25084.748490255817</v>
      </c>
    </row>
    <row r="581" spans="19:21" ht="14.65" thickBot="1" x14ac:dyDescent="0.5">
      <c r="S581" s="37">
        <f t="shared" si="17"/>
        <v>25487.994875158376</v>
      </c>
      <c r="U581" s="26">
        <f t="shared" si="16"/>
        <v>25337.104875158377</v>
      </c>
    </row>
    <row r="582" spans="19:21" ht="14.65" thickBot="1" x14ac:dyDescent="0.5">
      <c r="S582" s="37">
        <f t="shared" si="17"/>
        <v>25742.874823909959</v>
      </c>
      <c r="U582" s="26">
        <f t="shared" si="16"/>
        <v>25591.984823909959</v>
      </c>
    </row>
    <row r="583" spans="19:21" ht="14.65" thickBot="1" x14ac:dyDescent="0.5">
      <c r="S583" s="37">
        <f t="shared" si="17"/>
        <v>26000.30357214906</v>
      </c>
      <c r="U583" s="26">
        <f t="shared" si="16"/>
        <v>25849.41357214906</v>
      </c>
    </row>
    <row r="584" spans="19:21" ht="14.65" thickBot="1" x14ac:dyDescent="0.5">
      <c r="S584" s="37">
        <f t="shared" si="17"/>
        <v>26260.306607870549</v>
      </c>
      <c r="U584" s="26">
        <f t="shared" si="16"/>
        <v>26109.416607870549</v>
      </c>
    </row>
    <row r="585" spans="19:21" ht="14.65" thickBot="1" x14ac:dyDescent="0.5">
      <c r="S585" s="37">
        <f t="shared" si="17"/>
        <v>26522.909673949256</v>
      </c>
      <c r="U585" s="26">
        <f t="shared" si="16"/>
        <v>26372.019673949257</v>
      </c>
    </row>
    <row r="586" spans="19:21" ht="14.65" thickBot="1" x14ac:dyDescent="0.5">
      <c r="S586" s="37">
        <f t="shared" si="17"/>
        <v>26788.138770688747</v>
      </c>
      <c r="U586" s="26">
        <f t="shared" si="16"/>
        <v>26637.248770688748</v>
      </c>
    </row>
    <row r="587" spans="19:21" ht="14.65" thickBot="1" x14ac:dyDescent="0.5">
      <c r="S587" s="37">
        <f t="shared" si="17"/>
        <v>27056.020158395633</v>
      </c>
      <c r="U587" s="26">
        <f t="shared" si="16"/>
        <v>26905.130158395634</v>
      </c>
    </row>
    <row r="588" spans="19:21" ht="14.65" thickBot="1" x14ac:dyDescent="0.5">
      <c r="S588" s="37">
        <f t="shared" si="17"/>
        <v>27326.580359979591</v>
      </c>
      <c r="U588" s="26">
        <f t="shared" si="16"/>
        <v>27175.690359979591</v>
      </c>
    </row>
    <row r="589" spans="19:21" ht="14.65" thickBot="1" x14ac:dyDescent="0.5">
      <c r="S589" s="37">
        <f t="shared" si="17"/>
        <v>27599.846163579386</v>
      </c>
      <c r="U589" s="26">
        <f t="shared" si="16"/>
        <v>27448.956163579387</v>
      </c>
    </row>
    <row r="590" spans="19:21" ht="14.65" thickBot="1" x14ac:dyDescent="0.5">
      <c r="S590" s="37">
        <f t="shared" si="17"/>
        <v>27875.844625215181</v>
      </c>
      <c r="U590" s="26">
        <f t="shared" si="16"/>
        <v>27724.954625215181</v>
      </c>
    </row>
    <row r="591" spans="19:21" ht="14.65" thickBot="1" x14ac:dyDescent="0.5">
      <c r="S591" s="37">
        <f t="shared" si="17"/>
        <v>28154.603071467332</v>
      </c>
      <c r="U591" s="26">
        <f t="shared" si="16"/>
        <v>28003.713071467333</v>
      </c>
    </row>
    <row r="592" spans="19:21" ht="14.65" thickBot="1" x14ac:dyDescent="0.5">
      <c r="S592" s="37">
        <f t="shared" si="17"/>
        <v>28436.149102182007</v>
      </c>
      <c r="U592" s="26">
        <f t="shared" si="16"/>
        <v>28285.259102182008</v>
      </c>
    </row>
    <row r="593" spans="19:21" ht="14.65" thickBot="1" x14ac:dyDescent="0.5">
      <c r="S593" s="37">
        <f t="shared" si="17"/>
        <v>28720.510593203828</v>
      </c>
      <c r="U593" s="26">
        <f t="shared" si="16"/>
        <v>28569.620593203828</v>
      </c>
    </row>
    <row r="594" spans="19:21" ht="14.65" thickBot="1" x14ac:dyDescent="0.5">
      <c r="S594" s="37">
        <f t="shared" si="17"/>
        <v>29007.715699135868</v>
      </c>
      <c r="U594" s="26">
        <f t="shared" si="16"/>
        <v>28856.825699135868</v>
      </c>
    </row>
    <row r="595" spans="19:21" ht="14.65" thickBot="1" x14ac:dyDescent="0.5">
      <c r="S595" s="37">
        <f t="shared" si="17"/>
        <v>29297.792856127227</v>
      </c>
      <c r="U595" s="26">
        <f t="shared" si="16"/>
        <v>29146.902856127228</v>
      </c>
    </row>
    <row r="596" spans="19:21" ht="14.65" thickBot="1" x14ac:dyDescent="0.5">
      <c r="S596" s="37">
        <f t="shared" si="17"/>
        <v>29590.770784688499</v>
      </c>
      <c r="U596" s="26">
        <f t="shared" ref="U596:U659" si="18">IF(S596&lt;$D$8,$D$8-S596-$D$9-$D$10,S596-$D$7-$D$9-$D$10)</f>
        <v>29439.880784688499</v>
      </c>
    </row>
    <row r="597" spans="19:21" ht="14.65" thickBot="1" x14ac:dyDescent="0.5">
      <c r="S597" s="37">
        <f t="shared" ref="S597:S660" si="19">S596*(1.01)</f>
        <v>29886.678492535382</v>
      </c>
      <c r="U597" s="26">
        <f t="shared" si="18"/>
        <v>29735.788492535383</v>
      </c>
    </row>
    <row r="598" spans="19:21" ht="14.65" thickBot="1" x14ac:dyDescent="0.5">
      <c r="S598" s="37">
        <f t="shared" si="19"/>
        <v>30185.545277460737</v>
      </c>
      <c r="U598" s="26">
        <f t="shared" si="18"/>
        <v>30034.655277460737</v>
      </c>
    </row>
    <row r="599" spans="19:21" ht="14.65" thickBot="1" x14ac:dyDescent="0.5">
      <c r="S599" s="37">
        <f t="shared" si="19"/>
        <v>30487.400730235346</v>
      </c>
      <c r="U599" s="26">
        <f t="shared" si="18"/>
        <v>30336.510730235346</v>
      </c>
    </row>
    <row r="600" spans="19:21" ht="14.65" thickBot="1" x14ac:dyDescent="0.5">
      <c r="S600" s="37">
        <f t="shared" si="19"/>
        <v>30792.2747375377</v>
      </c>
      <c r="U600" s="26">
        <f t="shared" si="18"/>
        <v>30641.384737537701</v>
      </c>
    </row>
    <row r="601" spans="19:21" ht="14.65" thickBot="1" x14ac:dyDescent="0.5">
      <c r="S601" s="37">
        <f t="shared" si="19"/>
        <v>31100.197484913078</v>
      </c>
      <c r="U601" s="26">
        <f t="shared" si="18"/>
        <v>30949.307484913079</v>
      </c>
    </row>
    <row r="602" spans="19:21" ht="14.65" thickBot="1" x14ac:dyDescent="0.5">
      <c r="S602" s="37">
        <f t="shared" si="19"/>
        <v>31411.199459762211</v>
      </c>
      <c r="U602" s="26">
        <f t="shared" si="18"/>
        <v>31260.309459762211</v>
      </c>
    </row>
    <row r="603" spans="19:21" ht="14.65" thickBot="1" x14ac:dyDescent="0.5">
      <c r="S603" s="37">
        <f t="shared" si="19"/>
        <v>31725.311454359831</v>
      </c>
      <c r="U603" s="26">
        <f t="shared" si="18"/>
        <v>31574.421454359832</v>
      </c>
    </row>
    <row r="604" spans="19:21" ht="14.65" thickBot="1" x14ac:dyDescent="0.5">
      <c r="S604" s="37">
        <f t="shared" si="19"/>
        <v>32042.564568903428</v>
      </c>
      <c r="U604" s="26">
        <f t="shared" si="18"/>
        <v>31891.674568903429</v>
      </c>
    </row>
    <row r="605" spans="19:21" ht="14.65" thickBot="1" x14ac:dyDescent="0.5">
      <c r="S605" s="37">
        <f t="shared" si="19"/>
        <v>32362.990214592464</v>
      </c>
      <c r="U605" s="26">
        <f t="shared" si="18"/>
        <v>32212.100214592465</v>
      </c>
    </row>
    <row r="606" spans="19:21" ht="14.65" thickBot="1" x14ac:dyDescent="0.5">
      <c r="S606" s="37">
        <f t="shared" si="19"/>
        <v>32686.620116738388</v>
      </c>
      <c r="U606" s="26">
        <f t="shared" si="18"/>
        <v>32535.730116738388</v>
      </c>
    </row>
    <row r="607" spans="19:21" ht="14.65" thickBot="1" x14ac:dyDescent="0.5">
      <c r="S607" s="37">
        <f t="shared" si="19"/>
        <v>33013.486317905772</v>
      </c>
      <c r="U607" s="26">
        <f t="shared" si="18"/>
        <v>32862.596317905773</v>
      </c>
    </row>
    <row r="608" spans="19:21" ht="14.65" thickBot="1" x14ac:dyDescent="0.5">
      <c r="S608" s="37">
        <f t="shared" si="19"/>
        <v>33343.621181084833</v>
      </c>
      <c r="U608" s="26">
        <f t="shared" si="18"/>
        <v>33192.731181084833</v>
      </c>
    </row>
    <row r="609" spans="19:21" ht="14.65" thickBot="1" x14ac:dyDescent="0.5">
      <c r="S609" s="37">
        <f t="shared" si="19"/>
        <v>33677.05739289568</v>
      </c>
      <c r="U609" s="26">
        <f t="shared" si="18"/>
        <v>33526.167392895681</v>
      </c>
    </row>
    <row r="610" spans="19:21" ht="14.65" thickBot="1" x14ac:dyDescent="0.5">
      <c r="S610" s="37">
        <f t="shared" si="19"/>
        <v>34013.82796682464</v>
      </c>
      <c r="U610" s="26">
        <f t="shared" si="18"/>
        <v>33862.93796682464</v>
      </c>
    </row>
    <row r="611" spans="19:21" ht="14.65" thickBot="1" x14ac:dyDescent="0.5">
      <c r="S611" s="37">
        <f t="shared" si="19"/>
        <v>34353.966246492884</v>
      </c>
      <c r="U611" s="26">
        <f t="shared" si="18"/>
        <v>34203.076246492885</v>
      </c>
    </row>
    <row r="612" spans="19:21" ht="14.65" thickBot="1" x14ac:dyDescent="0.5">
      <c r="S612" s="37">
        <f t="shared" si="19"/>
        <v>34697.505908957814</v>
      </c>
      <c r="U612" s="26">
        <f t="shared" si="18"/>
        <v>34546.615908957814</v>
      </c>
    </row>
    <row r="613" spans="19:21" ht="14.65" thickBot="1" x14ac:dyDescent="0.5">
      <c r="S613" s="37">
        <f t="shared" si="19"/>
        <v>35044.480968047392</v>
      </c>
      <c r="U613" s="26">
        <f t="shared" si="18"/>
        <v>34893.590968047392</v>
      </c>
    </row>
    <row r="614" spans="19:21" ht="14.65" thickBot="1" x14ac:dyDescent="0.5">
      <c r="S614" s="37">
        <f t="shared" si="19"/>
        <v>35394.925777727869</v>
      </c>
      <c r="U614" s="26">
        <f t="shared" si="18"/>
        <v>35244.03577772787</v>
      </c>
    </row>
    <row r="615" spans="19:21" ht="14.65" thickBot="1" x14ac:dyDescent="0.5">
      <c r="S615" s="37">
        <f t="shared" si="19"/>
        <v>35748.875035505145</v>
      </c>
      <c r="U615" s="26">
        <f t="shared" si="18"/>
        <v>35597.985035505146</v>
      </c>
    </row>
    <row r="616" spans="19:21" ht="14.65" thickBot="1" x14ac:dyDescent="0.5">
      <c r="S616" s="37">
        <f t="shared" si="19"/>
        <v>36106.363785860194</v>
      </c>
      <c r="U616" s="26">
        <f t="shared" si="18"/>
        <v>35955.473785860195</v>
      </c>
    </row>
    <row r="617" spans="19:21" ht="14.65" thickBot="1" x14ac:dyDescent="0.5">
      <c r="S617" s="37">
        <f t="shared" si="19"/>
        <v>36467.427423718793</v>
      </c>
      <c r="U617" s="26">
        <f t="shared" si="18"/>
        <v>36316.537423718793</v>
      </c>
    </row>
    <row r="618" spans="19:21" ht="14.65" thickBot="1" x14ac:dyDescent="0.5">
      <c r="S618" s="37">
        <f t="shared" si="19"/>
        <v>36832.101697955979</v>
      </c>
      <c r="U618" s="26">
        <f t="shared" si="18"/>
        <v>36681.21169795598</v>
      </c>
    </row>
    <row r="619" spans="19:21" ht="14.65" thickBot="1" x14ac:dyDescent="0.5">
      <c r="S619" s="37">
        <f t="shared" si="19"/>
        <v>37200.422714935536</v>
      </c>
      <c r="U619" s="26">
        <f t="shared" si="18"/>
        <v>37049.532714935536</v>
      </c>
    </row>
    <row r="620" spans="19:21" ht="14.65" thickBot="1" x14ac:dyDescent="0.5">
      <c r="S620" s="37">
        <f t="shared" si="19"/>
        <v>37572.426942084894</v>
      </c>
      <c r="U620" s="26">
        <f t="shared" si="18"/>
        <v>37421.536942084895</v>
      </c>
    </row>
    <row r="621" spans="19:21" ht="14.65" thickBot="1" x14ac:dyDescent="0.5">
      <c r="S621" s="37">
        <f t="shared" si="19"/>
        <v>37948.151211505741</v>
      </c>
      <c r="U621" s="26">
        <f t="shared" si="18"/>
        <v>37797.261211505742</v>
      </c>
    </row>
    <row r="622" spans="19:21" ht="14.65" thickBot="1" x14ac:dyDescent="0.5">
      <c r="S622" s="37">
        <f t="shared" si="19"/>
        <v>38327.632723620802</v>
      </c>
      <c r="U622" s="26">
        <f t="shared" si="18"/>
        <v>38176.742723620802</v>
      </c>
    </row>
    <row r="623" spans="19:21" ht="14.65" thickBot="1" x14ac:dyDescent="0.5">
      <c r="S623" s="37">
        <f t="shared" si="19"/>
        <v>38710.909050857008</v>
      </c>
      <c r="U623" s="26">
        <f t="shared" si="18"/>
        <v>38560.019050857009</v>
      </c>
    </row>
    <row r="624" spans="19:21" ht="14.65" thickBot="1" x14ac:dyDescent="0.5">
      <c r="S624" s="37">
        <f t="shared" si="19"/>
        <v>39098.018141365581</v>
      </c>
      <c r="U624" s="26">
        <f t="shared" si="18"/>
        <v>38947.128141365582</v>
      </c>
    </row>
    <row r="625" spans="19:21" ht="14.65" thickBot="1" x14ac:dyDescent="0.5">
      <c r="S625" s="37">
        <f t="shared" si="19"/>
        <v>39488.99832277924</v>
      </c>
      <c r="U625" s="26">
        <f t="shared" si="18"/>
        <v>39338.108322779241</v>
      </c>
    </row>
    <row r="626" spans="19:21" ht="14.65" thickBot="1" x14ac:dyDescent="0.5">
      <c r="S626" s="37">
        <f t="shared" si="19"/>
        <v>39883.888306007029</v>
      </c>
      <c r="U626" s="26">
        <f t="shared" si="18"/>
        <v>39732.99830600703</v>
      </c>
    </row>
    <row r="627" spans="19:21" ht="14.65" thickBot="1" x14ac:dyDescent="0.5">
      <c r="S627" s="37">
        <f t="shared" si="19"/>
        <v>40282.727189067096</v>
      </c>
      <c r="U627" s="26">
        <f t="shared" si="18"/>
        <v>40131.837189067097</v>
      </c>
    </row>
    <row r="628" spans="19:21" ht="14.65" thickBot="1" x14ac:dyDescent="0.5">
      <c r="S628" s="37">
        <f t="shared" si="19"/>
        <v>40685.55446095777</v>
      </c>
      <c r="U628" s="26">
        <f t="shared" si="18"/>
        <v>40534.664460957771</v>
      </c>
    </row>
    <row r="629" spans="19:21" ht="14.65" thickBot="1" x14ac:dyDescent="0.5">
      <c r="S629" s="37">
        <f t="shared" si="19"/>
        <v>41092.410005567348</v>
      </c>
      <c r="U629" s="26">
        <f t="shared" si="18"/>
        <v>40941.520005567349</v>
      </c>
    </row>
    <row r="630" spans="19:21" ht="14.65" thickBot="1" x14ac:dyDescent="0.5">
      <c r="S630" s="37">
        <f t="shared" si="19"/>
        <v>41503.33410562302</v>
      </c>
      <c r="U630" s="26">
        <f t="shared" si="18"/>
        <v>41352.444105623021</v>
      </c>
    </row>
    <row r="631" spans="19:21" ht="14.65" thickBot="1" x14ac:dyDescent="0.5">
      <c r="S631" s="37">
        <f t="shared" si="19"/>
        <v>41918.367446679251</v>
      </c>
      <c r="U631" s="26">
        <f t="shared" si="18"/>
        <v>41767.477446679251</v>
      </c>
    </row>
    <row r="632" spans="19:21" ht="14.65" thickBot="1" x14ac:dyDescent="0.5">
      <c r="S632" s="37">
        <f t="shared" si="19"/>
        <v>42337.551121146047</v>
      </c>
      <c r="U632" s="26">
        <f t="shared" si="18"/>
        <v>42186.661121146048</v>
      </c>
    </row>
    <row r="633" spans="19:21" ht="14.65" thickBot="1" x14ac:dyDescent="0.5">
      <c r="S633" s="37">
        <f t="shared" si="19"/>
        <v>42760.926632357507</v>
      </c>
      <c r="U633" s="26">
        <f t="shared" si="18"/>
        <v>42610.036632357507</v>
      </c>
    </row>
    <row r="634" spans="19:21" ht="14.65" thickBot="1" x14ac:dyDescent="0.5">
      <c r="S634" s="37">
        <f t="shared" si="19"/>
        <v>43188.535898681082</v>
      </c>
      <c r="U634" s="26">
        <f t="shared" si="18"/>
        <v>43037.645898681083</v>
      </c>
    </row>
    <row r="635" spans="19:21" ht="14.65" thickBot="1" x14ac:dyDescent="0.5">
      <c r="S635" s="37">
        <f t="shared" si="19"/>
        <v>43620.421257667891</v>
      </c>
      <c r="U635" s="26">
        <f t="shared" si="18"/>
        <v>43469.531257667892</v>
      </c>
    </row>
    <row r="636" spans="19:21" ht="14.65" thickBot="1" x14ac:dyDescent="0.5">
      <c r="S636" s="37">
        <f t="shared" si="19"/>
        <v>44056.625470244573</v>
      </c>
      <c r="U636" s="26">
        <f t="shared" si="18"/>
        <v>43905.735470244574</v>
      </c>
    </row>
    <row r="637" spans="19:21" ht="14.65" thickBot="1" x14ac:dyDescent="0.5">
      <c r="S637" s="37">
        <f t="shared" si="19"/>
        <v>44497.191724947021</v>
      </c>
      <c r="U637" s="26">
        <f t="shared" si="18"/>
        <v>44346.301724947021</v>
      </c>
    </row>
    <row r="638" spans="19:21" ht="14.65" thickBot="1" x14ac:dyDescent="0.5">
      <c r="S638" s="37">
        <f t="shared" si="19"/>
        <v>44942.163642196494</v>
      </c>
      <c r="U638" s="26">
        <f t="shared" si="18"/>
        <v>44791.273642196495</v>
      </c>
    </row>
    <row r="639" spans="19:21" ht="14.65" thickBot="1" x14ac:dyDescent="0.5">
      <c r="S639" s="37">
        <f t="shared" si="19"/>
        <v>45391.585278618462</v>
      </c>
      <c r="U639" s="26">
        <f t="shared" si="18"/>
        <v>45240.695278618463</v>
      </c>
    </row>
    <row r="640" spans="19:21" ht="14.65" thickBot="1" x14ac:dyDescent="0.5">
      <c r="S640" s="37">
        <f t="shared" si="19"/>
        <v>45845.50113140465</v>
      </c>
      <c r="U640" s="26">
        <f t="shared" si="18"/>
        <v>45694.61113140465</v>
      </c>
    </row>
    <row r="641" spans="19:21" ht="14.65" thickBot="1" x14ac:dyDescent="0.5">
      <c r="S641" s="37">
        <f t="shared" si="19"/>
        <v>46303.9561427187</v>
      </c>
      <c r="U641" s="26">
        <f t="shared" si="18"/>
        <v>46153.066142718701</v>
      </c>
    </row>
    <row r="642" spans="19:21" ht="14.65" thickBot="1" x14ac:dyDescent="0.5">
      <c r="S642" s="37">
        <f t="shared" si="19"/>
        <v>46766.995704145884</v>
      </c>
      <c r="U642" s="26">
        <f t="shared" si="18"/>
        <v>46616.105704145884</v>
      </c>
    </row>
    <row r="643" spans="19:21" ht="14.65" thickBot="1" x14ac:dyDescent="0.5">
      <c r="S643" s="37">
        <f t="shared" si="19"/>
        <v>47234.66566118734</v>
      </c>
      <c r="U643" s="26">
        <f t="shared" si="18"/>
        <v>47083.775661187341</v>
      </c>
    </row>
    <row r="644" spans="19:21" ht="14.65" thickBot="1" x14ac:dyDescent="0.5">
      <c r="S644" s="37">
        <f t="shared" si="19"/>
        <v>47707.012317799214</v>
      </c>
      <c r="U644" s="26">
        <f t="shared" si="18"/>
        <v>47556.122317799214</v>
      </c>
    </row>
    <row r="645" spans="19:21" ht="14.65" thickBot="1" x14ac:dyDescent="0.5">
      <c r="S645" s="37">
        <f t="shared" si="19"/>
        <v>48184.082440977203</v>
      </c>
      <c r="U645" s="26">
        <f t="shared" si="18"/>
        <v>48033.192440977204</v>
      </c>
    </row>
    <row r="646" spans="19:21" ht="14.65" thickBot="1" x14ac:dyDescent="0.5">
      <c r="S646" s="37">
        <f t="shared" si="19"/>
        <v>48665.923265386977</v>
      </c>
      <c r="U646" s="26">
        <f t="shared" si="18"/>
        <v>48515.033265386977</v>
      </c>
    </row>
    <row r="647" spans="19:21" ht="14.65" thickBot="1" x14ac:dyDescent="0.5">
      <c r="S647" s="37">
        <f t="shared" si="19"/>
        <v>49152.582498040843</v>
      </c>
      <c r="U647" s="26">
        <f t="shared" si="18"/>
        <v>49001.692498040844</v>
      </c>
    </row>
    <row r="648" spans="19:21" ht="14.65" thickBot="1" x14ac:dyDescent="0.5">
      <c r="S648" s="37">
        <f t="shared" si="19"/>
        <v>49644.108323021253</v>
      </c>
      <c r="U648" s="26">
        <f t="shared" si="18"/>
        <v>49493.218323021254</v>
      </c>
    </row>
    <row r="649" spans="19:21" ht="14.65" thickBot="1" x14ac:dyDescent="0.5">
      <c r="S649" s="37">
        <f t="shared" si="19"/>
        <v>50140.54940625147</v>
      </c>
      <c r="U649" s="26">
        <f t="shared" si="18"/>
        <v>49989.659406251471</v>
      </c>
    </row>
    <row r="650" spans="19:21" ht="14.65" thickBot="1" x14ac:dyDescent="0.5">
      <c r="S650" s="37">
        <f t="shared" si="19"/>
        <v>50641.954900313984</v>
      </c>
      <c r="U650" s="26">
        <f t="shared" si="18"/>
        <v>50491.064900313984</v>
      </c>
    </row>
    <row r="651" spans="19:21" ht="14.65" thickBot="1" x14ac:dyDescent="0.5">
      <c r="S651" s="37">
        <f t="shared" si="19"/>
        <v>51148.374449317125</v>
      </c>
      <c r="U651" s="26">
        <f t="shared" si="18"/>
        <v>50997.484449317126</v>
      </c>
    </row>
    <row r="652" spans="19:21" ht="14.65" thickBot="1" x14ac:dyDescent="0.5">
      <c r="S652" s="37">
        <f t="shared" si="19"/>
        <v>51659.858193810294</v>
      </c>
      <c r="U652" s="26">
        <f t="shared" si="18"/>
        <v>51508.968193810295</v>
      </c>
    </row>
    <row r="653" spans="19:21" ht="14.65" thickBot="1" x14ac:dyDescent="0.5">
      <c r="S653" s="37">
        <f t="shared" si="19"/>
        <v>52176.456775748396</v>
      </c>
      <c r="U653" s="26">
        <f t="shared" si="18"/>
        <v>52025.566775748397</v>
      </c>
    </row>
    <row r="654" spans="19:21" ht="14.65" thickBot="1" x14ac:dyDescent="0.5">
      <c r="S654" s="37">
        <f t="shared" si="19"/>
        <v>52698.22134350588</v>
      </c>
      <c r="U654" s="26">
        <f t="shared" si="18"/>
        <v>52547.331343505881</v>
      </c>
    </row>
    <row r="655" spans="19:21" ht="14.65" thickBot="1" x14ac:dyDescent="0.5">
      <c r="S655" s="37">
        <f t="shared" si="19"/>
        <v>53225.203556940942</v>
      </c>
      <c r="U655" s="26">
        <f t="shared" si="18"/>
        <v>53074.313556940942</v>
      </c>
    </row>
    <row r="656" spans="19:21" ht="14.65" thickBot="1" x14ac:dyDescent="0.5">
      <c r="S656" s="37">
        <f t="shared" si="19"/>
        <v>53757.455592510349</v>
      </c>
      <c r="U656" s="26">
        <f t="shared" si="18"/>
        <v>53606.565592510349</v>
      </c>
    </row>
    <row r="657" spans="19:21" ht="14.65" thickBot="1" x14ac:dyDescent="0.5">
      <c r="S657" s="37">
        <f t="shared" si="19"/>
        <v>54295.03014843545</v>
      </c>
      <c r="U657" s="26">
        <f t="shared" si="18"/>
        <v>54144.14014843545</v>
      </c>
    </row>
    <row r="658" spans="19:21" ht="14.65" thickBot="1" x14ac:dyDescent="0.5">
      <c r="S658" s="37">
        <f t="shared" si="19"/>
        <v>54837.980449919807</v>
      </c>
      <c r="U658" s="26">
        <f t="shared" si="18"/>
        <v>54687.090449919808</v>
      </c>
    </row>
    <row r="659" spans="19:21" ht="14.65" thickBot="1" x14ac:dyDescent="0.5">
      <c r="S659" s="37">
        <f t="shared" si="19"/>
        <v>55386.360254419007</v>
      </c>
      <c r="U659" s="26">
        <f t="shared" si="18"/>
        <v>55235.470254419008</v>
      </c>
    </row>
    <row r="660" spans="19:21" ht="14.65" thickBot="1" x14ac:dyDescent="0.5">
      <c r="S660" s="37">
        <f t="shared" si="19"/>
        <v>55940.223856963195</v>
      </c>
      <c r="U660" s="26">
        <f t="shared" ref="U660:U723" si="20">IF(S660&lt;$D$8,$D$8-S660-$D$9-$D$10,S660-$D$7-$D$9-$D$10)</f>
        <v>55789.333856963196</v>
      </c>
    </row>
    <row r="661" spans="19:21" ht="14.65" thickBot="1" x14ac:dyDescent="0.5">
      <c r="S661" s="37">
        <f t="shared" ref="S661:S724" si="21">S660*(1.01)</f>
        <v>56499.626095532825</v>
      </c>
      <c r="U661" s="26">
        <f t="shared" si="20"/>
        <v>56348.736095532826</v>
      </c>
    </row>
    <row r="662" spans="19:21" ht="14.65" thickBot="1" x14ac:dyDescent="0.5">
      <c r="S662" s="37">
        <f t="shared" si="21"/>
        <v>57064.622356488151</v>
      </c>
      <c r="U662" s="26">
        <f t="shared" si="20"/>
        <v>56913.732356488152</v>
      </c>
    </row>
    <row r="663" spans="19:21" ht="14.65" thickBot="1" x14ac:dyDescent="0.5">
      <c r="S663" s="37">
        <f t="shared" si="21"/>
        <v>57635.268580053031</v>
      </c>
      <c r="U663" s="26">
        <f t="shared" si="20"/>
        <v>57484.378580053031</v>
      </c>
    </row>
    <row r="664" spans="19:21" ht="14.65" thickBot="1" x14ac:dyDescent="0.5">
      <c r="S664" s="37">
        <f t="shared" si="21"/>
        <v>58211.621265853559</v>
      </c>
      <c r="U664" s="26">
        <f t="shared" si="20"/>
        <v>58060.731265853559</v>
      </c>
    </row>
    <row r="665" spans="19:21" ht="14.65" thickBot="1" x14ac:dyDescent="0.5">
      <c r="S665" s="37">
        <f t="shared" si="21"/>
        <v>58793.737478512092</v>
      </c>
      <c r="U665" s="26">
        <f t="shared" si="20"/>
        <v>58642.847478512092</v>
      </c>
    </row>
    <row r="666" spans="19:21" ht="14.65" thickBot="1" x14ac:dyDescent="0.5">
      <c r="S666" s="37">
        <f t="shared" si="21"/>
        <v>59381.674853297212</v>
      </c>
      <c r="U666" s="26">
        <f t="shared" si="20"/>
        <v>59230.784853297213</v>
      </c>
    </row>
    <row r="667" spans="19:21" ht="14.65" thickBot="1" x14ac:dyDescent="0.5">
      <c r="S667" s="37">
        <f t="shared" si="21"/>
        <v>59975.491601830188</v>
      </c>
      <c r="U667" s="26">
        <f t="shared" si="20"/>
        <v>59824.601601830189</v>
      </c>
    </row>
    <row r="668" spans="19:21" ht="14.65" thickBot="1" x14ac:dyDescent="0.5">
      <c r="S668" s="37">
        <f t="shared" si="21"/>
        <v>60575.246517848493</v>
      </c>
      <c r="U668" s="26">
        <f t="shared" si="20"/>
        <v>60424.356517848493</v>
      </c>
    </row>
    <row r="669" spans="19:21" ht="14.65" thickBot="1" x14ac:dyDescent="0.5">
      <c r="S669" s="37">
        <f t="shared" si="21"/>
        <v>61180.998983026977</v>
      </c>
      <c r="U669" s="26">
        <f t="shared" si="20"/>
        <v>61030.108983026978</v>
      </c>
    </row>
    <row r="670" spans="19:21" ht="14.65" thickBot="1" x14ac:dyDescent="0.5">
      <c r="S670" s="37">
        <f t="shared" si="21"/>
        <v>61792.808972857245</v>
      </c>
      <c r="U670" s="26">
        <f t="shared" si="20"/>
        <v>61641.918972857246</v>
      </c>
    </row>
    <row r="671" spans="19:21" ht="14.65" thickBot="1" x14ac:dyDescent="0.5">
      <c r="S671" s="37">
        <f t="shared" si="21"/>
        <v>62410.737062585817</v>
      </c>
      <c r="U671" s="26">
        <f t="shared" si="20"/>
        <v>62259.847062585817</v>
      </c>
    </row>
    <row r="672" spans="19:21" ht="14.65" thickBot="1" x14ac:dyDescent="0.5">
      <c r="S672" s="37">
        <f t="shared" si="21"/>
        <v>63034.844433211678</v>
      </c>
      <c r="U672" s="26">
        <f t="shared" si="20"/>
        <v>62883.954433211678</v>
      </c>
    </row>
    <row r="673" spans="19:21" ht="14.65" thickBot="1" x14ac:dyDescent="0.5">
      <c r="S673" s="37">
        <f t="shared" si="21"/>
        <v>63665.192877543792</v>
      </c>
      <c r="U673" s="26">
        <f t="shared" si="20"/>
        <v>63514.302877543792</v>
      </c>
    </row>
    <row r="674" spans="19:21" ht="14.65" thickBot="1" x14ac:dyDescent="0.5">
      <c r="S674" s="37">
        <f t="shared" si="21"/>
        <v>64301.844806319234</v>
      </c>
      <c r="U674" s="26">
        <f t="shared" si="20"/>
        <v>64150.954806319234</v>
      </c>
    </row>
    <row r="675" spans="19:21" ht="14.65" thickBot="1" x14ac:dyDescent="0.5">
      <c r="S675" s="37">
        <f t="shared" si="21"/>
        <v>64944.863254382428</v>
      </c>
      <c r="U675" s="26">
        <f t="shared" si="20"/>
        <v>64793.973254382428</v>
      </c>
    </row>
    <row r="676" spans="19:21" ht="14.65" thickBot="1" x14ac:dyDescent="0.5">
      <c r="S676" s="37">
        <f t="shared" si="21"/>
        <v>65594.311886926254</v>
      </c>
      <c r="U676" s="26">
        <f t="shared" si="20"/>
        <v>65443.421886926255</v>
      </c>
    </row>
    <row r="677" spans="19:21" ht="14.65" thickBot="1" x14ac:dyDescent="0.5">
      <c r="S677" s="37">
        <f t="shared" si="21"/>
        <v>66250.255005795523</v>
      </c>
      <c r="U677" s="26">
        <f t="shared" si="20"/>
        <v>66099.365005795524</v>
      </c>
    </row>
    <row r="678" spans="19:21" ht="14.65" thickBot="1" x14ac:dyDescent="0.5">
      <c r="S678" s="37">
        <f t="shared" si="21"/>
        <v>66912.757555853474</v>
      </c>
      <c r="U678" s="26">
        <f t="shared" si="20"/>
        <v>66761.867555853474</v>
      </c>
    </row>
    <row r="679" spans="19:21" ht="14.65" thickBot="1" x14ac:dyDescent="0.5">
      <c r="S679" s="37">
        <f t="shared" si="21"/>
        <v>67581.885131412011</v>
      </c>
      <c r="U679" s="26">
        <f t="shared" si="20"/>
        <v>67430.995131412012</v>
      </c>
    </row>
    <row r="680" spans="19:21" ht="14.65" thickBot="1" x14ac:dyDescent="0.5">
      <c r="S680" s="37">
        <f t="shared" si="21"/>
        <v>68257.703982726132</v>
      </c>
      <c r="U680" s="26">
        <f t="shared" si="20"/>
        <v>68106.813982726133</v>
      </c>
    </row>
    <row r="681" spans="19:21" ht="14.65" thickBot="1" x14ac:dyDescent="0.5">
      <c r="S681" s="37">
        <f t="shared" si="21"/>
        <v>68940.28102255339</v>
      </c>
      <c r="U681" s="26">
        <f t="shared" si="20"/>
        <v>68789.391022553391</v>
      </c>
    </row>
    <row r="682" spans="19:21" ht="14.65" thickBot="1" x14ac:dyDescent="0.5">
      <c r="S682" s="37">
        <f t="shared" si="21"/>
        <v>69629.68383277893</v>
      </c>
      <c r="U682" s="26">
        <f t="shared" si="20"/>
        <v>69478.793832778931</v>
      </c>
    </row>
    <row r="683" spans="19:21" ht="14.65" thickBot="1" x14ac:dyDescent="0.5">
      <c r="S683" s="37">
        <f t="shared" si="21"/>
        <v>70325.980671106721</v>
      </c>
      <c r="U683" s="26">
        <f t="shared" si="20"/>
        <v>70175.090671106722</v>
      </c>
    </row>
    <row r="684" spans="19:21" ht="14.65" thickBot="1" x14ac:dyDescent="0.5">
      <c r="S684" s="37">
        <f t="shared" si="21"/>
        <v>71029.240477817788</v>
      </c>
      <c r="U684" s="26">
        <f t="shared" si="20"/>
        <v>70878.350477817788</v>
      </c>
    </row>
    <row r="685" spans="19:21" ht="14.65" thickBot="1" x14ac:dyDescent="0.5">
      <c r="S685" s="37">
        <f t="shared" si="21"/>
        <v>71739.532882595973</v>
      </c>
      <c r="U685" s="26">
        <f t="shared" si="20"/>
        <v>71588.642882595974</v>
      </c>
    </row>
    <row r="686" spans="19:21" ht="14.65" thickBot="1" x14ac:dyDescent="0.5">
      <c r="S686" s="37">
        <f t="shared" si="21"/>
        <v>72456.928211421939</v>
      </c>
      <c r="U686" s="26">
        <f t="shared" si="20"/>
        <v>72306.038211421939</v>
      </c>
    </row>
    <row r="687" spans="19:21" ht="14.65" thickBot="1" x14ac:dyDescent="0.5">
      <c r="S687" s="37">
        <f t="shared" si="21"/>
        <v>73181.497493536153</v>
      </c>
      <c r="U687" s="26">
        <f t="shared" si="20"/>
        <v>73030.607493536154</v>
      </c>
    </row>
    <row r="688" spans="19:21" ht="14.65" thickBot="1" x14ac:dyDescent="0.5">
      <c r="S688" s="37">
        <f t="shared" si="21"/>
        <v>73913.312468471515</v>
      </c>
      <c r="U688" s="26">
        <f t="shared" si="20"/>
        <v>73762.422468471515</v>
      </c>
    </row>
    <row r="689" spans="19:21" ht="14.65" thickBot="1" x14ac:dyDescent="0.5">
      <c r="S689" s="37">
        <f t="shared" si="21"/>
        <v>74652.445593156226</v>
      </c>
      <c r="U689" s="26">
        <f t="shared" si="20"/>
        <v>74501.555593156227</v>
      </c>
    </row>
    <row r="690" spans="19:21" ht="14.65" thickBot="1" x14ac:dyDescent="0.5">
      <c r="S690" s="37">
        <f t="shared" si="21"/>
        <v>75398.970049087788</v>
      </c>
      <c r="U690" s="26">
        <f t="shared" si="20"/>
        <v>75248.080049087788</v>
      </c>
    </row>
    <row r="691" spans="19:21" ht="14.65" thickBot="1" x14ac:dyDescent="0.5">
      <c r="S691" s="37">
        <f t="shared" si="21"/>
        <v>76152.959749578673</v>
      </c>
      <c r="U691" s="26">
        <f t="shared" si="20"/>
        <v>76002.069749578674</v>
      </c>
    </row>
    <row r="692" spans="19:21" ht="14.65" thickBot="1" x14ac:dyDescent="0.5">
      <c r="S692" s="37">
        <f t="shared" si="21"/>
        <v>76914.489347074457</v>
      </c>
      <c r="U692" s="26">
        <f t="shared" si="20"/>
        <v>76763.599347074458</v>
      </c>
    </row>
    <row r="693" spans="19:21" ht="14.65" thickBot="1" x14ac:dyDescent="0.5">
      <c r="S693" s="37">
        <f t="shared" si="21"/>
        <v>77683.634240545201</v>
      </c>
      <c r="U693" s="26">
        <f t="shared" si="20"/>
        <v>77532.744240545202</v>
      </c>
    </row>
    <row r="694" spans="19:21" ht="14.65" thickBot="1" x14ac:dyDescent="0.5">
      <c r="S694" s="37">
        <f t="shared" si="21"/>
        <v>78460.470582950657</v>
      </c>
      <c r="U694" s="26">
        <f t="shared" si="20"/>
        <v>78309.580582950657</v>
      </c>
    </row>
    <row r="695" spans="19:21" ht="14.65" thickBot="1" x14ac:dyDescent="0.5">
      <c r="S695" s="37">
        <f t="shared" si="21"/>
        <v>79245.075288780165</v>
      </c>
      <c r="U695" s="26">
        <f t="shared" si="20"/>
        <v>79094.185288780165</v>
      </c>
    </row>
    <row r="696" spans="19:21" ht="14.65" thickBot="1" x14ac:dyDescent="0.5">
      <c r="S696" s="37">
        <f t="shared" si="21"/>
        <v>80037.526041667967</v>
      </c>
      <c r="U696" s="26">
        <f t="shared" si="20"/>
        <v>79886.636041667967</v>
      </c>
    </row>
    <row r="697" spans="19:21" ht="14.65" thickBot="1" x14ac:dyDescent="0.5">
      <c r="S697" s="37">
        <f t="shared" si="21"/>
        <v>80837.901302084647</v>
      </c>
      <c r="U697" s="26">
        <f t="shared" si="20"/>
        <v>80687.011302084647</v>
      </c>
    </row>
    <row r="698" spans="19:21" ht="14.65" thickBot="1" x14ac:dyDescent="0.5">
      <c r="S698" s="37">
        <f t="shared" si="21"/>
        <v>81646.280315105498</v>
      </c>
      <c r="U698" s="26">
        <f t="shared" si="20"/>
        <v>81495.390315105498</v>
      </c>
    </row>
    <row r="699" spans="19:21" ht="14.65" thickBot="1" x14ac:dyDescent="0.5">
      <c r="S699" s="37">
        <f t="shared" si="21"/>
        <v>82462.743118256549</v>
      </c>
      <c r="U699" s="26">
        <f t="shared" si="20"/>
        <v>82311.853118256549</v>
      </c>
    </row>
    <row r="700" spans="19:21" ht="14.65" thickBot="1" x14ac:dyDescent="0.5">
      <c r="S700" s="37">
        <f t="shared" si="21"/>
        <v>83287.370549439118</v>
      </c>
      <c r="U700" s="26">
        <f t="shared" si="20"/>
        <v>83136.480549439118</v>
      </c>
    </row>
    <row r="701" spans="19:21" ht="14.65" thickBot="1" x14ac:dyDescent="0.5">
      <c r="S701" s="37">
        <f t="shared" si="21"/>
        <v>84120.24425493351</v>
      </c>
      <c r="U701" s="26">
        <f t="shared" si="20"/>
        <v>83969.354254933511</v>
      </c>
    </row>
    <row r="702" spans="19:21" ht="14.65" thickBot="1" x14ac:dyDescent="0.5">
      <c r="S702" s="37">
        <f t="shared" si="21"/>
        <v>84961.446697482839</v>
      </c>
      <c r="U702" s="26">
        <f t="shared" si="20"/>
        <v>84810.55669748284</v>
      </c>
    </row>
    <row r="703" spans="19:21" ht="14.65" thickBot="1" x14ac:dyDescent="0.5">
      <c r="S703" s="37">
        <f t="shared" si="21"/>
        <v>85811.061164457671</v>
      </c>
      <c r="U703" s="26">
        <f t="shared" si="20"/>
        <v>85660.171164457672</v>
      </c>
    </row>
    <row r="704" spans="19:21" ht="14.65" thickBot="1" x14ac:dyDescent="0.5">
      <c r="S704" s="37">
        <f t="shared" si="21"/>
        <v>86669.171776102245</v>
      </c>
      <c r="U704" s="26">
        <f t="shared" si="20"/>
        <v>86518.281776102245</v>
      </c>
    </row>
    <row r="705" spans="19:21" ht="14.65" thickBot="1" x14ac:dyDescent="0.5">
      <c r="S705" s="37">
        <f t="shared" si="21"/>
        <v>87535.863493863275</v>
      </c>
      <c r="U705" s="26">
        <f t="shared" si="20"/>
        <v>87384.973493863276</v>
      </c>
    </row>
    <row r="706" spans="19:21" ht="14.65" thickBot="1" x14ac:dyDescent="0.5">
      <c r="S706" s="37">
        <f t="shared" si="21"/>
        <v>88411.222128801906</v>
      </c>
      <c r="U706" s="26">
        <f t="shared" si="20"/>
        <v>88260.332128801907</v>
      </c>
    </row>
    <row r="707" spans="19:21" ht="14.65" thickBot="1" x14ac:dyDescent="0.5">
      <c r="S707" s="37">
        <f t="shared" si="21"/>
        <v>89295.334350089921</v>
      </c>
      <c r="U707" s="26">
        <f t="shared" si="20"/>
        <v>89144.444350089921</v>
      </c>
    </row>
    <row r="708" spans="19:21" ht="14.65" thickBot="1" x14ac:dyDescent="0.5">
      <c r="S708" s="37">
        <f t="shared" si="21"/>
        <v>90188.287693590828</v>
      </c>
      <c r="U708" s="26">
        <f t="shared" si="20"/>
        <v>90037.397693590829</v>
      </c>
    </row>
    <row r="709" spans="19:21" ht="14.65" thickBot="1" x14ac:dyDescent="0.5">
      <c r="S709" s="37">
        <f t="shared" si="21"/>
        <v>91090.170570526738</v>
      </c>
      <c r="U709" s="26">
        <f t="shared" si="20"/>
        <v>90939.280570526738</v>
      </c>
    </row>
    <row r="710" spans="19:21" ht="14.65" thickBot="1" x14ac:dyDescent="0.5">
      <c r="S710" s="37">
        <f t="shared" si="21"/>
        <v>92001.072276232007</v>
      </c>
      <c r="U710" s="26">
        <f t="shared" si="20"/>
        <v>91850.182276232008</v>
      </c>
    </row>
    <row r="711" spans="19:21" ht="14.65" thickBot="1" x14ac:dyDescent="0.5">
      <c r="S711" s="37">
        <f t="shared" si="21"/>
        <v>92921.08299899433</v>
      </c>
      <c r="U711" s="26">
        <f t="shared" si="20"/>
        <v>92770.192998994331</v>
      </c>
    </row>
    <row r="712" spans="19:21" ht="14.65" thickBot="1" x14ac:dyDescent="0.5">
      <c r="S712" s="37">
        <f t="shared" si="21"/>
        <v>93850.293828984271</v>
      </c>
      <c r="U712" s="26">
        <f t="shared" si="20"/>
        <v>93699.403828984272</v>
      </c>
    </row>
    <row r="713" spans="19:21" ht="14.65" thickBot="1" x14ac:dyDescent="0.5">
      <c r="S713" s="37">
        <f t="shared" si="21"/>
        <v>94788.796767274122</v>
      </c>
      <c r="U713" s="26">
        <f t="shared" si="20"/>
        <v>94637.906767274122</v>
      </c>
    </row>
    <row r="714" spans="19:21" ht="14.65" thickBot="1" x14ac:dyDescent="0.5">
      <c r="S714" s="37">
        <f t="shared" si="21"/>
        <v>95736.684734946859</v>
      </c>
      <c r="U714" s="26">
        <f t="shared" si="20"/>
        <v>95585.79473494686</v>
      </c>
    </row>
    <row r="715" spans="19:21" ht="14.65" thickBot="1" x14ac:dyDescent="0.5">
      <c r="S715" s="37">
        <f t="shared" si="21"/>
        <v>96694.051582296335</v>
      </c>
      <c r="U715" s="26">
        <f t="shared" si="20"/>
        <v>96543.161582296336</v>
      </c>
    </row>
    <row r="716" spans="19:21" ht="14.65" thickBot="1" x14ac:dyDescent="0.5">
      <c r="S716" s="37">
        <f t="shared" si="21"/>
        <v>97660.992098119299</v>
      </c>
      <c r="U716" s="26">
        <f t="shared" si="20"/>
        <v>97510.1020981193</v>
      </c>
    </row>
    <row r="717" spans="19:21" ht="14.65" thickBot="1" x14ac:dyDescent="0.5">
      <c r="S717" s="37">
        <f t="shared" si="21"/>
        <v>98637.602019100494</v>
      </c>
      <c r="U717" s="26">
        <f t="shared" si="20"/>
        <v>98486.712019100494</v>
      </c>
    </row>
    <row r="718" spans="19:21" ht="14.65" thickBot="1" x14ac:dyDescent="0.5">
      <c r="S718" s="37">
        <f t="shared" si="21"/>
        <v>99623.978039291498</v>
      </c>
      <c r="U718" s="26">
        <f t="shared" si="20"/>
        <v>99473.088039291499</v>
      </c>
    </row>
    <row r="719" spans="19:21" ht="14.65" thickBot="1" x14ac:dyDescent="0.5">
      <c r="S719" s="37">
        <f t="shared" si="21"/>
        <v>100620.21781968442</v>
      </c>
      <c r="U719" s="26">
        <f t="shared" si="20"/>
        <v>100469.32781968442</v>
      </c>
    </row>
    <row r="720" spans="19:21" ht="14.65" thickBot="1" x14ac:dyDescent="0.5">
      <c r="S720" s="37">
        <f t="shared" si="21"/>
        <v>101626.41999788127</v>
      </c>
      <c r="U720" s="26">
        <f t="shared" si="20"/>
        <v>101475.52999788127</v>
      </c>
    </row>
    <row r="721" spans="19:21" ht="14.65" thickBot="1" x14ac:dyDescent="0.5">
      <c r="S721" s="37">
        <f t="shared" si="21"/>
        <v>102642.68419786009</v>
      </c>
      <c r="U721" s="26">
        <f t="shared" si="20"/>
        <v>102491.79419786009</v>
      </c>
    </row>
    <row r="722" spans="19:21" ht="14.65" thickBot="1" x14ac:dyDescent="0.5">
      <c r="S722" s="37">
        <f t="shared" si="21"/>
        <v>103669.11103983868</v>
      </c>
      <c r="U722" s="26">
        <f t="shared" si="20"/>
        <v>103518.22103983868</v>
      </c>
    </row>
    <row r="723" spans="19:21" ht="14.65" thickBot="1" x14ac:dyDescent="0.5">
      <c r="S723" s="37">
        <f t="shared" si="21"/>
        <v>104705.80215023707</v>
      </c>
      <c r="U723" s="26">
        <f t="shared" si="20"/>
        <v>104554.91215023707</v>
      </c>
    </row>
    <row r="724" spans="19:21" ht="14.65" thickBot="1" x14ac:dyDescent="0.5">
      <c r="S724" s="37">
        <f t="shared" si="21"/>
        <v>105752.86017173943</v>
      </c>
      <c r="U724" s="26">
        <f t="shared" ref="U724:U787" si="22">IF(S724&lt;$D$8,$D$8-S724-$D$9-$D$10,S724-$D$7-$D$9-$D$10)</f>
        <v>105601.97017173943</v>
      </c>
    </row>
    <row r="725" spans="19:21" ht="14.65" thickBot="1" x14ac:dyDescent="0.5">
      <c r="S725" s="37">
        <f t="shared" ref="S725:S788" si="23">S724*(1.01)</f>
        <v>106810.38877345683</v>
      </c>
      <c r="U725" s="26">
        <f t="shared" si="22"/>
        <v>106659.49877345683</v>
      </c>
    </row>
    <row r="726" spans="19:21" ht="14.65" thickBot="1" x14ac:dyDescent="0.5">
      <c r="S726" s="37">
        <f t="shared" si="23"/>
        <v>107878.4926611914</v>
      </c>
      <c r="U726" s="26">
        <f t="shared" si="22"/>
        <v>107727.6026611914</v>
      </c>
    </row>
    <row r="727" spans="19:21" ht="14.65" thickBot="1" x14ac:dyDescent="0.5">
      <c r="S727" s="37">
        <f t="shared" si="23"/>
        <v>108957.27758780331</v>
      </c>
      <c r="U727" s="26">
        <f t="shared" si="22"/>
        <v>108806.38758780331</v>
      </c>
    </row>
    <row r="728" spans="19:21" ht="14.65" thickBot="1" x14ac:dyDescent="0.5">
      <c r="S728" s="37">
        <f t="shared" si="23"/>
        <v>110046.85036368135</v>
      </c>
      <c r="U728" s="26">
        <f t="shared" si="22"/>
        <v>109895.96036368136</v>
      </c>
    </row>
    <row r="729" spans="19:21" ht="14.65" thickBot="1" x14ac:dyDescent="0.5">
      <c r="S729" s="37">
        <f t="shared" si="23"/>
        <v>111147.31886731817</v>
      </c>
      <c r="U729" s="26">
        <f t="shared" si="22"/>
        <v>110996.42886731817</v>
      </c>
    </row>
    <row r="730" spans="19:21" ht="14.65" thickBot="1" x14ac:dyDescent="0.5">
      <c r="S730" s="37">
        <f t="shared" si="23"/>
        <v>112258.79205599136</v>
      </c>
      <c r="U730" s="26">
        <f t="shared" si="22"/>
        <v>112107.90205599136</v>
      </c>
    </row>
    <row r="731" spans="19:21" ht="14.65" thickBot="1" x14ac:dyDescent="0.5">
      <c r="S731" s="37">
        <f t="shared" si="23"/>
        <v>113381.37997655128</v>
      </c>
      <c r="U731" s="26">
        <f t="shared" si="22"/>
        <v>113230.48997655128</v>
      </c>
    </row>
    <row r="732" spans="19:21" ht="14.65" thickBot="1" x14ac:dyDescent="0.5">
      <c r="S732" s="37">
        <f t="shared" si="23"/>
        <v>114515.1937763168</v>
      </c>
      <c r="U732" s="26">
        <f t="shared" si="22"/>
        <v>114364.3037763168</v>
      </c>
    </row>
    <row r="733" spans="19:21" ht="14.65" thickBot="1" x14ac:dyDescent="0.5">
      <c r="S733" s="37">
        <f t="shared" si="23"/>
        <v>115660.34571407996</v>
      </c>
      <c r="U733" s="26">
        <f t="shared" si="22"/>
        <v>115509.45571407996</v>
      </c>
    </row>
    <row r="734" spans="19:21" ht="14.65" thickBot="1" x14ac:dyDescent="0.5">
      <c r="S734" s="37">
        <f t="shared" si="23"/>
        <v>116816.94917122075</v>
      </c>
      <c r="U734" s="26">
        <f t="shared" si="22"/>
        <v>116666.05917122075</v>
      </c>
    </row>
    <row r="735" spans="19:21" ht="14.65" thickBot="1" x14ac:dyDescent="0.5">
      <c r="S735" s="37">
        <f t="shared" si="23"/>
        <v>117985.11866293296</v>
      </c>
      <c r="U735" s="26">
        <f t="shared" si="22"/>
        <v>117834.22866293296</v>
      </c>
    </row>
    <row r="736" spans="19:21" ht="14.65" thickBot="1" x14ac:dyDescent="0.5">
      <c r="S736" s="37">
        <f t="shared" si="23"/>
        <v>119164.96984956229</v>
      </c>
      <c r="U736" s="26">
        <f t="shared" si="22"/>
        <v>119014.07984956229</v>
      </c>
    </row>
    <row r="737" spans="19:21" ht="14.65" thickBot="1" x14ac:dyDescent="0.5">
      <c r="S737" s="37">
        <f t="shared" si="23"/>
        <v>120356.6195480579</v>
      </c>
      <c r="U737" s="26">
        <f t="shared" si="22"/>
        <v>120205.72954805791</v>
      </c>
    </row>
    <row r="738" spans="19:21" ht="14.65" thickBot="1" x14ac:dyDescent="0.5">
      <c r="S738" s="37">
        <f t="shared" si="23"/>
        <v>121560.18574353849</v>
      </c>
      <c r="U738" s="26">
        <f t="shared" si="22"/>
        <v>121409.29574353849</v>
      </c>
    </row>
    <row r="739" spans="19:21" ht="14.65" thickBot="1" x14ac:dyDescent="0.5">
      <c r="S739" s="37">
        <f t="shared" si="23"/>
        <v>122775.78760097387</v>
      </c>
      <c r="U739" s="26">
        <f t="shared" si="22"/>
        <v>122624.89760097387</v>
      </c>
    </row>
    <row r="740" spans="19:21" ht="14.65" thickBot="1" x14ac:dyDescent="0.5">
      <c r="S740" s="37">
        <f t="shared" si="23"/>
        <v>124003.54547698361</v>
      </c>
      <c r="U740" s="26">
        <f t="shared" si="22"/>
        <v>123852.65547698361</v>
      </c>
    </row>
    <row r="741" spans="19:21" ht="14.65" thickBot="1" x14ac:dyDescent="0.5">
      <c r="S741" s="37">
        <f t="shared" si="23"/>
        <v>125243.58093175344</v>
      </c>
      <c r="U741" s="26">
        <f t="shared" si="22"/>
        <v>125092.69093175344</v>
      </c>
    </row>
    <row r="742" spans="19:21" ht="14.65" thickBot="1" x14ac:dyDescent="0.5">
      <c r="S742" s="37">
        <f t="shared" si="23"/>
        <v>126496.01674107098</v>
      </c>
      <c r="U742" s="26">
        <f t="shared" si="22"/>
        <v>126345.12674107098</v>
      </c>
    </row>
    <row r="743" spans="19:21" ht="14.65" thickBot="1" x14ac:dyDescent="0.5">
      <c r="S743" s="37">
        <f t="shared" si="23"/>
        <v>127760.97690848169</v>
      </c>
      <c r="U743" s="26">
        <f t="shared" si="22"/>
        <v>127610.08690848169</v>
      </c>
    </row>
    <row r="744" spans="19:21" ht="14.65" thickBot="1" x14ac:dyDescent="0.5">
      <c r="S744" s="37">
        <f t="shared" si="23"/>
        <v>129038.58667756651</v>
      </c>
      <c r="U744" s="26">
        <f t="shared" si="22"/>
        <v>128887.69667756651</v>
      </c>
    </row>
    <row r="745" spans="19:21" ht="14.65" thickBot="1" x14ac:dyDescent="0.5">
      <c r="S745" s="37">
        <f t="shared" si="23"/>
        <v>130328.97254434218</v>
      </c>
      <c r="U745" s="26">
        <f t="shared" si="22"/>
        <v>130178.08254434218</v>
      </c>
    </row>
    <row r="746" spans="19:21" ht="14.65" thickBot="1" x14ac:dyDescent="0.5">
      <c r="S746" s="37">
        <f t="shared" si="23"/>
        <v>131632.2622697856</v>
      </c>
      <c r="U746" s="26">
        <f t="shared" si="22"/>
        <v>131481.37226978561</v>
      </c>
    </row>
    <row r="747" spans="19:21" ht="14.65" thickBot="1" x14ac:dyDescent="0.5">
      <c r="S747" s="37">
        <f t="shared" si="23"/>
        <v>132948.58489248346</v>
      </c>
      <c r="U747" s="26">
        <f t="shared" si="22"/>
        <v>132797.69489248347</v>
      </c>
    </row>
    <row r="748" spans="19:21" ht="14.65" thickBot="1" x14ac:dyDescent="0.5">
      <c r="S748" s="37">
        <f t="shared" si="23"/>
        <v>134278.0707414083</v>
      </c>
      <c r="U748" s="26">
        <f t="shared" si="22"/>
        <v>134127.18074140832</v>
      </c>
    </row>
    <row r="749" spans="19:21" ht="14.65" thickBot="1" x14ac:dyDescent="0.5">
      <c r="S749" s="37">
        <f t="shared" si="23"/>
        <v>135620.85144882239</v>
      </c>
      <c r="U749" s="26">
        <f t="shared" si="22"/>
        <v>135469.9614488224</v>
      </c>
    </row>
    <row r="750" spans="19:21" ht="14.65" thickBot="1" x14ac:dyDescent="0.5">
      <c r="S750" s="37">
        <f t="shared" si="23"/>
        <v>136977.0599633106</v>
      </c>
      <c r="U750" s="26">
        <f t="shared" si="22"/>
        <v>136826.16996331062</v>
      </c>
    </row>
    <row r="751" spans="19:21" ht="14.65" thickBot="1" x14ac:dyDescent="0.5">
      <c r="S751" s="37">
        <f t="shared" si="23"/>
        <v>138346.83056294371</v>
      </c>
      <c r="U751" s="26">
        <f t="shared" si="22"/>
        <v>138195.94056294372</v>
      </c>
    </row>
    <row r="752" spans="19:21" ht="14.65" thickBot="1" x14ac:dyDescent="0.5">
      <c r="S752" s="37">
        <f t="shared" si="23"/>
        <v>139730.29886857315</v>
      </c>
      <c r="U752" s="26">
        <f t="shared" si="22"/>
        <v>139579.40886857317</v>
      </c>
    </row>
    <row r="753" spans="19:21" ht="14.65" thickBot="1" x14ac:dyDescent="0.5">
      <c r="S753" s="37">
        <f t="shared" si="23"/>
        <v>141127.60185725888</v>
      </c>
      <c r="U753" s="26">
        <f t="shared" si="22"/>
        <v>140976.7118572589</v>
      </c>
    </row>
    <row r="754" spans="19:21" ht="14.65" thickBot="1" x14ac:dyDescent="0.5">
      <c r="S754" s="37">
        <f t="shared" si="23"/>
        <v>142538.87787583147</v>
      </c>
      <c r="U754" s="26">
        <f t="shared" si="22"/>
        <v>142387.98787583149</v>
      </c>
    </row>
    <row r="755" spans="19:21" ht="14.65" thickBot="1" x14ac:dyDescent="0.5">
      <c r="S755" s="37">
        <f t="shared" si="23"/>
        <v>143964.2666545898</v>
      </c>
      <c r="U755" s="26">
        <f t="shared" si="22"/>
        <v>143813.37665458981</v>
      </c>
    </row>
    <row r="756" spans="19:21" ht="14.65" thickBot="1" x14ac:dyDescent="0.5">
      <c r="S756" s="37">
        <f t="shared" si="23"/>
        <v>145403.9093211357</v>
      </c>
      <c r="U756" s="26">
        <f t="shared" si="22"/>
        <v>145253.01932113571</v>
      </c>
    </row>
    <row r="757" spans="19:21" ht="14.65" thickBot="1" x14ac:dyDescent="0.5">
      <c r="S757" s="37">
        <f t="shared" si="23"/>
        <v>146857.94841434705</v>
      </c>
      <c r="U757" s="26">
        <f t="shared" si="22"/>
        <v>146707.05841434706</v>
      </c>
    </row>
    <row r="758" spans="19:21" ht="14.65" thickBot="1" x14ac:dyDescent="0.5">
      <c r="S758" s="37">
        <f t="shared" si="23"/>
        <v>148326.52789849052</v>
      </c>
      <c r="U758" s="26">
        <f t="shared" si="22"/>
        <v>148175.63789849053</v>
      </c>
    </row>
    <row r="759" spans="19:21" ht="14.65" thickBot="1" x14ac:dyDescent="0.5">
      <c r="S759" s="37">
        <f t="shared" si="23"/>
        <v>149809.79317747543</v>
      </c>
      <c r="U759" s="26">
        <f t="shared" si="22"/>
        <v>149658.90317747544</v>
      </c>
    </row>
    <row r="760" spans="19:21" ht="14.65" thickBot="1" x14ac:dyDescent="0.5">
      <c r="S760" s="37">
        <f t="shared" si="23"/>
        <v>151307.89110925019</v>
      </c>
      <c r="U760" s="26">
        <f t="shared" si="22"/>
        <v>151157.00110925021</v>
      </c>
    </row>
    <row r="761" spans="19:21" ht="14.65" thickBot="1" x14ac:dyDescent="0.5">
      <c r="S761" s="37">
        <f t="shared" si="23"/>
        <v>152820.97002034271</v>
      </c>
      <c r="U761" s="26">
        <f t="shared" si="22"/>
        <v>152670.08002034272</v>
      </c>
    </row>
    <row r="762" spans="19:21" ht="14.65" thickBot="1" x14ac:dyDescent="0.5">
      <c r="S762" s="37">
        <f t="shared" si="23"/>
        <v>154349.17972054615</v>
      </c>
      <c r="U762" s="26">
        <f t="shared" si="22"/>
        <v>154198.28972054616</v>
      </c>
    </row>
    <row r="763" spans="19:21" ht="14.65" thickBot="1" x14ac:dyDescent="0.5">
      <c r="S763" s="37">
        <f t="shared" si="23"/>
        <v>155892.67151775162</v>
      </c>
      <c r="U763" s="26">
        <f t="shared" si="22"/>
        <v>155741.78151775163</v>
      </c>
    </row>
    <row r="764" spans="19:21" ht="14.65" thickBot="1" x14ac:dyDescent="0.5">
      <c r="S764" s="37">
        <f t="shared" si="23"/>
        <v>157451.59823292913</v>
      </c>
      <c r="U764" s="26">
        <f t="shared" si="22"/>
        <v>157300.70823292914</v>
      </c>
    </row>
    <row r="765" spans="19:21" ht="14.65" thickBot="1" x14ac:dyDescent="0.5">
      <c r="S765" s="37">
        <f t="shared" si="23"/>
        <v>159026.11421525842</v>
      </c>
      <c r="U765" s="26">
        <f t="shared" si="22"/>
        <v>158875.22421525844</v>
      </c>
    </row>
    <row r="766" spans="19:21" ht="14.65" thickBot="1" x14ac:dyDescent="0.5">
      <c r="S766" s="37">
        <f t="shared" si="23"/>
        <v>160616.37535741102</v>
      </c>
      <c r="U766" s="26">
        <f t="shared" si="22"/>
        <v>160465.48535741103</v>
      </c>
    </row>
    <row r="767" spans="19:21" ht="14.65" thickBot="1" x14ac:dyDescent="0.5">
      <c r="S767" s="37">
        <f t="shared" si="23"/>
        <v>162222.53911098512</v>
      </c>
      <c r="U767" s="26">
        <f t="shared" si="22"/>
        <v>162071.64911098513</v>
      </c>
    </row>
    <row r="768" spans="19:21" ht="14.65" thickBot="1" x14ac:dyDescent="0.5">
      <c r="S768" s="37">
        <f t="shared" si="23"/>
        <v>163844.76450209497</v>
      </c>
      <c r="U768" s="26">
        <f t="shared" si="22"/>
        <v>163693.87450209499</v>
      </c>
    </row>
    <row r="769" spans="19:21" ht="14.65" thickBot="1" x14ac:dyDescent="0.5">
      <c r="S769" s="37">
        <f t="shared" si="23"/>
        <v>165483.21214711593</v>
      </c>
      <c r="U769" s="26">
        <f t="shared" si="22"/>
        <v>165332.32214711595</v>
      </c>
    </row>
    <row r="770" spans="19:21" ht="14.65" thickBot="1" x14ac:dyDescent="0.5">
      <c r="S770" s="37">
        <f t="shared" si="23"/>
        <v>167138.04426858708</v>
      </c>
      <c r="U770" s="26">
        <f t="shared" si="22"/>
        <v>166987.1542685871</v>
      </c>
    </row>
    <row r="771" spans="19:21" ht="14.65" thickBot="1" x14ac:dyDescent="0.5">
      <c r="S771" s="37">
        <f t="shared" si="23"/>
        <v>168809.42471127296</v>
      </c>
      <c r="U771" s="26">
        <f t="shared" si="22"/>
        <v>168658.53471127298</v>
      </c>
    </row>
    <row r="772" spans="19:21" ht="14.65" thickBot="1" x14ac:dyDescent="0.5">
      <c r="S772" s="37">
        <f t="shared" si="23"/>
        <v>170497.51895838568</v>
      </c>
      <c r="U772" s="26">
        <f t="shared" si="22"/>
        <v>170346.6289583857</v>
      </c>
    </row>
    <row r="773" spans="19:21" ht="14.65" thickBot="1" x14ac:dyDescent="0.5">
      <c r="S773" s="37">
        <f t="shared" si="23"/>
        <v>172202.49414796956</v>
      </c>
      <c r="U773" s="26">
        <f t="shared" si="22"/>
        <v>172051.60414796957</v>
      </c>
    </row>
    <row r="774" spans="19:21" ht="14.65" thickBot="1" x14ac:dyDescent="0.5">
      <c r="S774" s="37">
        <f t="shared" si="23"/>
        <v>173924.51908944926</v>
      </c>
      <c r="U774" s="26">
        <f t="shared" si="22"/>
        <v>173773.62908944927</v>
      </c>
    </row>
    <row r="775" spans="19:21" ht="14.65" thickBot="1" x14ac:dyDescent="0.5">
      <c r="S775" s="37">
        <f t="shared" si="23"/>
        <v>175663.76428034375</v>
      </c>
      <c r="U775" s="26">
        <f t="shared" si="22"/>
        <v>175512.87428034376</v>
      </c>
    </row>
    <row r="776" spans="19:21" ht="14.65" thickBot="1" x14ac:dyDescent="0.5">
      <c r="S776" s="37">
        <f t="shared" si="23"/>
        <v>177420.40192314718</v>
      </c>
      <c r="U776" s="26">
        <f t="shared" si="22"/>
        <v>177269.51192314719</v>
      </c>
    </row>
    <row r="777" spans="19:21" ht="14.65" thickBot="1" x14ac:dyDescent="0.5">
      <c r="S777" s="37">
        <f t="shared" si="23"/>
        <v>179194.60594237864</v>
      </c>
      <c r="U777" s="26">
        <f t="shared" si="22"/>
        <v>179043.71594237865</v>
      </c>
    </row>
    <row r="778" spans="19:21" ht="14.65" thickBot="1" x14ac:dyDescent="0.5">
      <c r="S778" s="37">
        <f t="shared" si="23"/>
        <v>180986.55200180243</v>
      </c>
      <c r="U778" s="26">
        <f t="shared" si="22"/>
        <v>180835.66200180244</v>
      </c>
    </row>
    <row r="779" spans="19:21" ht="14.65" thickBot="1" x14ac:dyDescent="0.5">
      <c r="S779" s="37">
        <f t="shared" si="23"/>
        <v>182796.41752182046</v>
      </c>
      <c r="U779" s="26">
        <f t="shared" si="22"/>
        <v>182645.52752182048</v>
      </c>
    </row>
    <row r="780" spans="19:21" ht="14.65" thickBot="1" x14ac:dyDescent="0.5">
      <c r="S780" s="37">
        <f t="shared" si="23"/>
        <v>184624.38169703865</v>
      </c>
      <c r="U780" s="26">
        <f t="shared" si="22"/>
        <v>184473.49169703867</v>
      </c>
    </row>
    <row r="781" spans="19:21" ht="14.65" thickBot="1" x14ac:dyDescent="0.5">
      <c r="S781" s="37">
        <f t="shared" si="23"/>
        <v>186470.62551400904</v>
      </c>
      <c r="U781" s="26">
        <f t="shared" si="22"/>
        <v>186319.73551400905</v>
      </c>
    </row>
    <row r="782" spans="19:21" ht="14.65" thickBot="1" x14ac:dyDescent="0.5">
      <c r="S782" s="37">
        <f t="shared" si="23"/>
        <v>188335.33176914914</v>
      </c>
      <c r="U782" s="26">
        <f t="shared" si="22"/>
        <v>188184.44176914915</v>
      </c>
    </row>
    <row r="783" spans="19:21" ht="14.65" thickBot="1" x14ac:dyDescent="0.5">
      <c r="S783" s="37">
        <f t="shared" si="23"/>
        <v>190218.68508684062</v>
      </c>
      <c r="U783" s="26">
        <f t="shared" si="22"/>
        <v>190067.79508684063</v>
      </c>
    </row>
    <row r="784" spans="19:21" ht="14.65" thickBot="1" x14ac:dyDescent="0.5">
      <c r="S784" s="37">
        <f t="shared" si="23"/>
        <v>192120.87193770902</v>
      </c>
      <c r="U784" s="26">
        <f t="shared" si="22"/>
        <v>191969.98193770903</v>
      </c>
    </row>
    <row r="785" spans="19:21" ht="14.65" thickBot="1" x14ac:dyDescent="0.5">
      <c r="S785" s="37">
        <f t="shared" si="23"/>
        <v>194042.0806570861</v>
      </c>
      <c r="U785" s="26">
        <f t="shared" si="22"/>
        <v>193891.19065708612</v>
      </c>
    </row>
    <row r="786" spans="19:21" ht="14.65" thickBot="1" x14ac:dyDescent="0.5">
      <c r="S786" s="37">
        <f t="shared" si="23"/>
        <v>195982.50146365695</v>
      </c>
      <c r="U786" s="26">
        <f t="shared" si="22"/>
        <v>195831.61146365697</v>
      </c>
    </row>
    <row r="787" spans="19:21" ht="14.65" thickBot="1" x14ac:dyDescent="0.5">
      <c r="S787" s="37">
        <f t="shared" si="23"/>
        <v>197942.32647829351</v>
      </c>
      <c r="U787" s="26">
        <f t="shared" si="22"/>
        <v>197791.43647829353</v>
      </c>
    </row>
    <row r="788" spans="19:21" ht="14.65" thickBot="1" x14ac:dyDescent="0.5">
      <c r="S788" s="37">
        <f t="shared" si="23"/>
        <v>199921.74974307645</v>
      </c>
      <c r="U788" s="26">
        <f t="shared" ref="U788:U851" si="24">IF(S788&lt;$D$8,$D$8-S788-$D$9-$D$10,S788-$D$7-$D$9-$D$10)</f>
        <v>199770.85974307646</v>
      </c>
    </row>
    <row r="789" spans="19:21" ht="14.65" thickBot="1" x14ac:dyDescent="0.5">
      <c r="S789" s="37">
        <f t="shared" ref="S789:S852" si="25">S788*(1.01)</f>
        <v>201920.96724050722</v>
      </c>
      <c r="U789" s="26">
        <f t="shared" si="24"/>
        <v>201770.07724050723</v>
      </c>
    </row>
    <row r="790" spans="19:21" ht="14.65" thickBot="1" x14ac:dyDescent="0.5">
      <c r="S790" s="37">
        <f t="shared" si="25"/>
        <v>203940.17691291228</v>
      </c>
      <c r="U790" s="26">
        <f t="shared" si="24"/>
        <v>203789.2869129123</v>
      </c>
    </row>
    <row r="791" spans="19:21" ht="14.65" thickBot="1" x14ac:dyDescent="0.5">
      <c r="S791" s="37">
        <f t="shared" si="25"/>
        <v>205979.57868204141</v>
      </c>
      <c r="U791" s="26">
        <f t="shared" si="24"/>
        <v>205828.68868204142</v>
      </c>
    </row>
    <row r="792" spans="19:21" ht="14.65" thickBot="1" x14ac:dyDescent="0.5">
      <c r="S792" s="37">
        <f t="shared" si="25"/>
        <v>208039.37446886182</v>
      </c>
      <c r="U792" s="26">
        <f t="shared" si="24"/>
        <v>207888.48446886183</v>
      </c>
    </row>
    <row r="793" spans="19:21" ht="14.65" thickBot="1" x14ac:dyDescent="0.5">
      <c r="S793" s="37">
        <f t="shared" si="25"/>
        <v>210119.76821355044</v>
      </c>
      <c r="U793" s="26">
        <f t="shared" si="24"/>
        <v>209968.87821355046</v>
      </c>
    </row>
    <row r="794" spans="19:21" ht="14.65" thickBot="1" x14ac:dyDescent="0.5">
      <c r="S794" s="37">
        <f t="shared" si="25"/>
        <v>212220.96589568595</v>
      </c>
      <c r="U794" s="26">
        <f t="shared" si="24"/>
        <v>212070.07589568596</v>
      </c>
    </row>
    <row r="795" spans="19:21" ht="14.65" thickBot="1" x14ac:dyDescent="0.5">
      <c r="S795" s="37">
        <f t="shared" si="25"/>
        <v>214343.1755546428</v>
      </c>
      <c r="U795" s="26">
        <f t="shared" si="24"/>
        <v>214192.28555464282</v>
      </c>
    </row>
    <row r="796" spans="19:21" ht="14.65" thickBot="1" x14ac:dyDescent="0.5">
      <c r="S796" s="37">
        <f t="shared" si="25"/>
        <v>216486.60731018923</v>
      </c>
      <c r="U796" s="26">
        <f t="shared" si="24"/>
        <v>216335.71731018924</v>
      </c>
    </row>
    <row r="797" spans="19:21" ht="14.65" thickBot="1" x14ac:dyDescent="0.5">
      <c r="S797" s="37">
        <f t="shared" si="25"/>
        <v>218651.47338329113</v>
      </c>
      <c r="U797" s="26">
        <f t="shared" si="24"/>
        <v>218500.58338329114</v>
      </c>
    </row>
    <row r="798" spans="19:21" ht="14.65" thickBot="1" x14ac:dyDescent="0.5">
      <c r="S798" s="37">
        <f t="shared" si="25"/>
        <v>220837.98811712404</v>
      </c>
      <c r="U798" s="26">
        <f t="shared" si="24"/>
        <v>220687.09811712406</v>
      </c>
    </row>
    <row r="799" spans="19:21" ht="14.65" thickBot="1" x14ac:dyDescent="0.5">
      <c r="S799" s="37">
        <f t="shared" si="25"/>
        <v>223046.36799829529</v>
      </c>
      <c r="U799" s="26">
        <f t="shared" si="24"/>
        <v>222895.4779982953</v>
      </c>
    </row>
    <row r="800" spans="19:21" ht="14.65" thickBot="1" x14ac:dyDescent="0.5">
      <c r="S800" s="37">
        <f t="shared" si="25"/>
        <v>225276.83167827825</v>
      </c>
      <c r="U800" s="26">
        <f t="shared" si="24"/>
        <v>225125.94167827826</v>
      </c>
    </row>
    <row r="801" spans="19:21" ht="14.65" thickBot="1" x14ac:dyDescent="0.5">
      <c r="S801" s="37">
        <f t="shared" si="25"/>
        <v>227529.59999506103</v>
      </c>
      <c r="U801" s="26">
        <f t="shared" si="24"/>
        <v>227378.70999506104</v>
      </c>
    </row>
    <row r="802" spans="19:21" ht="14.65" thickBot="1" x14ac:dyDescent="0.5">
      <c r="S802" s="37">
        <f t="shared" si="25"/>
        <v>229804.89599501164</v>
      </c>
      <c r="U802" s="26">
        <f t="shared" si="24"/>
        <v>229654.00599501166</v>
      </c>
    </row>
    <row r="803" spans="19:21" ht="14.65" thickBot="1" x14ac:dyDescent="0.5">
      <c r="S803" s="37">
        <f t="shared" si="25"/>
        <v>232102.94495496177</v>
      </c>
      <c r="U803" s="26">
        <f t="shared" si="24"/>
        <v>231952.05495496179</v>
      </c>
    </row>
    <row r="804" spans="19:21" ht="14.65" thickBot="1" x14ac:dyDescent="0.5">
      <c r="S804" s="37">
        <f t="shared" si="25"/>
        <v>234423.97440451139</v>
      </c>
      <c r="U804" s="26">
        <f t="shared" si="24"/>
        <v>234273.08440451141</v>
      </c>
    </row>
    <row r="805" spans="19:21" ht="14.65" thickBot="1" x14ac:dyDescent="0.5">
      <c r="S805" s="37">
        <f t="shared" si="25"/>
        <v>236768.21414855649</v>
      </c>
      <c r="U805" s="26">
        <f t="shared" si="24"/>
        <v>236617.32414855651</v>
      </c>
    </row>
    <row r="806" spans="19:21" ht="14.65" thickBot="1" x14ac:dyDescent="0.5">
      <c r="S806" s="37">
        <f t="shared" si="25"/>
        <v>239135.89629004206</v>
      </c>
      <c r="U806" s="26">
        <f t="shared" si="24"/>
        <v>238985.00629004207</v>
      </c>
    </row>
    <row r="807" spans="19:21" ht="14.65" thickBot="1" x14ac:dyDescent="0.5">
      <c r="S807" s="37">
        <f t="shared" si="25"/>
        <v>241527.25525294247</v>
      </c>
      <c r="U807" s="26">
        <f t="shared" si="24"/>
        <v>241376.36525294249</v>
      </c>
    </row>
    <row r="808" spans="19:21" ht="14.65" thickBot="1" x14ac:dyDescent="0.5">
      <c r="S808" s="37">
        <f t="shared" si="25"/>
        <v>243942.52780547191</v>
      </c>
      <c r="U808" s="26">
        <f t="shared" si="24"/>
        <v>243791.63780547192</v>
      </c>
    </row>
    <row r="809" spans="19:21" ht="14.65" thickBot="1" x14ac:dyDescent="0.5">
      <c r="S809" s="37">
        <f t="shared" si="25"/>
        <v>246381.95308352663</v>
      </c>
      <c r="U809" s="26">
        <f t="shared" si="24"/>
        <v>246231.06308352665</v>
      </c>
    </row>
    <row r="810" spans="19:21" ht="14.65" thickBot="1" x14ac:dyDescent="0.5">
      <c r="S810" s="37">
        <f t="shared" si="25"/>
        <v>248845.77261436189</v>
      </c>
      <c r="U810" s="26">
        <f t="shared" si="24"/>
        <v>248694.88261436191</v>
      </c>
    </row>
    <row r="811" spans="19:21" ht="14.65" thickBot="1" x14ac:dyDescent="0.5">
      <c r="S811" s="37">
        <f t="shared" si="25"/>
        <v>251334.23034050551</v>
      </c>
      <c r="U811" s="26">
        <f t="shared" si="24"/>
        <v>251183.34034050553</v>
      </c>
    </row>
    <row r="812" spans="19:21" ht="14.65" thickBot="1" x14ac:dyDescent="0.5">
      <c r="S812" s="37">
        <f t="shared" si="25"/>
        <v>253847.57264391056</v>
      </c>
      <c r="U812" s="26">
        <f t="shared" si="24"/>
        <v>253696.68264391058</v>
      </c>
    </row>
    <row r="813" spans="19:21" ht="14.65" thickBot="1" x14ac:dyDescent="0.5">
      <c r="S813" s="37">
        <f t="shared" si="25"/>
        <v>256386.04837034966</v>
      </c>
      <c r="U813" s="26">
        <f t="shared" si="24"/>
        <v>256235.15837034967</v>
      </c>
    </row>
    <row r="814" spans="19:21" ht="14.65" thickBot="1" x14ac:dyDescent="0.5">
      <c r="S814" s="37">
        <f t="shared" si="25"/>
        <v>258949.90885405315</v>
      </c>
      <c r="U814" s="26">
        <f t="shared" si="24"/>
        <v>258799.01885405317</v>
      </c>
    </row>
    <row r="815" spans="19:21" ht="14.65" thickBot="1" x14ac:dyDescent="0.5">
      <c r="S815" s="37">
        <f t="shared" si="25"/>
        <v>261539.40794259368</v>
      </c>
      <c r="U815" s="26">
        <f t="shared" si="24"/>
        <v>261388.51794259369</v>
      </c>
    </row>
    <row r="816" spans="19:21" ht="14.65" thickBot="1" x14ac:dyDescent="0.5">
      <c r="S816" s="37">
        <f t="shared" si="25"/>
        <v>264154.80202201963</v>
      </c>
      <c r="U816" s="26">
        <f t="shared" si="24"/>
        <v>264003.91202201962</v>
      </c>
    </row>
    <row r="817" spans="19:21" ht="14.65" thickBot="1" x14ac:dyDescent="0.5">
      <c r="S817" s="37">
        <f t="shared" si="25"/>
        <v>266796.35004223982</v>
      </c>
      <c r="U817" s="26">
        <f t="shared" si="24"/>
        <v>266645.46004223981</v>
      </c>
    </row>
    <row r="818" spans="19:21" ht="14.65" thickBot="1" x14ac:dyDescent="0.5">
      <c r="S818" s="37">
        <f t="shared" si="25"/>
        <v>269464.31354266225</v>
      </c>
      <c r="U818" s="26">
        <f t="shared" si="24"/>
        <v>269313.42354266223</v>
      </c>
    </row>
    <row r="819" spans="19:21" ht="14.65" thickBot="1" x14ac:dyDescent="0.5">
      <c r="S819" s="37">
        <f t="shared" si="25"/>
        <v>272158.95667808887</v>
      </c>
      <c r="U819" s="26">
        <f t="shared" si="24"/>
        <v>272008.06667808886</v>
      </c>
    </row>
    <row r="820" spans="19:21" ht="14.65" thickBot="1" x14ac:dyDescent="0.5">
      <c r="S820" s="37">
        <f t="shared" si="25"/>
        <v>274880.54624486977</v>
      </c>
      <c r="U820" s="26">
        <f t="shared" si="24"/>
        <v>274729.65624486975</v>
      </c>
    </row>
    <row r="821" spans="19:21" ht="14.65" thickBot="1" x14ac:dyDescent="0.5">
      <c r="S821" s="37">
        <f t="shared" si="25"/>
        <v>277629.35170731845</v>
      </c>
      <c r="U821" s="26">
        <f t="shared" si="24"/>
        <v>277478.46170731843</v>
      </c>
    </row>
    <row r="822" spans="19:21" ht="14.65" thickBot="1" x14ac:dyDescent="0.5">
      <c r="S822" s="37">
        <f t="shared" si="25"/>
        <v>280405.64522439166</v>
      </c>
      <c r="U822" s="26">
        <f t="shared" si="24"/>
        <v>280254.75522439164</v>
      </c>
    </row>
    <row r="823" spans="19:21" ht="14.65" thickBot="1" x14ac:dyDescent="0.5">
      <c r="S823" s="37">
        <f t="shared" si="25"/>
        <v>283209.7016766356</v>
      </c>
      <c r="U823" s="26">
        <f t="shared" si="24"/>
        <v>283058.81167663558</v>
      </c>
    </row>
    <row r="824" spans="19:21" ht="14.65" thickBot="1" x14ac:dyDescent="0.5">
      <c r="S824" s="37">
        <f t="shared" si="25"/>
        <v>286041.79869340197</v>
      </c>
      <c r="U824" s="26">
        <f t="shared" si="24"/>
        <v>285890.90869340196</v>
      </c>
    </row>
    <row r="825" spans="19:21" ht="14.65" thickBot="1" x14ac:dyDescent="0.5">
      <c r="S825" s="37">
        <f t="shared" si="25"/>
        <v>288902.21668033599</v>
      </c>
      <c r="U825" s="26">
        <f t="shared" si="24"/>
        <v>288751.32668033597</v>
      </c>
    </row>
    <row r="826" spans="19:21" ht="14.65" thickBot="1" x14ac:dyDescent="0.5">
      <c r="S826" s="37">
        <f t="shared" si="25"/>
        <v>291791.23884713935</v>
      </c>
      <c r="U826" s="26">
        <f t="shared" si="24"/>
        <v>291640.34884713934</v>
      </c>
    </row>
    <row r="827" spans="19:21" ht="14.65" thickBot="1" x14ac:dyDescent="0.5">
      <c r="S827" s="37">
        <f t="shared" si="25"/>
        <v>294709.15123561077</v>
      </c>
      <c r="U827" s="26">
        <f t="shared" si="24"/>
        <v>294558.26123561076</v>
      </c>
    </row>
    <row r="828" spans="19:21" ht="14.65" thickBot="1" x14ac:dyDescent="0.5">
      <c r="S828" s="37">
        <f t="shared" si="25"/>
        <v>297656.2427479669</v>
      </c>
      <c r="U828" s="26">
        <f t="shared" si="24"/>
        <v>297505.35274796688</v>
      </c>
    </row>
    <row r="829" spans="19:21" ht="14.65" thickBot="1" x14ac:dyDescent="0.5">
      <c r="S829" s="37">
        <f t="shared" si="25"/>
        <v>300632.80517544656</v>
      </c>
      <c r="U829" s="26">
        <f t="shared" si="24"/>
        <v>300481.91517544654</v>
      </c>
    </row>
    <row r="830" spans="19:21" ht="14.65" thickBot="1" x14ac:dyDescent="0.5">
      <c r="S830" s="37">
        <f t="shared" si="25"/>
        <v>303639.133227201</v>
      </c>
      <c r="U830" s="26">
        <f t="shared" si="24"/>
        <v>303488.24322720099</v>
      </c>
    </row>
    <row r="831" spans="19:21" ht="14.65" thickBot="1" x14ac:dyDescent="0.5">
      <c r="S831" s="37">
        <f t="shared" si="25"/>
        <v>306675.52455947304</v>
      </c>
      <c r="U831" s="26">
        <f t="shared" si="24"/>
        <v>306524.63455947302</v>
      </c>
    </row>
    <row r="832" spans="19:21" ht="14.65" thickBot="1" x14ac:dyDescent="0.5">
      <c r="S832" s="37">
        <f t="shared" si="25"/>
        <v>309742.27980506775</v>
      </c>
      <c r="U832" s="26">
        <f t="shared" si="24"/>
        <v>309591.38980506774</v>
      </c>
    </row>
    <row r="833" spans="19:21" ht="14.65" thickBot="1" x14ac:dyDescent="0.5">
      <c r="S833" s="37">
        <f t="shared" si="25"/>
        <v>312839.70260311844</v>
      </c>
      <c r="U833" s="26">
        <f t="shared" si="24"/>
        <v>312688.81260311842</v>
      </c>
    </row>
    <row r="834" spans="19:21" ht="14.65" thickBot="1" x14ac:dyDescent="0.5">
      <c r="S834" s="37">
        <f t="shared" si="25"/>
        <v>315968.0996291496</v>
      </c>
      <c r="U834" s="26">
        <f t="shared" si="24"/>
        <v>315817.20962914958</v>
      </c>
    </row>
    <row r="835" spans="19:21" ht="14.65" thickBot="1" x14ac:dyDescent="0.5">
      <c r="S835" s="37">
        <f t="shared" si="25"/>
        <v>319127.78062544111</v>
      </c>
      <c r="U835" s="26">
        <f t="shared" si="24"/>
        <v>318976.8906254411</v>
      </c>
    </row>
    <row r="836" spans="19:21" ht="14.65" thickBot="1" x14ac:dyDescent="0.5">
      <c r="S836" s="37">
        <f t="shared" si="25"/>
        <v>322319.05843169551</v>
      </c>
      <c r="U836" s="26">
        <f t="shared" si="24"/>
        <v>322168.16843169549</v>
      </c>
    </row>
    <row r="837" spans="19:21" ht="14.65" thickBot="1" x14ac:dyDescent="0.5">
      <c r="S837" s="37">
        <f t="shared" si="25"/>
        <v>325542.24901601247</v>
      </c>
      <c r="U837" s="26">
        <f t="shared" si="24"/>
        <v>325391.35901601246</v>
      </c>
    </row>
    <row r="838" spans="19:21" ht="14.65" thickBot="1" x14ac:dyDescent="0.5">
      <c r="S838" s="37">
        <f t="shared" si="25"/>
        <v>328797.67150617263</v>
      </c>
      <c r="U838" s="26">
        <f t="shared" si="24"/>
        <v>328646.78150617261</v>
      </c>
    </row>
    <row r="839" spans="19:21" ht="14.65" thickBot="1" x14ac:dyDescent="0.5">
      <c r="S839" s="37">
        <f t="shared" si="25"/>
        <v>332085.64822123438</v>
      </c>
      <c r="U839" s="26">
        <f t="shared" si="24"/>
        <v>331934.75822123437</v>
      </c>
    </row>
    <row r="840" spans="19:21" ht="14.65" thickBot="1" x14ac:dyDescent="0.5">
      <c r="S840" s="37">
        <f t="shared" si="25"/>
        <v>335406.50470344676</v>
      </c>
      <c r="U840" s="26">
        <f t="shared" si="24"/>
        <v>335255.61470344674</v>
      </c>
    </row>
    <row r="841" spans="19:21" ht="14.65" thickBot="1" x14ac:dyDescent="0.5">
      <c r="S841" s="37">
        <f t="shared" si="25"/>
        <v>338760.56975048123</v>
      </c>
      <c r="U841" s="26">
        <f t="shared" si="24"/>
        <v>338609.67975048121</v>
      </c>
    </row>
    <row r="842" spans="19:21" ht="14.65" thickBot="1" x14ac:dyDescent="0.5">
      <c r="S842" s="37">
        <f t="shared" si="25"/>
        <v>342148.17544798605</v>
      </c>
      <c r="U842" s="26">
        <f t="shared" si="24"/>
        <v>341997.28544798604</v>
      </c>
    </row>
    <row r="843" spans="19:21" ht="14.65" thickBot="1" x14ac:dyDescent="0.5">
      <c r="S843" s="37">
        <f t="shared" si="25"/>
        <v>345569.65720246593</v>
      </c>
      <c r="U843" s="26">
        <f t="shared" si="24"/>
        <v>345418.76720246591</v>
      </c>
    </row>
    <row r="844" spans="19:21" ht="14.65" thickBot="1" x14ac:dyDescent="0.5">
      <c r="S844" s="37">
        <f t="shared" si="25"/>
        <v>349025.35377449059</v>
      </c>
      <c r="U844" s="26">
        <f t="shared" si="24"/>
        <v>348874.46377449058</v>
      </c>
    </row>
    <row r="845" spans="19:21" ht="14.65" thickBot="1" x14ac:dyDescent="0.5">
      <c r="S845" s="37">
        <f t="shared" si="25"/>
        <v>352515.60731223552</v>
      </c>
      <c r="U845" s="26">
        <f t="shared" si="24"/>
        <v>352364.7173122355</v>
      </c>
    </row>
    <row r="846" spans="19:21" ht="14.65" thickBot="1" x14ac:dyDescent="0.5">
      <c r="S846" s="37">
        <f t="shared" si="25"/>
        <v>356040.76338535786</v>
      </c>
      <c r="U846" s="26">
        <f t="shared" si="24"/>
        <v>355889.87338535785</v>
      </c>
    </row>
    <row r="847" spans="19:21" ht="14.65" thickBot="1" x14ac:dyDescent="0.5">
      <c r="S847" s="37">
        <f t="shared" si="25"/>
        <v>359601.17101921147</v>
      </c>
      <c r="U847" s="26">
        <f t="shared" si="24"/>
        <v>359450.28101921146</v>
      </c>
    </row>
    <row r="848" spans="19:21" ht="14.65" thickBot="1" x14ac:dyDescent="0.5">
      <c r="S848" s="37">
        <f t="shared" si="25"/>
        <v>363197.1827294036</v>
      </c>
      <c r="U848" s="26">
        <f t="shared" si="24"/>
        <v>363046.29272940359</v>
      </c>
    </row>
    <row r="849" spans="19:21" ht="14.65" thickBot="1" x14ac:dyDescent="0.5">
      <c r="S849" s="37">
        <f t="shared" si="25"/>
        <v>366829.15455669764</v>
      </c>
      <c r="U849" s="26">
        <f t="shared" si="24"/>
        <v>366678.26455669763</v>
      </c>
    </row>
    <row r="850" spans="19:21" ht="14.65" thickBot="1" x14ac:dyDescent="0.5">
      <c r="S850" s="37">
        <f t="shared" si="25"/>
        <v>370497.44610226463</v>
      </c>
      <c r="U850" s="26">
        <f t="shared" si="24"/>
        <v>370346.55610226461</v>
      </c>
    </row>
    <row r="851" spans="19:21" ht="14.65" thickBot="1" x14ac:dyDescent="0.5">
      <c r="S851" s="37">
        <f t="shared" si="25"/>
        <v>374202.42056328728</v>
      </c>
      <c r="U851" s="26">
        <f t="shared" si="24"/>
        <v>374051.53056328726</v>
      </c>
    </row>
    <row r="852" spans="19:21" ht="14.65" thickBot="1" x14ac:dyDescent="0.5">
      <c r="S852" s="37">
        <f t="shared" si="25"/>
        <v>377944.44476892013</v>
      </c>
      <c r="U852" s="26">
        <f t="shared" ref="U852:U915" si="26">IF(S852&lt;$D$8,$D$8-S852-$D$9-$D$10,S852-$D$7-$D$9-$D$10)</f>
        <v>377793.55476892012</v>
      </c>
    </row>
    <row r="853" spans="19:21" ht="14.65" thickBot="1" x14ac:dyDescent="0.5">
      <c r="S853" s="37">
        <f t="shared" ref="S853:S916" si="27">S852*(1.01)</f>
        <v>381723.88921660936</v>
      </c>
      <c r="U853" s="26">
        <f t="shared" si="26"/>
        <v>381572.99921660934</v>
      </c>
    </row>
    <row r="854" spans="19:21" ht="14.65" thickBot="1" x14ac:dyDescent="0.5">
      <c r="S854" s="37">
        <f t="shared" si="27"/>
        <v>385541.12810877548</v>
      </c>
      <c r="U854" s="26">
        <f t="shared" si="26"/>
        <v>385390.23810877546</v>
      </c>
    </row>
    <row r="855" spans="19:21" ht="14.65" thickBot="1" x14ac:dyDescent="0.5">
      <c r="S855" s="37">
        <f t="shared" si="27"/>
        <v>389396.53938986326</v>
      </c>
      <c r="U855" s="26">
        <f t="shared" si="26"/>
        <v>389245.64938986325</v>
      </c>
    </row>
    <row r="856" spans="19:21" ht="14.65" thickBot="1" x14ac:dyDescent="0.5">
      <c r="S856" s="37">
        <f t="shared" si="27"/>
        <v>393290.50478376192</v>
      </c>
      <c r="U856" s="26">
        <f t="shared" si="26"/>
        <v>393139.61478376191</v>
      </c>
    </row>
    <row r="857" spans="19:21" ht="14.65" thickBot="1" x14ac:dyDescent="0.5">
      <c r="S857" s="37">
        <f t="shared" si="27"/>
        <v>397223.40983159957</v>
      </c>
      <c r="U857" s="26">
        <f t="shared" si="26"/>
        <v>397072.51983159955</v>
      </c>
    </row>
    <row r="858" spans="19:21" ht="14.65" thickBot="1" x14ac:dyDescent="0.5">
      <c r="S858" s="37">
        <f t="shared" si="27"/>
        <v>401195.64392991556</v>
      </c>
      <c r="U858" s="26">
        <f t="shared" si="26"/>
        <v>401044.75392991555</v>
      </c>
    </row>
    <row r="859" spans="19:21" ht="14.65" thickBot="1" x14ac:dyDescent="0.5">
      <c r="S859" s="37">
        <f t="shared" si="27"/>
        <v>405207.60036921472</v>
      </c>
      <c r="U859" s="26">
        <f t="shared" si="26"/>
        <v>405056.71036921471</v>
      </c>
    </row>
    <row r="860" spans="19:21" ht="14.65" thickBot="1" x14ac:dyDescent="0.5">
      <c r="S860" s="37">
        <f t="shared" si="27"/>
        <v>409259.67637290689</v>
      </c>
      <c r="U860" s="26">
        <f t="shared" si="26"/>
        <v>409108.78637290688</v>
      </c>
    </row>
    <row r="861" spans="19:21" ht="14.65" thickBot="1" x14ac:dyDescent="0.5">
      <c r="S861" s="37">
        <f t="shared" si="27"/>
        <v>413352.27313663595</v>
      </c>
      <c r="U861" s="26">
        <f t="shared" si="26"/>
        <v>413201.38313663594</v>
      </c>
    </row>
    <row r="862" spans="19:21" ht="14.65" thickBot="1" x14ac:dyDescent="0.5">
      <c r="S862" s="37">
        <f t="shared" si="27"/>
        <v>417485.79586800229</v>
      </c>
      <c r="U862" s="26">
        <f t="shared" si="26"/>
        <v>417334.90586800227</v>
      </c>
    </row>
    <row r="863" spans="19:21" ht="14.65" thickBot="1" x14ac:dyDescent="0.5">
      <c r="S863" s="37">
        <f t="shared" si="27"/>
        <v>421660.6538266823</v>
      </c>
      <c r="U863" s="26">
        <f t="shared" si="26"/>
        <v>421509.76382668229</v>
      </c>
    </row>
    <row r="864" spans="19:21" ht="14.65" thickBot="1" x14ac:dyDescent="0.5">
      <c r="S864" s="37">
        <f t="shared" si="27"/>
        <v>425877.26036494912</v>
      </c>
      <c r="U864" s="26">
        <f t="shared" si="26"/>
        <v>425726.37036494911</v>
      </c>
    </row>
    <row r="865" spans="19:21" ht="14.65" thickBot="1" x14ac:dyDescent="0.5">
      <c r="S865" s="37">
        <f t="shared" si="27"/>
        <v>430136.03296859859</v>
      </c>
      <c r="U865" s="26">
        <f t="shared" si="26"/>
        <v>429985.14296859858</v>
      </c>
    </row>
    <row r="866" spans="19:21" ht="14.65" thickBot="1" x14ac:dyDescent="0.5">
      <c r="S866" s="37">
        <f t="shared" si="27"/>
        <v>434437.39329828456</v>
      </c>
      <c r="U866" s="26">
        <f t="shared" si="26"/>
        <v>434286.50329828454</v>
      </c>
    </row>
    <row r="867" spans="19:21" ht="14.65" thickBot="1" x14ac:dyDescent="0.5">
      <c r="S867" s="37">
        <f t="shared" si="27"/>
        <v>438781.76723126741</v>
      </c>
      <c r="U867" s="26">
        <f t="shared" si="26"/>
        <v>438630.8772312674</v>
      </c>
    </row>
    <row r="868" spans="19:21" ht="14.65" thickBot="1" x14ac:dyDescent="0.5">
      <c r="S868" s="37">
        <f t="shared" si="27"/>
        <v>443169.58490358008</v>
      </c>
      <c r="U868" s="26">
        <f t="shared" si="26"/>
        <v>443018.69490358006</v>
      </c>
    </row>
    <row r="869" spans="19:21" ht="14.65" thickBot="1" x14ac:dyDescent="0.5">
      <c r="S869" s="37">
        <f t="shared" si="27"/>
        <v>447601.28075261589</v>
      </c>
      <c r="U869" s="26">
        <f t="shared" si="26"/>
        <v>447450.39075261587</v>
      </c>
    </row>
    <row r="870" spans="19:21" ht="14.65" thickBot="1" x14ac:dyDescent="0.5">
      <c r="S870" s="37">
        <f t="shared" si="27"/>
        <v>452077.29356014205</v>
      </c>
      <c r="U870" s="26">
        <f t="shared" si="26"/>
        <v>451926.40356014203</v>
      </c>
    </row>
    <row r="871" spans="19:21" ht="14.65" thickBot="1" x14ac:dyDescent="0.5">
      <c r="S871" s="37">
        <f t="shared" si="27"/>
        <v>456598.06649574346</v>
      </c>
      <c r="U871" s="26">
        <f t="shared" si="26"/>
        <v>456447.17649574345</v>
      </c>
    </row>
    <row r="872" spans="19:21" ht="14.65" thickBot="1" x14ac:dyDescent="0.5">
      <c r="S872" s="37">
        <f t="shared" si="27"/>
        <v>461164.04716070089</v>
      </c>
      <c r="U872" s="26">
        <f t="shared" si="26"/>
        <v>461013.15716070088</v>
      </c>
    </row>
    <row r="873" spans="19:21" ht="14.65" thickBot="1" x14ac:dyDescent="0.5">
      <c r="S873" s="37">
        <f t="shared" si="27"/>
        <v>465775.68763230793</v>
      </c>
      <c r="U873" s="26">
        <f t="shared" si="26"/>
        <v>465624.79763230792</v>
      </c>
    </row>
    <row r="874" spans="19:21" ht="14.65" thickBot="1" x14ac:dyDescent="0.5">
      <c r="S874" s="37">
        <f t="shared" si="27"/>
        <v>470433.44450863102</v>
      </c>
      <c r="U874" s="26">
        <f t="shared" si="26"/>
        <v>470282.554508631</v>
      </c>
    </row>
    <row r="875" spans="19:21" ht="14.65" thickBot="1" x14ac:dyDescent="0.5">
      <c r="S875" s="37">
        <f t="shared" si="27"/>
        <v>475137.77895371732</v>
      </c>
      <c r="U875" s="26">
        <f t="shared" si="26"/>
        <v>474986.88895371731</v>
      </c>
    </row>
    <row r="876" spans="19:21" ht="14.65" thickBot="1" x14ac:dyDescent="0.5">
      <c r="S876" s="37">
        <f t="shared" si="27"/>
        <v>479889.15674325451</v>
      </c>
      <c r="U876" s="26">
        <f t="shared" si="26"/>
        <v>479738.2667432545</v>
      </c>
    </row>
    <row r="877" spans="19:21" ht="14.65" thickBot="1" x14ac:dyDescent="0.5">
      <c r="S877" s="37">
        <f t="shared" si="27"/>
        <v>484688.04831068707</v>
      </c>
      <c r="U877" s="26">
        <f t="shared" si="26"/>
        <v>484537.15831068705</v>
      </c>
    </row>
    <row r="878" spans="19:21" ht="14.65" thickBot="1" x14ac:dyDescent="0.5">
      <c r="S878" s="37">
        <f t="shared" si="27"/>
        <v>489534.92879379395</v>
      </c>
      <c r="U878" s="26">
        <f t="shared" si="26"/>
        <v>489384.03879379394</v>
      </c>
    </row>
    <row r="879" spans="19:21" ht="14.65" thickBot="1" x14ac:dyDescent="0.5">
      <c r="S879" s="37">
        <f t="shared" si="27"/>
        <v>494430.27808173187</v>
      </c>
      <c r="U879" s="26">
        <f t="shared" si="26"/>
        <v>494279.38808173186</v>
      </c>
    </row>
    <row r="880" spans="19:21" ht="14.65" thickBot="1" x14ac:dyDescent="0.5">
      <c r="S880" s="37">
        <f t="shared" si="27"/>
        <v>499374.58086254919</v>
      </c>
      <c r="U880" s="26">
        <f t="shared" si="26"/>
        <v>499223.69086254918</v>
      </c>
    </row>
    <row r="881" spans="19:21" ht="14.65" thickBot="1" x14ac:dyDescent="0.5">
      <c r="S881" s="37">
        <f t="shared" si="27"/>
        <v>504368.32667117467</v>
      </c>
      <c r="U881" s="26">
        <f t="shared" si="26"/>
        <v>504217.43667117466</v>
      </c>
    </row>
    <row r="882" spans="19:21" ht="14.65" thickBot="1" x14ac:dyDescent="0.5">
      <c r="S882" s="37">
        <f t="shared" si="27"/>
        <v>509412.00993788644</v>
      </c>
      <c r="U882" s="26">
        <f t="shared" si="26"/>
        <v>509261.11993788643</v>
      </c>
    </row>
    <row r="883" spans="19:21" ht="14.65" thickBot="1" x14ac:dyDescent="0.5">
      <c r="S883" s="37">
        <f t="shared" si="27"/>
        <v>514506.13003726531</v>
      </c>
      <c r="U883" s="26">
        <f t="shared" si="26"/>
        <v>514355.24003726529</v>
      </c>
    </row>
    <row r="884" spans="19:21" ht="14.65" thickBot="1" x14ac:dyDescent="0.5">
      <c r="S884" s="37">
        <f t="shared" si="27"/>
        <v>519651.19133763795</v>
      </c>
      <c r="U884" s="26">
        <f t="shared" si="26"/>
        <v>519500.30133763794</v>
      </c>
    </row>
    <row r="885" spans="19:21" ht="14.65" thickBot="1" x14ac:dyDescent="0.5">
      <c r="S885" s="37">
        <f t="shared" si="27"/>
        <v>524847.70325101435</v>
      </c>
      <c r="U885" s="26">
        <f t="shared" si="26"/>
        <v>524696.81325101433</v>
      </c>
    </row>
    <row r="886" spans="19:21" ht="14.65" thickBot="1" x14ac:dyDescent="0.5">
      <c r="S886" s="37">
        <f t="shared" si="27"/>
        <v>530096.18028352445</v>
      </c>
      <c r="U886" s="26">
        <f t="shared" si="26"/>
        <v>529945.29028352443</v>
      </c>
    </row>
    <row r="887" spans="19:21" ht="14.65" thickBot="1" x14ac:dyDescent="0.5">
      <c r="S887" s="37">
        <f t="shared" si="27"/>
        <v>535397.14208635967</v>
      </c>
      <c r="U887" s="26">
        <f t="shared" si="26"/>
        <v>535246.25208635966</v>
      </c>
    </row>
    <row r="888" spans="19:21" ht="14.65" thickBot="1" x14ac:dyDescent="0.5">
      <c r="S888" s="37">
        <f t="shared" si="27"/>
        <v>540751.11350722332</v>
      </c>
      <c r="U888" s="26">
        <f t="shared" si="26"/>
        <v>540600.2235072233</v>
      </c>
    </row>
    <row r="889" spans="19:21" ht="14.65" thickBot="1" x14ac:dyDescent="0.5">
      <c r="S889" s="37">
        <f t="shared" si="27"/>
        <v>546158.62464229553</v>
      </c>
      <c r="U889" s="26">
        <f t="shared" si="26"/>
        <v>546007.73464229552</v>
      </c>
    </row>
    <row r="890" spans="19:21" ht="14.65" thickBot="1" x14ac:dyDescent="0.5">
      <c r="S890" s="37">
        <f t="shared" si="27"/>
        <v>551620.21088871849</v>
      </c>
      <c r="U890" s="26">
        <f t="shared" si="26"/>
        <v>551469.32088871847</v>
      </c>
    </row>
    <row r="891" spans="19:21" ht="14.65" thickBot="1" x14ac:dyDescent="0.5">
      <c r="S891" s="37">
        <f t="shared" si="27"/>
        <v>557136.41299760563</v>
      </c>
      <c r="U891" s="26">
        <f t="shared" si="26"/>
        <v>556985.52299760561</v>
      </c>
    </row>
    <row r="892" spans="19:21" ht="14.65" thickBot="1" x14ac:dyDescent="0.5">
      <c r="S892" s="37">
        <f t="shared" si="27"/>
        <v>562707.77712758165</v>
      </c>
      <c r="U892" s="26">
        <f t="shared" si="26"/>
        <v>562556.88712758163</v>
      </c>
    </row>
    <row r="893" spans="19:21" ht="14.65" thickBot="1" x14ac:dyDescent="0.5">
      <c r="S893" s="37">
        <f t="shared" si="27"/>
        <v>568334.85489885742</v>
      </c>
      <c r="U893" s="26">
        <f t="shared" si="26"/>
        <v>568183.9648988574</v>
      </c>
    </row>
    <row r="894" spans="19:21" ht="14.65" thickBot="1" x14ac:dyDescent="0.5">
      <c r="S894" s="37">
        <f t="shared" si="27"/>
        <v>574018.203447846</v>
      </c>
      <c r="U894" s="26">
        <f t="shared" si="26"/>
        <v>573867.31344784598</v>
      </c>
    </row>
    <row r="895" spans="19:21" ht="14.65" thickBot="1" x14ac:dyDescent="0.5">
      <c r="S895" s="37">
        <f t="shared" si="27"/>
        <v>579758.38548232452</v>
      </c>
      <c r="U895" s="26">
        <f t="shared" si="26"/>
        <v>579607.49548232451</v>
      </c>
    </row>
    <row r="896" spans="19:21" ht="14.65" thickBot="1" x14ac:dyDescent="0.5">
      <c r="S896" s="37">
        <f t="shared" si="27"/>
        <v>585555.96933714778</v>
      </c>
      <c r="U896" s="26">
        <f t="shared" si="26"/>
        <v>585405.07933714776</v>
      </c>
    </row>
    <row r="897" spans="19:21" ht="14.65" thickBot="1" x14ac:dyDescent="0.5">
      <c r="S897" s="37">
        <f t="shared" si="27"/>
        <v>591411.5290305193</v>
      </c>
      <c r="U897" s="26">
        <f t="shared" si="26"/>
        <v>591260.63903051929</v>
      </c>
    </row>
    <row r="898" spans="19:21" ht="14.65" thickBot="1" x14ac:dyDescent="0.5">
      <c r="S898" s="37">
        <f t="shared" si="27"/>
        <v>597325.64432082453</v>
      </c>
      <c r="U898" s="26">
        <f t="shared" si="26"/>
        <v>597174.75432082452</v>
      </c>
    </row>
    <row r="899" spans="19:21" ht="14.65" thickBot="1" x14ac:dyDescent="0.5">
      <c r="S899" s="37">
        <f t="shared" si="27"/>
        <v>603298.90076403273</v>
      </c>
      <c r="U899" s="26">
        <f t="shared" si="26"/>
        <v>603148.01076403272</v>
      </c>
    </row>
    <row r="900" spans="19:21" ht="14.65" thickBot="1" x14ac:dyDescent="0.5">
      <c r="S900" s="37">
        <f t="shared" si="27"/>
        <v>609331.88977167301</v>
      </c>
      <c r="U900" s="26">
        <f t="shared" si="26"/>
        <v>609180.999771673</v>
      </c>
    </row>
    <row r="901" spans="19:21" ht="14.65" thickBot="1" x14ac:dyDescent="0.5">
      <c r="S901" s="37">
        <f t="shared" si="27"/>
        <v>615425.20866938971</v>
      </c>
      <c r="U901" s="26">
        <f t="shared" si="26"/>
        <v>615274.3186693897</v>
      </c>
    </row>
    <row r="902" spans="19:21" ht="14.65" thickBot="1" x14ac:dyDescent="0.5">
      <c r="S902" s="37">
        <f t="shared" si="27"/>
        <v>621579.4607560836</v>
      </c>
      <c r="U902" s="26">
        <f t="shared" si="26"/>
        <v>621428.57075608359</v>
      </c>
    </row>
    <row r="903" spans="19:21" ht="14.65" thickBot="1" x14ac:dyDescent="0.5">
      <c r="S903" s="37">
        <f t="shared" si="27"/>
        <v>627795.25536364445</v>
      </c>
      <c r="U903" s="26">
        <f t="shared" si="26"/>
        <v>627644.36536364444</v>
      </c>
    </row>
    <row r="904" spans="19:21" ht="14.65" thickBot="1" x14ac:dyDescent="0.5">
      <c r="S904" s="37">
        <f t="shared" si="27"/>
        <v>634073.20791728084</v>
      </c>
      <c r="U904" s="26">
        <f t="shared" si="26"/>
        <v>633922.31791728083</v>
      </c>
    </row>
    <row r="905" spans="19:21" ht="14.65" thickBot="1" x14ac:dyDescent="0.5">
      <c r="S905" s="37">
        <f t="shared" si="27"/>
        <v>640413.9399964537</v>
      </c>
      <c r="U905" s="26">
        <f t="shared" si="26"/>
        <v>640263.04999645369</v>
      </c>
    </row>
    <row r="906" spans="19:21" ht="14.65" thickBot="1" x14ac:dyDescent="0.5">
      <c r="S906" s="37">
        <f t="shared" si="27"/>
        <v>646818.0793964183</v>
      </c>
      <c r="U906" s="26">
        <f t="shared" si="26"/>
        <v>646667.18939641828</v>
      </c>
    </row>
    <row r="907" spans="19:21" ht="14.65" thickBot="1" x14ac:dyDescent="0.5">
      <c r="S907" s="37">
        <f t="shared" si="27"/>
        <v>653286.26019038248</v>
      </c>
      <c r="U907" s="26">
        <f t="shared" si="26"/>
        <v>653135.37019038247</v>
      </c>
    </row>
    <row r="908" spans="19:21" ht="14.65" thickBot="1" x14ac:dyDescent="0.5">
      <c r="S908" s="37">
        <f t="shared" si="27"/>
        <v>659819.12279228633</v>
      </c>
      <c r="U908" s="26">
        <f t="shared" si="26"/>
        <v>659668.23279228632</v>
      </c>
    </row>
    <row r="909" spans="19:21" ht="14.65" thickBot="1" x14ac:dyDescent="0.5">
      <c r="S909" s="37">
        <f t="shared" si="27"/>
        <v>666417.31402020925</v>
      </c>
      <c r="U909" s="26">
        <f t="shared" si="26"/>
        <v>666266.42402020923</v>
      </c>
    </row>
    <row r="910" spans="19:21" ht="14.65" thickBot="1" x14ac:dyDescent="0.5">
      <c r="S910" s="37">
        <f t="shared" si="27"/>
        <v>673081.48716041131</v>
      </c>
      <c r="U910" s="26">
        <f t="shared" si="26"/>
        <v>672930.5971604113</v>
      </c>
    </row>
    <row r="911" spans="19:21" ht="14.65" thickBot="1" x14ac:dyDescent="0.5">
      <c r="S911" s="37">
        <f t="shared" si="27"/>
        <v>679812.3020320154</v>
      </c>
      <c r="U911" s="26">
        <f t="shared" si="26"/>
        <v>679661.41203201539</v>
      </c>
    </row>
    <row r="912" spans="19:21" ht="14.65" thickBot="1" x14ac:dyDescent="0.5">
      <c r="S912" s="37">
        <f t="shared" si="27"/>
        <v>686610.4250523356</v>
      </c>
      <c r="U912" s="26">
        <f t="shared" si="26"/>
        <v>686459.53505233559</v>
      </c>
    </row>
    <row r="913" spans="19:21" ht="14.65" thickBot="1" x14ac:dyDescent="0.5">
      <c r="S913" s="37">
        <f t="shared" si="27"/>
        <v>693476.52930285898</v>
      </c>
      <c r="U913" s="26">
        <f t="shared" si="26"/>
        <v>693325.63930285897</v>
      </c>
    </row>
    <row r="914" spans="19:21" ht="14.65" thickBot="1" x14ac:dyDescent="0.5">
      <c r="S914" s="37">
        <f t="shared" si="27"/>
        <v>700411.29459588754</v>
      </c>
      <c r="U914" s="26">
        <f t="shared" si="26"/>
        <v>700260.40459588752</v>
      </c>
    </row>
    <row r="915" spans="19:21" ht="14.65" thickBot="1" x14ac:dyDescent="0.5">
      <c r="S915" s="37">
        <f t="shared" si="27"/>
        <v>707415.40754184639</v>
      </c>
      <c r="U915" s="26">
        <f t="shared" si="26"/>
        <v>707264.51754184638</v>
      </c>
    </row>
    <row r="916" spans="19:21" ht="14.65" thickBot="1" x14ac:dyDescent="0.5">
      <c r="S916" s="37">
        <f t="shared" si="27"/>
        <v>714489.56161726487</v>
      </c>
      <c r="U916" s="26">
        <f t="shared" ref="U916:U979" si="28">IF(S916&lt;$D$8,$D$8-S916-$D$9-$D$10,S916-$D$7-$D$9-$D$10)</f>
        <v>714338.67161726486</v>
      </c>
    </row>
    <row r="917" spans="19:21" ht="14.65" thickBot="1" x14ac:dyDescent="0.5">
      <c r="S917" s="37">
        <f t="shared" ref="S917:S980" si="29">S916*(1.01)</f>
        <v>721634.45723343757</v>
      </c>
      <c r="U917" s="26">
        <f t="shared" si="28"/>
        <v>721483.56723343756</v>
      </c>
    </row>
    <row r="918" spans="19:21" ht="14.65" thickBot="1" x14ac:dyDescent="0.5">
      <c r="S918" s="37">
        <f t="shared" si="29"/>
        <v>728850.801805772</v>
      </c>
      <c r="U918" s="26">
        <f t="shared" si="28"/>
        <v>728699.91180577199</v>
      </c>
    </row>
    <row r="919" spans="19:21" ht="14.65" thickBot="1" x14ac:dyDescent="0.5">
      <c r="S919" s="37">
        <f t="shared" si="29"/>
        <v>736139.30982382968</v>
      </c>
      <c r="U919" s="26">
        <f t="shared" si="28"/>
        <v>735988.41982382967</v>
      </c>
    </row>
    <row r="920" spans="19:21" ht="14.65" thickBot="1" x14ac:dyDescent="0.5">
      <c r="S920" s="37">
        <f t="shared" si="29"/>
        <v>743500.70292206795</v>
      </c>
      <c r="U920" s="26">
        <f t="shared" si="28"/>
        <v>743349.81292206794</v>
      </c>
    </row>
    <row r="921" spans="19:21" ht="14.65" thickBot="1" x14ac:dyDescent="0.5">
      <c r="S921" s="37">
        <f t="shared" si="29"/>
        <v>750935.70995128865</v>
      </c>
      <c r="U921" s="26">
        <f t="shared" si="28"/>
        <v>750784.81995128863</v>
      </c>
    </row>
    <row r="922" spans="19:21" ht="14.65" thickBot="1" x14ac:dyDescent="0.5">
      <c r="S922" s="37">
        <f t="shared" si="29"/>
        <v>758445.06705080159</v>
      </c>
      <c r="U922" s="26">
        <f t="shared" si="28"/>
        <v>758294.17705080158</v>
      </c>
    </row>
    <row r="923" spans="19:21" ht="14.65" thickBot="1" x14ac:dyDescent="0.5">
      <c r="S923" s="37">
        <f t="shared" si="29"/>
        <v>766029.51772130956</v>
      </c>
      <c r="U923" s="26">
        <f t="shared" si="28"/>
        <v>765878.62772130955</v>
      </c>
    </row>
    <row r="924" spans="19:21" ht="14.65" thickBot="1" x14ac:dyDescent="0.5">
      <c r="S924" s="37">
        <f t="shared" si="29"/>
        <v>773689.81289852271</v>
      </c>
      <c r="U924" s="26">
        <f t="shared" si="28"/>
        <v>773538.92289852269</v>
      </c>
    </row>
    <row r="925" spans="19:21" ht="14.65" thickBot="1" x14ac:dyDescent="0.5">
      <c r="S925" s="37">
        <f t="shared" si="29"/>
        <v>781426.7110275079</v>
      </c>
      <c r="U925" s="26">
        <f t="shared" si="28"/>
        <v>781275.82102750789</v>
      </c>
    </row>
    <row r="926" spans="19:21" ht="14.65" thickBot="1" x14ac:dyDescent="0.5">
      <c r="S926" s="37">
        <f t="shared" si="29"/>
        <v>789240.97813778301</v>
      </c>
      <c r="U926" s="26">
        <f t="shared" si="28"/>
        <v>789090.08813778299</v>
      </c>
    </row>
    <row r="927" spans="19:21" ht="14.65" thickBot="1" x14ac:dyDescent="0.5">
      <c r="S927" s="37">
        <f t="shared" si="29"/>
        <v>797133.38791916089</v>
      </c>
      <c r="U927" s="26">
        <f t="shared" si="28"/>
        <v>796982.49791916087</v>
      </c>
    </row>
    <row r="928" spans="19:21" ht="14.65" thickBot="1" x14ac:dyDescent="0.5">
      <c r="S928" s="37">
        <f t="shared" si="29"/>
        <v>805104.72179835255</v>
      </c>
      <c r="U928" s="26">
        <f t="shared" si="28"/>
        <v>804953.83179835253</v>
      </c>
    </row>
    <row r="929" spans="19:21" ht="14.65" thickBot="1" x14ac:dyDescent="0.5">
      <c r="S929" s="37">
        <f t="shared" si="29"/>
        <v>813155.76901633607</v>
      </c>
      <c r="U929" s="26">
        <f t="shared" si="28"/>
        <v>813004.87901633605</v>
      </c>
    </row>
    <row r="930" spans="19:21" ht="14.65" thickBot="1" x14ac:dyDescent="0.5">
      <c r="S930" s="37">
        <f t="shared" si="29"/>
        <v>821287.32670649944</v>
      </c>
      <c r="U930" s="26">
        <f t="shared" si="28"/>
        <v>821136.43670649943</v>
      </c>
    </row>
    <row r="931" spans="19:21" ht="14.65" thickBot="1" x14ac:dyDescent="0.5">
      <c r="S931" s="37">
        <f t="shared" si="29"/>
        <v>829500.19997356448</v>
      </c>
      <c r="U931" s="26">
        <f t="shared" si="28"/>
        <v>829349.30997356446</v>
      </c>
    </row>
    <row r="932" spans="19:21" ht="14.65" thickBot="1" x14ac:dyDescent="0.5">
      <c r="S932" s="37">
        <f t="shared" si="29"/>
        <v>837795.20197330008</v>
      </c>
      <c r="U932" s="26">
        <f t="shared" si="28"/>
        <v>837644.31197330006</v>
      </c>
    </row>
    <row r="933" spans="19:21" ht="14.65" thickBot="1" x14ac:dyDescent="0.5">
      <c r="S933" s="37">
        <f t="shared" si="29"/>
        <v>846173.15399303311</v>
      </c>
      <c r="U933" s="26">
        <f t="shared" si="28"/>
        <v>846022.26399303309</v>
      </c>
    </row>
    <row r="934" spans="19:21" ht="14.65" thickBot="1" x14ac:dyDescent="0.5">
      <c r="S934" s="37">
        <f t="shared" si="29"/>
        <v>854634.88553296344</v>
      </c>
      <c r="U934" s="26">
        <f t="shared" si="28"/>
        <v>854483.99553296342</v>
      </c>
    </row>
    <row r="935" spans="19:21" ht="14.65" thickBot="1" x14ac:dyDescent="0.5">
      <c r="S935" s="37">
        <f t="shared" si="29"/>
        <v>863181.23438829312</v>
      </c>
      <c r="U935" s="26">
        <f t="shared" si="28"/>
        <v>863030.3443882931</v>
      </c>
    </row>
    <row r="936" spans="19:21" ht="14.65" thickBot="1" x14ac:dyDescent="0.5">
      <c r="S936" s="37">
        <f t="shared" si="29"/>
        <v>871813.0467321761</v>
      </c>
      <c r="U936" s="26">
        <f t="shared" si="28"/>
        <v>871662.15673217608</v>
      </c>
    </row>
    <row r="937" spans="19:21" ht="14.65" thickBot="1" x14ac:dyDescent="0.5">
      <c r="S937" s="37">
        <f t="shared" si="29"/>
        <v>880531.17719949782</v>
      </c>
      <c r="U937" s="26">
        <f t="shared" si="28"/>
        <v>880380.2871994978</v>
      </c>
    </row>
    <row r="938" spans="19:21" ht="14.65" thickBot="1" x14ac:dyDescent="0.5">
      <c r="S938" s="37">
        <f t="shared" si="29"/>
        <v>889336.48897149286</v>
      </c>
      <c r="U938" s="26">
        <f t="shared" si="28"/>
        <v>889185.59897149284</v>
      </c>
    </row>
    <row r="939" spans="19:21" ht="14.65" thickBot="1" x14ac:dyDescent="0.5">
      <c r="S939" s="37">
        <f t="shared" si="29"/>
        <v>898229.85386120784</v>
      </c>
      <c r="U939" s="26">
        <f t="shared" si="28"/>
        <v>898078.96386120783</v>
      </c>
    </row>
    <row r="940" spans="19:21" ht="14.65" thickBot="1" x14ac:dyDescent="0.5">
      <c r="S940" s="37">
        <f t="shared" si="29"/>
        <v>907212.15239981993</v>
      </c>
      <c r="U940" s="26">
        <f t="shared" si="28"/>
        <v>907061.26239981991</v>
      </c>
    </row>
    <row r="941" spans="19:21" ht="14.65" thickBot="1" x14ac:dyDescent="0.5">
      <c r="S941" s="37">
        <f t="shared" si="29"/>
        <v>916284.27392381814</v>
      </c>
      <c r="U941" s="26">
        <f t="shared" si="28"/>
        <v>916133.38392381812</v>
      </c>
    </row>
    <row r="942" spans="19:21" ht="14.65" thickBot="1" x14ac:dyDescent="0.5">
      <c r="S942" s="37">
        <f t="shared" si="29"/>
        <v>925447.11666305631</v>
      </c>
      <c r="U942" s="26">
        <f t="shared" si="28"/>
        <v>925296.2266630563</v>
      </c>
    </row>
    <row r="943" spans="19:21" ht="14.65" thickBot="1" x14ac:dyDescent="0.5">
      <c r="S943" s="37">
        <f t="shared" si="29"/>
        <v>934701.58782968693</v>
      </c>
      <c r="U943" s="26">
        <f t="shared" si="28"/>
        <v>934550.69782968692</v>
      </c>
    </row>
    <row r="944" spans="19:21" ht="14.65" thickBot="1" x14ac:dyDescent="0.5">
      <c r="S944" s="37">
        <f t="shared" si="29"/>
        <v>944048.60370798386</v>
      </c>
      <c r="U944" s="26">
        <f t="shared" si="28"/>
        <v>943897.71370798384</v>
      </c>
    </row>
    <row r="945" spans="19:21" ht="14.65" thickBot="1" x14ac:dyDescent="0.5">
      <c r="S945" s="37">
        <f t="shared" si="29"/>
        <v>953489.08974506368</v>
      </c>
      <c r="U945" s="26">
        <f t="shared" si="28"/>
        <v>953338.19974506367</v>
      </c>
    </row>
    <row r="946" spans="19:21" ht="14.65" thickBot="1" x14ac:dyDescent="0.5">
      <c r="S946" s="37">
        <f t="shared" si="29"/>
        <v>963023.9806425143</v>
      </c>
      <c r="U946" s="26">
        <f t="shared" si="28"/>
        <v>962873.09064251429</v>
      </c>
    </row>
    <row r="947" spans="19:21" ht="14.65" thickBot="1" x14ac:dyDescent="0.5">
      <c r="S947" s="37">
        <f t="shared" si="29"/>
        <v>972654.22044893948</v>
      </c>
      <c r="U947" s="26">
        <f t="shared" si="28"/>
        <v>972503.33044893946</v>
      </c>
    </row>
    <row r="948" spans="19:21" ht="14.65" thickBot="1" x14ac:dyDescent="0.5">
      <c r="S948" s="37">
        <f t="shared" si="29"/>
        <v>982380.76265342883</v>
      </c>
      <c r="U948" s="26">
        <f t="shared" si="28"/>
        <v>982229.87265342881</v>
      </c>
    </row>
    <row r="949" spans="19:21" ht="14.65" thickBot="1" x14ac:dyDescent="0.5">
      <c r="S949" s="37">
        <f t="shared" si="29"/>
        <v>992204.57027996308</v>
      </c>
      <c r="U949" s="26">
        <f t="shared" si="28"/>
        <v>992053.68027996307</v>
      </c>
    </row>
    <row r="950" spans="19:21" ht="14.65" thickBot="1" x14ac:dyDescent="0.5">
      <c r="S950" s="37">
        <f t="shared" si="29"/>
        <v>1002126.6159827628</v>
      </c>
      <c r="U950" s="26">
        <f t="shared" si="28"/>
        <v>1001975.7259827628</v>
      </c>
    </row>
    <row r="951" spans="19:21" ht="14.65" thickBot="1" x14ac:dyDescent="0.5">
      <c r="S951" s="37">
        <f t="shared" si="29"/>
        <v>1012147.8821425904</v>
      </c>
      <c r="U951" s="26">
        <f t="shared" si="28"/>
        <v>1011996.9921425903</v>
      </c>
    </row>
    <row r="952" spans="19:21" ht="14.65" thickBot="1" x14ac:dyDescent="0.5">
      <c r="S952" s="37">
        <f t="shared" si="29"/>
        <v>1022269.3609640163</v>
      </c>
      <c r="U952" s="26">
        <f t="shared" si="28"/>
        <v>1022118.4709640163</v>
      </c>
    </row>
    <row r="953" spans="19:21" ht="14.65" thickBot="1" x14ac:dyDescent="0.5">
      <c r="S953" s="37">
        <f t="shared" si="29"/>
        <v>1032492.0545736564</v>
      </c>
      <c r="U953" s="26">
        <f t="shared" si="28"/>
        <v>1032341.1645736564</v>
      </c>
    </row>
    <row r="954" spans="19:21" ht="14.65" thickBot="1" x14ac:dyDescent="0.5">
      <c r="S954" s="37">
        <f t="shared" si="29"/>
        <v>1042816.975119393</v>
      </c>
      <c r="U954" s="26">
        <f t="shared" si="28"/>
        <v>1042666.085119393</v>
      </c>
    </row>
    <row r="955" spans="19:21" ht="14.65" thickBot="1" x14ac:dyDescent="0.5">
      <c r="S955" s="37">
        <f t="shared" si="29"/>
        <v>1053245.1448705869</v>
      </c>
      <c r="U955" s="26">
        <f t="shared" si="28"/>
        <v>1053094.2548705868</v>
      </c>
    </row>
    <row r="956" spans="19:21" ht="14.65" thickBot="1" x14ac:dyDescent="0.5">
      <c r="S956" s="37">
        <f t="shared" si="29"/>
        <v>1063777.5963192929</v>
      </c>
      <c r="U956" s="26">
        <f t="shared" si="28"/>
        <v>1063626.7063192928</v>
      </c>
    </row>
    <row r="957" spans="19:21" ht="14.65" thickBot="1" x14ac:dyDescent="0.5">
      <c r="S957" s="37">
        <f t="shared" si="29"/>
        <v>1074415.3722824859</v>
      </c>
      <c r="U957" s="26">
        <f t="shared" si="28"/>
        <v>1074264.4822824858</v>
      </c>
    </row>
    <row r="958" spans="19:21" ht="14.65" thickBot="1" x14ac:dyDescent="0.5">
      <c r="S958" s="37">
        <f t="shared" si="29"/>
        <v>1085159.5260053107</v>
      </c>
      <c r="U958" s="26">
        <f t="shared" si="28"/>
        <v>1085008.6360053106</v>
      </c>
    </row>
    <row r="959" spans="19:21" ht="14.65" thickBot="1" x14ac:dyDescent="0.5">
      <c r="S959" s="37">
        <f t="shared" si="29"/>
        <v>1096011.1212653639</v>
      </c>
      <c r="U959" s="26">
        <f t="shared" si="28"/>
        <v>1095860.2312653637</v>
      </c>
    </row>
    <row r="960" spans="19:21" ht="14.65" thickBot="1" x14ac:dyDescent="0.5">
      <c r="S960" s="37">
        <f t="shared" si="29"/>
        <v>1106971.2324780175</v>
      </c>
      <c r="U960" s="26">
        <f t="shared" si="28"/>
        <v>1106820.3424780173</v>
      </c>
    </row>
    <row r="961" spans="19:21" ht="14.65" thickBot="1" x14ac:dyDescent="0.5">
      <c r="S961" s="37">
        <f t="shared" si="29"/>
        <v>1118040.9448027976</v>
      </c>
      <c r="U961" s="26">
        <f t="shared" si="28"/>
        <v>1117890.0548027975</v>
      </c>
    </row>
    <row r="962" spans="19:21" ht="14.65" thickBot="1" x14ac:dyDescent="0.5">
      <c r="S962" s="37">
        <f t="shared" si="29"/>
        <v>1129221.3542508257</v>
      </c>
      <c r="U962" s="26">
        <f t="shared" si="28"/>
        <v>1129070.4642508256</v>
      </c>
    </row>
    <row r="963" spans="19:21" ht="14.65" thickBot="1" x14ac:dyDescent="0.5">
      <c r="S963" s="37">
        <f t="shared" si="29"/>
        <v>1140513.5677933339</v>
      </c>
      <c r="U963" s="26">
        <f t="shared" si="28"/>
        <v>1140362.6777933338</v>
      </c>
    </row>
    <row r="964" spans="19:21" ht="14.65" thickBot="1" x14ac:dyDescent="0.5">
      <c r="S964" s="37">
        <f t="shared" si="29"/>
        <v>1151918.7034712674</v>
      </c>
      <c r="U964" s="26">
        <f t="shared" si="28"/>
        <v>1151767.8134712672</v>
      </c>
    </row>
    <row r="965" spans="19:21" ht="14.65" thickBot="1" x14ac:dyDescent="0.5">
      <c r="S965" s="37">
        <f t="shared" si="29"/>
        <v>1163437.89050598</v>
      </c>
      <c r="U965" s="26">
        <f t="shared" si="28"/>
        <v>1163287.0005059799</v>
      </c>
    </row>
    <row r="966" spans="19:21" ht="14.65" thickBot="1" x14ac:dyDescent="0.5">
      <c r="S966" s="37">
        <f t="shared" si="29"/>
        <v>1175072.2694110398</v>
      </c>
      <c r="U966" s="26">
        <f t="shared" si="28"/>
        <v>1174921.3794110396</v>
      </c>
    </row>
    <row r="967" spans="19:21" ht="14.65" thickBot="1" x14ac:dyDescent="0.5">
      <c r="S967" s="37">
        <f t="shared" si="29"/>
        <v>1186822.9921051501</v>
      </c>
      <c r="U967" s="26">
        <f t="shared" si="28"/>
        <v>1186672.10210515</v>
      </c>
    </row>
    <row r="968" spans="19:21" ht="14.65" thickBot="1" x14ac:dyDescent="0.5">
      <c r="S968" s="37">
        <f t="shared" si="29"/>
        <v>1198691.2220262017</v>
      </c>
      <c r="U968" s="26">
        <f t="shared" si="28"/>
        <v>1198540.3320262015</v>
      </c>
    </row>
    <row r="969" spans="19:21" ht="14.65" thickBot="1" x14ac:dyDescent="0.5">
      <c r="S969" s="37">
        <f t="shared" si="29"/>
        <v>1210678.1342464637</v>
      </c>
      <c r="U969" s="26">
        <f t="shared" si="28"/>
        <v>1210527.2442464635</v>
      </c>
    </row>
    <row r="970" spans="19:21" ht="14.65" thickBot="1" x14ac:dyDescent="0.5">
      <c r="S970" s="37">
        <f t="shared" si="29"/>
        <v>1222784.9155889284</v>
      </c>
      <c r="U970" s="26">
        <f t="shared" si="28"/>
        <v>1222634.0255889283</v>
      </c>
    </row>
    <row r="971" spans="19:21" ht="14.65" thickBot="1" x14ac:dyDescent="0.5">
      <c r="S971" s="37">
        <f t="shared" si="29"/>
        <v>1235012.7647448177</v>
      </c>
      <c r="U971" s="26">
        <f t="shared" si="28"/>
        <v>1234861.8747448176</v>
      </c>
    </row>
    <row r="972" spans="19:21" ht="14.65" thickBot="1" x14ac:dyDescent="0.5">
      <c r="S972" s="37">
        <f t="shared" si="29"/>
        <v>1247362.8923922658</v>
      </c>
      <c r="U972" s="26">
        <f t="shared" si="28"/>
        <v>1247212.0023922657</v>
      </c>
    </row>
    <row r="973" spans="19:21" ht="14.65" thickBot="1" x14ac:dyDescent="0.5">
      <c r="S973" s="37">
        <f t="shared" si="29"/>
        <v>1259836.5213161886</v>
      </c>
      <c r="U973" s="26">
        <f t="shared" si="28"/>
        <v>1259685.6313161885</v>
      </c>
    </row>
    <row r="974" spans="19:21" ht="14.65" thickBot="1" x14ac:dyDescent="0.5">
      <c r="S974" s="37">
        <f t="shared" si="29"/>
        <v>1272434.8865293504</v>
      </c>
      <c r="U974" s="26">
        <f t="shared" si="28"/>
        <v>1272283.9965293503</v>
      </c>
    </row>
    <row r="975" spans="19:21" ht="14.65" thickBot="1" x14ac:dyDescent="0.5">
      <c r="S975" s="37">
        <f t="shared" si="29"/>
        <v>1285159.2353946439</v>
      </c>
      <c r="U975" s="26">
        <f t="shared" si="28"/>
        <v>1285008.3453946437</v>
      </c>
    </row>
    <row r="976" spans="19:21" ht="14.65" thickBot="1" x14ac:dyDescent="0.5">
      <c r="S976" s="37">
        <f t="shared" si="29"/>
        <v>1298010.8277485904</v>
      </c>
      <c r="U976" s="26">
        <f t="shared" si="28"/>
        <v>1297859.9377485903</v>
      </c>
    </row>
    <row r="977" spans="19:21" ht="14.65" thickBot="1" x14ac:dyDescent="0.5">
      <c r="S977" s="37">
        <f t="shared" si="29"/>
        <v>1310990.9360260763</v>
      </c>
      <c r="U977" s="26">
        <f t="shared" si="28"/>
        <v>1310840.0460260762</v>
      </c>
    </row>
    <row r="978" spans="19:21" ht="14.65" thickBot="1" x14ac:dyDescent="0.5">
      <c r="S978" s="37">
        <f t="shared" si="29"/>
        <v>1324100.845386337</v>
      </c>
      <c r="U978" s="26">
        <f t="shared" si="28"/>
        <v>1323949.9553863369</v>
      </c>
    </row>
    <row r="979" spans="19:21" ht="14.65" thickBot="1" x14ac:dyDescent="0.5">
      <c r="S979" s="37">
        <f t="shared" si="29"/>
        <v>1337341.8538402005</v>
      </c>
      <c r="U979" s="26">
        <f t="shared" si="28"/>
        <v>1337190.9638402003</v>
      </c>
    </row>
    <row r="980" spans="19:21" ht="14.65" thickBot="1" x14ac:dyDescent="0.5">
      <c r="S980" s="37">
        <f t="shared" si="29"/>
        <v>1350715.2723786025</v>
      </c>
      <c r="U980" s="26">
        <f t="shared" ref="U980:U1034" si="30">IF(S980&lt;$D$8,$D$8-S980-$D$9-$D$10,S980-$D$7-$D$9-$D$10)</f>
        <v>1350564.3823786024</v>
      </c>
    </row>
    <row r="981" spans="19:21" ht="14.65" thickBot="1" x14ac:dyDescent="0.5">
      <c r="S981" s="37">
        <f t="shared" ref="S981:S1034" si="31">S980*(1.01)</f>
        <v>1364222.4251023885</v>
      </c>
      <c r="U981" s="26">
        <f t="shared" si="30"/>
        <v>1364071.5351023884</v>
      </c>
    </row>
    <row r="982" spans="19:21" ht="14.65" thickBot="1" x14ac:dyDescent="0.5">
      <c r="S982" s="37">
        <f t="shared" si="31"/>
        <v>1377864.6493534124</v>
      </c>
      <c r="U982" s="26">
        <f t="shared" si="30"/>
        <v>1377713.7593534123</v>
      </c>
    </row>
    <row r="983" spans="19:21" ht="14.65" thickBot="1" x14ac:dyDescent="0.5">
      <c r="S983" s="37">
        <f t="shared" si="31"/>
        <v>1391643.2958469465</v>
      </c>
      <c r="U983" s="26">
        <f t="shared" si="30"/>
        <v>1391492.4058469464</v>
      </c>
    </row>
    <row r="984" spans="19:21" ht="14.65" thickBot="1" x14ac:dyDescent="0.5">
      <c r="S984" s="37">
        <f t="shared" si="31"/>
        <v>1405559.728805416</v>
      </c>
      <c r="U984" s="26">
        <f t="shared" si="30"/>
        <v>1405408.8388054159</v>
      </c>
    </row>
    <row r="985" spans="19:21" ht="14.65" thickBot="1" x14ac:dyDescent="0.5">
      <c r="S985" s="37">
        <f t="shared" si="31"/>
        <v>1419615.3260934702</v>
      </c>
      <c r="U985" s="26">
        <f t="shared" si="30"/>
        <v>1419464.4360934701</v>
      </c>
    </row>
    <row r="986" spans="19:21" ht="14.65" thickBot="1" x14ac:dyDescent="0.5">
      <c r="S986" s="37">
        <f t="shared" si="31"/>
        <v>1433811.4793544048</v>
      </c>
      <c r="U986" s="26">
        <f t="shared" si="30"/>
        <v>1433660.5893544047</v>
      </c>
    </row>
    <row r="987" spans="19:21" ht="14.65" thickBot="1" x14ac:dyDescent="0.5">
      <c r="S987" s="37">
        <f t="shared" si="31"/>
        <v>1448149.594147949</v>
      </c>
      <c r="U987" s="26">
        <f t="shared" si="30"/>
        <v>1447998.7041479489</v>
      </c>
    </row>
    <row r="988" spans="19:21" ht="14.65" thickBot="1" x14ac:dyDescent="0.5">
      <c r="S988" s="37">
        <f t="shared" si="31"/>
        <v>1462631.0900894285</v>
      </c>
      <c r="U988" s="26">
        <f t="shared" si="30"/>
        <v>1462480.2000894283</v>
      </c>
    </row>
    <row r="989" spans="19:21" ht="14.65" thickBot="1" x14ac:dyDescent="0.5">
      <c r="S989" s="37">
        <f t="shared" si="31"/>
        <v>1477257.4009903227</v>
      </c>
      <c r="U989" s="26">
        <f t="shared" si="30"/>
        <v>1477106.5109903226</v>
      </c>
    </row>
    <row r="990" spans="19:21" ht="14.65" thickBot="1" x14ac:dyDescent="0.5">
      <c r="S990" s="37">
        <f t="shared" si="31"/>
        <v>1492029.9750002259</v>
      </c>
      <c r="U990" s="26">
        <f t="shared" si="30"/>
        <v>1491879.0850002258</v>
      </c>
    </row>
    <row r="991" spans="19:21" ht="14.65" thickBot="1" x14ac:dyDescent="0.5">
      <c r="S991" s="37">
        <f t="shared" si="31"/>
        <v>1506950.2747502283</v>
      </c>
      <c r="U991" s="26">
        <f t="shared" si="30"/>
        <v>1506799.3847502281</v>
      </c>
    </row>
    <row r="992" spans="19:21" ht="14.65" thickBot="1" x14ac:dyDescent="0.5">
      <c r="S992" s="37">
        <f t="shared" si="31"/>
        <v>1522019.7774977307</v>
      </c>
      <c r="U992" s="26">
        <f t="shared" si="30"/>
        <v>1521868.8874977306</v>
      </c>
    </row>
    <row r="993" spans="19:21" ht="14.65" thickBot="1" x14ac:dyDescent="0.5">
      <c r="S993" s="37">
        <f t="shared" si="31"/>
        <v>1537239.9752727081</v>
      </c>
      <c r="U993" s="26">
        <f t="shared" si="30"/>
        <v>1537089.085272708</v>
      </c>
    </row>
    <row r="994" spans="19:21" ht="14.65" thickBot="1" x14ac:dyDescent="0.5">
      <c r="S994" s="37">
        <f t="shared" si="31"/>
        <v>1552612.3750254351</v>
      </c>
      <c r="U994" s="26">
        <f t="shared" si="30"/>
        <v>1552461.485025435</v>
      </c>
    </row>
    <row r="995" spans="19:21" ht="14.65" thickBot="1" x14ac:dyDescent="0.5">
      <c r="S995" s="37">
        <f t="shared" si="31"/>
        <v>1568138.4987756894</v>
      </c>
      <c r="U995" s="26">
        <f t="shared" si="30"/>
        <v>1567987.6087756893</v>
      </c>
    </row>
    <row r="996" spans="19:21" ht="14.65" thickBot="1" x14ac:dyDescent="0.5">
      <c r="S996" s="37">
        <f t="shared" si="31"/>
        <v>1583819.8837634462</v>
      </c>
      <c r="U996" s="26">
        <f t="shared" si="30"/>
        <v>1583668.9937634461</v>
      </c>
    </row>
    <row r="997" spans="19:21" ht="14.65" thickBot="1" x14ac:dyDescent="0.5">
      <c r="S997" s="37">
        <f t="shared" si="31"/>
        <v>1599658.0826010806</v>
      </c>
      <c r="U997" s="26">
        <f t="shared" si="30"/>
        <v>1599507.1926010805</v>
      </c>
    </row>
    <row r="998" spans="19:21" ht="14.65" thickBot="1" x14ac:dyDescent="0.5">
      <c r="S998" s="37">
        <f t="shared" si="31"/>
        <v>1615654.6634270914</v>
      </c>
      <c r="U998" s="26">
        <f t="shared" si="30"/>
        <v>1615503.7734270913</v>
      </c>
    </row>
    <row r="999" spans="19:21" ht="14.65" thickBot="1" x14ac:dyDescent="0.5">
      <c r="S999" s="37">
        <f t="shared" si="31"/>
        <v>1631811.2100613625</v>
      </c>
      <c r="U999" s="26">
        <f t="shared" si="30"/>
        <v>1631660.3200613623</v>
      </c>
    </row>
    <row r="1000" spans="19:21" ht="14.65" thickBot="1" x14ac:dyDescent="0.5">
      <c r="S1000" s="37">
        <f t="shared" si="31"/>
        <v>1648129.322161976</v>
      </c>
      <c r="U1000" s="26">
        <f t="shared" si="30"/>
        <v>1647978.4321619759</v>
      </c>
    </row>
    <row r="1001" spans="19:21" ht="14.65" thickBot="1" x14ac:dyDescent="0.5">
      <c r="S1001" s="37">
        <f t="shared" si="31"/>
        <v>1664610.6153835957</v>
      </c>
      <c r="U1001" s="26">
        <f t="shared" si="30"/>
        <v>1664459.7253835956</v>
      </c>
    </row>
    <row r="1002" spans="19:21" ht="14.65" thickBot="1" x14ac:dyDescent="0.5">
      <c r="S1002" s="37">
        <f t="shared" si="31"/>
        <v>1681256.7215374317</v>
      </c>
      <c r="U1002" s="26">
        <f t="shared" si="30"/>
        <v>1681105.8315374316</v>
      </c>
    </row>
    <row r="1003" spans="19:21" ht="14.65" thickBot="1" x14ac:dyDescent="0.5">
      <c r="S1003" s="37">
        <f t="shared" si="31"/>
        <v>1698069.2887528061</v>
      </c>
      <c r="U1003" s="26">
        <f t="shared" si="30"/>
        <v>1697918.398752806</v>
      </c>
    </row>
    <row r="1004" spans="19:21" ht="14.65" thickBot="1" x14ac:dyDescent="0.5">
      <c r="S1004" s="37">
        <f t="shared" si="31"/>
        <v>1715049.9816403342</v>
      </c>
      <c r="U1004" s="26">
        <f t="shared" si="30"/>
        <v>1714899.0916403341</v>
      </c>
    </row>
    <row r="1005" spans="19:21" ht="14.65" thickBot="1" x14ac:dyDescent="0.5">
      <c r="S1005" s="37">
        <f t="shared" si="31"/>
        <v>1732200.4814567375</v>
      </c>
      <c r="U1005" s="26">
        <f t="shared" si="30"/>
        <v>1732049.5914567374</v>
      </c>
    </row>
    <row r="1006" spans="19:21" ht="14.65" thickBot="1" x14ac:dyDescent="0.5">
      <c r="S1006" s="37">
        <f t="shared" si="31"/>
        <v>1749522.4862713048</v>
      </c>
      <c r="U1006" s="26">
        <f t="shared" si="30"/>
        <v>1749371.5962713046</v>
      </c>
    </row>
    <row r="1007" spans="19:21" ht="14.65" thickBot="1" x14ac:dyDescent="0.5">
      <c r="S1007" s="37">
        <f t="shared" si="31"/>
        <v>1767017.7111340179</v>
      </c>
      <c r="U1007" s="26">
        <f t="shared" si="30"/>
        <v>1766866.8211340178</v>
      </c>
    </row>
    <row r="1008" spans="19:21" ht="14.65" thickBot="1" x14ac:dyDescent="0.5">
      <c r="S1008" s="37">
        <f t="shared" si="31"/>
        <v>1784687.8882453581</v>
      </c>
      <c r="U1008" s="26">
        <f t="shared" si="30"/>
        <v>1784536.998245358</v>
      </c>
    </row>
    <row r="1009" spans="19:21" ht="14.65" thickBot="1" x14ac:dyDescent="0.5">
      <c r="S1009" s="37">
        <f t="shared" si="31"/>
        <v>1802534.7671278117</v>
      </c>
      <c r="U1009" s="26">
        <f t="shared" si="30"/>
        <v>1802383.8771278115</v>
      </c>
    </row>
    <row r="1010" spans="19:21" ht="14.65" thickBot="1" x14ac:dyDescent="0.5">
      <c r="S1010" s="37">
        <f t="shared" si="31"/>
        <v>1820560.1147990897</v>
      </c>
      <c r="U1010" s="26">
        <f t="shared" si="30"/>
        <v>1820409.2247990896</v>
      </c>
    </row>
    <row r="1011" spans="19:21" ht="14.65" thickBot="1" x14ac:dyDescent="0.5">
      <c r="S1011" s="37">
        <f t="shared" si="31"/>
        <v>1838765.7159470806</v>
      </c>
      <c r="U1011" s="26">
        <f t="shared" si="30"/>
        <v>1838614.8259470805</v>
      </c>
    </row>
    <row r="1012" spans="19:21" ht="14.65" thickBot="1" x14ac:dyDescent="0.5">
      <c r="S1012" s="37">
        <f t="shared" si="31"/>
        <v>1857153.3731065514</v>
      </c>
      <c r="U1012" s="26">
        <f t="shared" si="30"/>
        <v>1857002.4831065512</v>
      </c>
    </row>
    <row r="1013" spans="19:21" ht="14.65" thickBot="1" x14ac:dyDescent="0.5">
      <c r="S1013" s="37">
        <f t="shared" si="31"/>
        <v>1875724.9068376168</v>
      </c>
      <c r="U1013" s="26">
        <f t="shared" si="30"/>
        <v>1875574.0168376167</v>
      </c>
    </row>
    <row r="1014" spans="19:21" ht="14.65" thickBot="1" x14ac:dyDescent="0.5">
      <c r="S1014" s="37">
        <f t="shared" si="31"/>
        <v>1894482.155905993</v>
      </c>
      <c r="U1014" s="26">
        <f t="shared" si="30"/>
        <v>1894331.2659059928</v>
      </c>
    </row>
    <row r="1015" spans="19:21" ht="14.65" thickBot="1" x14ac:dyDescent="0.5">
      <c r="S1015" s="37">
        <f t="shared" si="31"/>
        <v>1913426.9774650529</v>
      </c>
      <c r="U1015" s="26">
        <f t="shared" si="30"/>
        <v>1913276.0874650527</v>
      </c>
    </row>
    <row r="1016" spans="19:21" ht="14.65" thickBot="1" x14ac:dyDescent="0.5">
      <c r="S1016" s="37">
        <f t="shared" si="31"/>
        <v>1932561.2472397033</v>
      </c>
      <c r="U1016" s="26">
        <f t="shared" si="30"/>
        <v>1932410.3572397032</v>
      </c>
    </row>
    <row r="1017" spans="19:21" ht="14.65" thickBot="1" x14ac:dyDescent="0.5">
      <c r="S1017" s="37">
        <f t="shared" si="31"/>
        <v>1951886.8597121004</v>
      </c>
      <c r="U1017" s="26">
        <f t="shared" si="30"/>
        <v>1951735.9697121002</v>
      </c>
    </row>
    <row r="1018" spans="19:21" ht="14.65" thickBot="1" x14ac:dyDescent="0.5">
      <c r="S1018" s="37">
        <f t="shared" si="31"/>
        <v>1971405.7283092213</v>
      </c>
      <c r="U1018" s="26">
        <f t="shared" si="30"/>
        <v>1971254.8383092212</v>
      </c>
    </row>
    <row r="1019" spans="19:21" ht="14.65" thickBot="1" x14ac:dyDescent="0.5">
      <c r="S1019" s="37">
        <f t="shared" si="31"/>
        <v>1991119.7855923136</v>
      </c>
      <c r="U1019" s="26">
        <f t="shared" si="30"/>
        <v>1990968.8955923135</v>
      </c>
    </row>
    <row r="1020" spans="19:21" ht="14.65" thickBot="1" x14ac:dyDescent="0.5">
      <c r="S1020" s="37">
        <f t="shared" si="31"/>
        <v>2011030.9834482367</v>
      </c>
      <c r="U1020" s="26">
        <f t="shared" si="30"/>
        <v>2010880.0934482366</v>
      </c>
    </row>
    <row r="1021" spans="19:21" ht="14.65" thickBot="1" x14ac:dyDescent="0.5">
      <c r="S1021" s="37">
        <f t="shared" si="31"/>
        <v>2031141.2932827191</v>
      </c>
      <c r="U1021" s="26">
        <f t="shared" si="30"/>
        <v>2030990.403282719</v>
      </c>
    </row>
    <row r="1022" spans="19:21" ht="14.65" thickBot="1" x14ac:dyDescent="0.5">
      <c r="S1022" s="37">
        <f t="shared" si="31"/>
        <v>2051452.7062155462</v>
      </c>
      <c r="U1022" s="26">
        <f t="shared" si="30"/>
        <v>2051301.8162155461</v>
      </c>
    </row>
    <row r="1023" spans="19:21" ht="14.65" thickBot="1" x14ac:dyDescent="0.5">
      <c r="S1023" s="37">
        <f t="shared" si="31"/>
        <v>2071967.2332777018</v>
      </c>
      <c r="U1023" s="26">
        <f t="shared" si="30"/>
        <v>2071816.3432777016</v>
      </c>
    </row>
    <row r="1024" spans="19:21" ht="14.65" thickBot="1" x14ac:dyDescent="0.5">
      <c r="S1024" s="37">
        <f t="shared" si="31"/>
        <v>2092686.9056104787</v>
      </c>
      <c r="U1024" s="26">
        <f t="shared" si="30"/>
        <v>2092536.0156104786</v>
      </c>
    </row>
    <row r="1025" spans="19:21" ht="14.65" thickBot="1" x14ac:dyDescent="0.5">
      <c r="S1025" s="37">
        <f t="shared" si="31"/>
        <v>2113613.7746665836</v>
      </c>
      <c r="U1025" s="26">
        <f t="shared" si="30"/>
        <v>2113462.8846665835</v>
      </c>
    </row>
    <row r="1026" spans="19:21" ht="14.65" thickBot="1" x14ac:dyDescent="0.5">
      <c r="S1026" s="37">
        <f t="shared" si="31"/>
        <v>2134749.9124132493</v>
      </c>
      <c r="U1026" s="26">
        <f t="shared" si="30"/>
        <v>2134599.0224132491</v>
      </c>
    </row>
    <row r="1027" spans="19:21" ht="14.65" thickBot="1" x14ac:dyDescent="0.5">
      <c r="S1027" s="37">
        <f t="shared" si="31"/>
        <v>2156097.4115373818</v>
      </c>
      <c r="U1027" s="26">
        <f t="shared" si="30"/>
        <v>2155946.5215373817</v>
      </c>
    </row>
    <row r="1028" spans="19:21" ht="14.65" thickBot="1" x14ac:dyDescent="0.5">
      <c r="S1028" s="37">
        <f t="shared" si="31"/>
        <v>2177658.3856527559</v>
      </c>
      <c r="U1028" s="26">
        <f t="shared" si="30"/>
        <v>2177507.4956527557</v>
      </c>
    </row>
    <row r="1029" spans="19:21" ht="14.65" thickBot="1" x14ac:dyDescent="0.5">
      <c r="S1029" s="37">
        <f t="shared" si="31"/>
        <v>2199434.9695092835</v>
      </c>
      <c r="U1029" s="26">
        <f t="shared" si="30"/>
        <v>2199284.0795092834</v>
      </c>
    </row>
    <row r="1030" spans="19:21" ht="14.65" thickBot="1" x14ac:dyDescent="0.5">
      <c r="S1030" s="37">
        <f t="shared" si="31"/>
        <v>2221429.3192043765</v>
      </c>
      <c r="U1030" s="26">
        <f t="shared" si="30"/>
        <v>2221278.4292043764</v>
      </c>
    </row>
    <row r="1031" spans="19:21" ht="14.65" thickBot="1" x14ac:dyDescent="0.5">
      <c r="S1031" s="37">
        <f t="shared" si="31"/>
        <v>2243643.6123964204</v>
      </c>
      <c r="U1031" s="26">
        <f t="shared" si="30"/>
        <v>2243492.7223964203</v>
      </c>
    </row>
    <row r="1032" spans="19:21" ht="14.65" thickBot="1" x14ac:dyDescent="0.5">
      <c r="S1032" s="37">
        <f t="shared" si="31"/>
        <v>2266080.0485203848</v>
      </c>
      <c r="U1032" s="26">
        <f t="shared" si="30"/>
        <v>2265929.1585203847</v>
      </c>
    </row>
    <row r="1033" spans="19:21" ht="14.65" thickBot="1" x14ac:dyDescent="0.5">
      <c r="S1033" s="37">
        <f t="shared" si="31"/>
        <v>2288740.8490055888</v>
      </c>
      <c r="U1033" s="26">
        <f t="shared" si="30"/>
        <v>2288589.9590055887</v>
      </c>
    </row>
    <row r="1034" spans="19:21" ht="14.65" thickBot="1" x14ac:dyDescent="0.5">
      <c r="S1034" s="37">
        <f t="shared" si="31"/>
        <v>2311628.2574956445</v>
      </c>
      <c r="U1034" s="26">
        <f t="shared" si="30"/>
        <v>2311477.3674956444</v>
      </c>
    </row>
  </sheetData>
  <conditionalFormatting sqref="D14">
    <cfRule type="cellIs" dxfId="15" priority="3" operator="greaterThan">
      <formula>0</formula>
    </cfRule>
    <cfRule type="cellIs" dxfId="14" priority="4" operator="lessThan">
      <formula>0</formula>
    </cfRule>
  </conditionalFormatting>
  <conditionalFormatting sqref="U19:U1034">
    <cfRule type="cellIs" dxfId="13" priority="1" operator="greaterThan">
      <formula>0</formula>
    </cfRule>
    <cfRule type="cellIs" dxfId="12" priority="2" operator="lessThan">
      <formula>0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3581B-1034-4DAD-B010-208EBCAFA650}">
  <dimension ref="A1:U1034"/>
  <sheetViews>
    <sheetView topLeftCell="G994" zoomScaleNormal="100" workbookViewId="0">
      <selection activeCell="S19" sqref="S19:S1034"/>
    </sheetView>
  </sheetViews>
  <sheetFormatPr defaultColWidth="9.1328125" defaultRowHeight="14.25" x14ac:dyDescent="0.45"/>
  <cols>
    <col min="1" max="1" width="12.1328125" style="1" customWidth="1"/>
    <col min="2" max="2" width="1.59765625" style="1" customWidth="1"/>
    <col min="3" max="7" width="33.3984375" style="1" customWidth="1"/>
    <col min="8" max="8" width="42.3984375" style="1" customWidth="1"/>
    <col min="9" max="10" width="9.1328125" style="1"/>
    <col min="11" max="11" width="13.3984375" style="1" customWidth="1"/>
    <col min="12" max="12" width="20" style="1" customWidth="1"/>
    <col min="13" max="14" width="11.86328125" style="1" customWidth="1"/>
    <col min="15" max="16384" width="9.1328125" style="1"/>
  </cols>
  <sheetData>
    <row r="1" spans="1:10" ht="18" x14ac:dyDescent="0.55000000000000004">
      <c r="A1" s="28" t="s">
        <v>115</v>
      </c>
    </row>
    <row r="2" spans="1:10" x14ac:dyDescent="0.45">
      <c r="C2" s="20"/>
      <c r="E2" s="20" t="s">
        <v>83</v>
      </c>
    </row>
    <row r="3" spans="1:10" ht="14.65" thickBot="1" x14ac:dyDescent="0.5">
      <c r="E3" s="20" t="s">
        <v>116</v>
      </c>
    </row>
    <row r="4" spans="1:10" ht="30.75" customHeight="1" x14ac:dyDescent="0.45">
      <c r="C4" s="6" t="s">
        <v>30</v>
      </c>
      <c r="D4" s="7" t="s">
        <v>15</v>
      </c>
      <c r="E4" s="7" t="s">
        <v>31</v>
      </c>
      <c r="F4" s="7" t="s">
        <v>35</v>
      </c>
      <c r="G4" s="7" t="s">
        <v>34</v>
      </c>
      <c r="H4" s="8" t="s">
        <v>78</v>
      </c>
      <c r="J4" s="4"/>
    </row>
    <row r="5" spans="1:10" ht="30.75" customHeight="1" thickBot="1" x14ac:dyDescent="0.5">
      <c r="C5" s="34" t="s">
        <v>75</v>
      </c>
      <c r="D5" s="9" t="s">
        <v>32</v>
      </c>
      <c r="E5" s="9" t="s">
        <v>77</v>
      </c>
      <c r="F5" s="9" t="s">
        <v>37</v>
      </c>
      <c r="G5" s="9" t="s">
        <v>70</v>
      </c>
      <c r="H5" s="10" t="s">
        <v>85</v>
      </c>
      <c r="J5" s="4"/>
    </row>
    <row r="6" spans="1:10" ht="30.75" customHeight="1" thickBot="1" x14ac:dyDescent="0.5">
      <c r="E6" s="4">
        <f>-(D9+D10)</f>
        <v>-15.89</v>
      </c>
    </row>
    <row r="7" spans="1:10" x14ac:dyDescent="0.45">
      <c r="C7" s="6" t="s">
        <v>79</v>
      </c>
      <c r="D7" s="31">
        <v>150</v>
      </c>
    </row>
    <row r="8" spans="1:10" x14ac:dyDescent="0.45">
      <c r="C8" s="29" t="s">
        <v>80</v>
      </c>
      <c r="D8" s="22">
        <v>120</v>
      </c>
      <c r="F8" s="20"/>
    </row>
    <row r="9" spans="1:10" x14ac:dyDescent="0.45">
      <c r="C9" s="29" t="s">
        <v>66</v>
      </c>
      <c r="D9" s="22">
        <v>8.52</v>
      </c>
    </row>
    <row r="10" spans="1:10" x14ac:dyDescent="0.45">
      <c r="C10" s="29" t="s">
        <v>67</v>
      </c>
      <c r="D10" s="22">
        <v>7.37</v>
      </c>
    </row>
    <row r="11" spans="1:10" x14ac:dyDescent="0.45">
      <c r="C11" s="29" t="s">
        <v>28</v>
      </c>
      <c r="D11" s="22">
        <v>120</v>
      </c>
    </row>
    <row r="12" spans="1:10" x14ac:dyDescent="0.45">
      <c r="C12" s="29" t="s">
        <v>81</v>
      </c>
      <c r="D12" s="24">
        <f>D8-D9-D10</f>
        <v>104.11</v>
      </c>
    </row>
    <row r="13" spans="1:10" x14ac:dyDescent="0.45">
      <c r="C13" s="32" t="s">
        <v>82</v>
      </c>
      <c r="D13" s="33">
        <f>D7+D9+D10</f>
        <v>165.89000000000001</v>
      </c>
    </row>
    <row r="14" spans="1:10" ht="14.65" thickBot="1" x14ac:dyDescent="0.5">
      <c r="C14" s="30" t="s">
        <v>29</v>
      </c>
      <c r="D14" s="26">
        <f>IF(D11&lt;D8,D8-D11-D10,-D10)+IF(D11&lt;D7,-D9,D11-D7-D9)</f>
        <v>-15.89</v>
      </c>
    </row>
    <row r="18" spans="19:21" x14ac:dyDescent="0.45">
      <c r="S18" s="1" t="s">
        <v>25</v>
      </c>
    </row>
    <row r="19" spans="19:21" ht="14.65" thickBot="1" x14ac:dyDescent="0.5">
      <c r="S19" s="37">
        <f>ROUND((D7-(0.3*D7)),0)</f>
        <v>105</v>
      </c>
      <c r="U19" s="26">
        <f>IF(S19&lt;$D$8,$D$8-S19-$D$10,-$D$10)+IF(S19&lt;$D$7,-$D$9,S19-$D$7-$D$9)</f>
        <v>-0.88999999999999968</v>
      </c>
    </row>
    <row r="20" spans="19:21" ht="14.65" thickBot="1" x14ac:dyDescent="0.5">
      <c r="S20" s="37">
        <f>S19*(1.01)</f>
        <v>106.05</v>
      </c>
      <c r="U20" s="26">
        <f t="shared" ref="U20:U84" si="0">IF(S20&lt;$D$8,$D$8-S20-$D$10,-$D$10)+IF(S20&lt;$D$7,-$D$9,S20-$D$7-$D$9)</f>
        <v>-1.9399999999999968</v>
      </c>
    </row>
    <row r="21" spans="19:21" ht="14.65" thickBot="1" x14ac:dyDescent="0.5">
      <c r="S21" s="37">
        <f t="shared" ref="S21:S84" si="1">S20*(1.01)</f>
        <v>107.1105</v>
      </c>
      <c r="U21" s="26">
        <f t="shared" si="0"/>
        <v>-3.0005000000000015</v>
      </c>
    </row>
    <row r="22" spans="19:21" ht="14.65" thickBot="1" x14ac:dyDescent="0.5">
      <c r="S22" s="37">
        <f t="shared" si="1"/>
        <v>108.181605</v>
      </c>
      <c r="U22" s="26">
        <f t="shared" si="0"/>
        <v>-4.0716050000000044</v>
      </c>
    </row>
    <row r="23" spans="19:21" ht="14.65" thickBot="1" x14ac:dyDescent="0.5">
      <c r="S23" s="37">
        <f t="shared" si="1"/>
        <v>109.26342105000001</v>
      </c>
      <c r="U23" s="26">
        <f t="shared" si="0"/>
        <v>-5.1534210500000048</v>
      </c>
    </row>
    <row r="24" spans="19:21" ht="14.65" thickBot="1" x14ac:dyDescent="0.5">
      <c r="S24" s="37">
        <f t="shared" si="1"/>
        <v>110.3560552605</v>
      </c>
      <c r="U24" s="26">
        <f t="shared" si="0"/>
        <v>-6.2460552604999995</v>
      </c>
    </row>
    <row r="25" spans="19:21" ht="14.65" thickBot="1" x14ac:dyDescent="0.5">
      <c r="S25" s="37">
        <f t="shared" si="1"/>
        <v>111.459615813105</v>
      </c>
      <c r="U25" s="26">
        <f t="shared" si="0"/>
        <v>-7.3496158131050029</v>
      </c>
    </row>
    <row r="26" spans="19:21" ht="14.65" thickBot="1" x14ac:dyDescent="0.5">
      <c r="S26" s="37">
        <f t="shared" si="1"/>
        <v>112.57421197123605</v>
      </c>
      <c r="U26" s="26">
        <f t="shared" si="0"/>
        <v>-8.464211971236054</v>
      </c>
    </row>
    <row r="27" spans="19:21" ht="14.65" thickBot="1" x14ac:dyDescent="0.5">
      <c r="S27" s="37">
        <f>S26*(1.01)</f>
        <v>113.69995409094841</v>
      </c>
      <c r="U27" s="26">
        <f t="shared" si="0"/>
        <v>-9.5899540909484102</v>
      </c>
    </row>
    <row r="28" spans="19:21" ht="14.65" thickBot="1" x14ac:dyDescent="0.5">
      <c r="S28" s="37">
        <f t="shared" si="1"/>
        <v>114.8369536318579</v>
      </c>
      <c r="U28" s="26">
        <f t="shared" si="0"/>
        <v>-10.726953631857896</v>
      </c>
    </row>
    <row r="29" spans="19:21" ht="14.65" thickBot="1" x14ac:dyDescent="0.5">
      <c r="S29" s="37">
        <f t="shared" si="1"/>
        <v>115.98532316817648</v>
      </c>
      <c r="U29" s="26">
        <f t="shared" si="0"/>
        <v>-11.875323168176479</v>
      </c>
    </row>
    <row r="30" spans="19:21" ht="14.65" thickBot="1" x14ac:dyDescent="0.5">
      <c r="S30" s="37">
        <f t="shared" si="1"/>
        <v>117.14517639985824</v>
      </c>
      <c r="U30" s="26">
        <f t="shared" si="0"/>
        <v>-13.035176399858244</v>
      </c>
    </row>
    <row r="31" spans="19:21" ht="14.65" thickBot="1" x14ac:dyDescent="0.5">
      <c r="S31" s="37">
        <f t="shared" si="1"/>
        <v>118.31662816385683</v>
      </c>
      <c r="U31" s="26">
        <f t="shared" si="0"/>
        <v>-14.206628163856834</v>
      </c>
    </row>
    <row r="32" spans="19:21" ht="14.65" thickBot="1" x14ac:dyDescent="0.5">
      <c r="S32" s="37">
        <f t="shared" si="1"/>
        <v>119.4997944454954</v>
      </c>
      <c r="U32" s="26">
        <f t="shared" si="0"/>
        <v>-15.389794445495397</v>
      </c>
    </row>
    <row r="33" spans="19:21" ht="14.65" thickBot="1" x14ac:dyDescent="0.5">
      <c r="S33" s="37">
        <f>S32*(1.01)</f>
        <v>120.69479238995035</v>
      </c>
      <c r="U33" s="26">
        <f t="shared" si="0"/>
        <v>-15.89</v>
      </c>
    </row>
    <row r="34" spans="19:21" ht="14.65" thickBot="1" x14ac:dyDescent="0.5">
      <c r="S34" s="37">
        <f t="shared" si="1"/>
        <v>121.90174031384986</v>
      </c>
      <c r="U34" s="26">
        <f t="shared" si="0"/>
        <v>-15.89</v>
      </c>
    </row>
    <row r="35" spans="19:21" ht="14.65" thickBot="1" x14ac:dyDescent="0.5">
      <c r="S35" s="37">
        <f t="shared" si="1"/>
        <v>123.12075771698835</v>
      </c>
      <c r="U35" s="26">
        <f t="shared" si="0"/>
        <v>-15.89</v>
      </c>
    </row>
    <row r="36" spans="19:21" ht="14.65" thickBot="1" x14ac:dyDescent="0.5">
      <c r="S36" s="37">
        <f t="shared" si="1"/>
        <v>124.35196529415823</v>
      </c>
      <c r="U36" s="26">
        <f t="shared" si="0"/>
        <v>-15.89</v>
      </c>
    </row>
    <row r="37" spans="19:21" ht="14.65" thickBot="1" x14ac:dyDescent="0.5">
      <c r="S37" s="37">
        <f t="shared" si="1"/>
        <v>125.59548494709982</v>
      </c>
      <c r="U37" s="26">
        <f t="shared" si="0"/>
        <v>-15.89</v>
      </c>
    </row>
    <row r="38" spans="19:21" ht="14.65" thickBot="1" x14ac:dyDescent="0.5">
      <c r="S38" s="37">
        <f t="shared" si="1"/>
        <v>126.85143979657082</v>
      </c>
      <c r="U38" s="26">
        <f t="shared" si="0"/>
        <v>-15.89</v>
      </c>
    </row>
    <row r="39" spans="19:21" ht="14.65" thickBot="1" x14ac:dyDescent="0.5">
      <c r="S39" s="37">
        <f t="shared" si="1"/>
        <v>128.11995419453652</v>
      </c>
      <c r="U39" s="26">
        <f t="shared" si="0"/>
        <v>-15.89</v>
      </c>
    </row>
    <row r="40" spans="19:21" ht="14.65" thickBot="1" x14ac:dyDescent="0.5">
      <c r="S40" s="37">
        <f t="shared" si="1"/>
        <v>129.40115373648189</v>
      </c>
      <c r="U40" s="26">
        <f t="shared" si="0"/>
        <v>-15.89</v>
      </c>
    </row>
    <row r="41" spans="19:21" ht="14.65" thickBot="1" x14ac:dyDescent="0.5">
      <c r="S41" s="37">
        <f t="shared" si="1"/>
        <v>130.6951652738467</v>
      </c>
      <c r="U41" s="26">
        <f t="shared" si="0"/>
        <v>-15.89</v>
      </c>
    </row>
    <row r="42" spans="19:21" ht="14.65" thickBot="1" x14ac:dyDescent="0.5">
      <c r="S42" s="37">
        <f t="shared" si="1"/>
        <v>132.00211692658516</v>
      </c>
      <c r="U42" s="26">
        <f t="shared" si="0"/>
        <v>-15.89</v>
      </c>
    </row>
    <row r="43" spans="19:21" ht="14.65" thickBot="1" x14ac:dyDescent="0.5">
      <c r="S43" s="37">
        <f t="shared" si="1"/>
        <v>133.32213809585102</v>
      </c>
      <c r="U43" s="26">
        <f t="shared" si="0"/>
        <v>-15.89</v>
      </c>
    </row>
    <row r="44" spans="19:21" ht="14.65" thickBot="1" x14ac:dyDescent="0.5">
      <c r="S44" s="37">
        <f t="shared" si="1"/>
        <v>134.65535947680954</v>
      </c>
      <c r="U44" s="26">
        <f t="shared" si="0"/>
        <v>-15.89</v>
      </c>
    </row>
    <row r="45" spans="19:21" ht="14.65" thickBot="1" x14ac:dyDescent="0.5">
      <c r="S45" s="37">
        <f t="shared" si="1"/>
        <v>136.00191307157763</v>
      </c>
      <c r="U45" s="26">
        <f t="shared" si="0"/>
        <v>-15.89</v>
      </c>
    </row>
    <row r="46" spans="19:21" ht="14.65" thickBot="1" x14ac:dyDescent="0.5">
      <c r="S46" s="37">
        <f t="shared" si="1"/>
        <v>137.36193220229342</v>
      </c>
      <c r="U46" s="26">
        <f t="shared" si="0"/>
        <v>-15.89</v>
      </c>
    </row>
    <row r="47" spans="19:21" ht="14.65" thickBot="1" x14ac:dyDescent="0.5">
      <c r="S47" s="37">
        <f t="shared" si="1"/>
        <v>138.73555152431635</v>
      </c>
      <c r="U47" s="26">
        <f t="shared" si="0"/>
        <v>-15.89</v>
      </c>
    </row>
    <row r="48" spans="19:21" ht="14.65" thickBot="1" x14ac:dyDescent="0.5">
      <c r="S48" s="37">
        <f t="shared" si="1"/>
        <v>140.12290703955952</v>
      </c>
      <c r="U48" s="26">
        <f t="shared" si="0"/>
        <v>-15.89</v>
      </c>
    </row>
    <row r="49" spans="19:21" ht="14.65" thickBot="1" x14ac:dyDescent="0.5">
      <c r="S49" s="37">
        <f t="shared" si="1"/>
        <v>141.52413610995512</v>
      </c>
      <c r="U49" s="26">
        <f t="shared" si="0"/>
        <v>-15.89</v>
      </c>
    </row>
    <row r="50" spans="19:21" ht="14.65" thickBot="1" x14ac:dyDescent="0.5">
      <c r="S50" s="37">
        <f t="shared" si="1"/>
        <v>142.93937747105468</v>
      </c>
      <c r="U50" s="26">
        <f t="shared" si="0"/>
        <v>-15.89</v>
      </c>
    </row>
    <row r="51" spans="19:21" ht="14.65" thickBot="1" x14ac:dyDescent="0.5">
      <c r="S51" s="37">
        <f t="shared" si="1"/>
        <v>144.36877124576523</v>
      </c>
      <c r="U51" s="26">
        <f t="shared" si="0"/>
        <v>-15.89</v>
      </c>
    </row>
    <row r="52" spans="19:21" ht="14.65" thickBot="1" x14ac:dyDescent="0.5">
      <c r="S52" s="37">
        <f t="shared" si="1"/>
        <v>145.81245895822289</v>
      </c>
      <c r="U52" s="26">
        <f t="shared" si="0"/>
        <v>-15.89</v>
      </c>
    </row>
    <row r="53" spans="19:21" ht="14.65" thickBot="1" x14ac:dyDescent="0.5">
      <c r="S53" s="37">
        <f t="shared" si="1"/>
        <v>147.27058354780513</v>
      </c>
      <c r="U53" s="26">
        <f t="shared" si="0"/>
        <v>-15.89</v>
      </c>
    </row>
    <row r="54" spans="19:21" ht="14.65" thickBot="1" x14ac:dyDescent="0.5">
      <c r="S54" s="37">
        <f t="shared" si="1"/>
        <v>148.74328938328318</v>
      </c>
      <c r="U54" s="26">
        <f t="shared" si="0"/>
        <v>-15.89</v>
      </c>
    </row>
    <row r="55" spans="19:21" ht="14.65" thickBot="1" x14ac:dyDescent="0.5">
      <c r="S55" s="37">
        <f t="shared" si="1"/>
        <v>150.23072227711603</v>
      </c>
      <c r="U55" s="26">
        <f t="shared" si="0"/>
        <v>-15.659277722883971</v>
      </c>
    </row>
    <row r="56" spans="19:21" ht="14.65" thickBot="1" x14ac:dyDescent="0.5">
      <c r="S56" s="37">
        <f t="shared" si="1"/>
        <v>151.73302949988718</v>
      </c>
      <c r="U56" s="26">
        <f t="shared" si="0"/>
        <v>-14.15697050011282</v>
      </c>
    </row>
    <row r="57" spans="19:21" ht="14.65" thickBot="1" x14ac:dyDescent="0.5">
      <c r="S57" s="37">
        <f t="shared" si="1"/>
        <v>153.25035979488607</v>
      </c>
      <c r="U57" s="26">
        <f t="shared" si="0"/>
        <v>-12.639640205113935</v>
      </c>
    </row>
    <row r="58" spans="19:21" ht="14.65" thickBot="1" x14ac:dyDescent="0.5">
      <c r="S58" s="37">
        <f t="shared" si="1"/>
        <v>154.78286339283494</v>
      </c>
      <c r="U58" s="26">
        <f>IF(S58&lt;$D$8,$D$8-S58-$D$10,-$D$10)+IF(S58&lt;$D$7,-$D$9,S58-$D$7-$D$9)</f>
        <v>-11.10713660716506</v>
      </c>
    </row>
    <row r="59" spans="19:21" ht="14.65" thickBot="1" x14ac:dyDescent="0.5">
      <c r="S59" s="37">
        <f t="shared" si="1"/>
        <v>156.3306920267633</v>
      </c>
      <c r="U59" s="26">
        <f t="shared" si="0"/>
        <v>-9.5593079732366988</v>
      </c>
    </row>
    <row r="60" spans="19:21" ht="14.65" thickBot="1" x14ac:dyDescent="0.5">
      <c r="S60" s="37">
        <f t="shared" si="1"/>
        <v>157.89399894703092</v>
      </c>
      <c r="U60" s="26">
        <f t="shared" si="0"/>
        <v>-7.9960010529690768</v>
      </c>
    </row>
    <row r="61" spans="19:21" ht="14.65" thickBot="1" x14ac:dyDescent="0.5">
      <c r="S61" s="37">
        <f t="shared" si="1"/>
        <v>159.47293893650124</v>
      </c>
      <c r="U61" s="26">
        <f t="shared" si="0"/>
        <v>-6.417061063498763</v>
      </c>
    </row>
    <row r="62" spans="19:21" ht="14.65" thickBot="1" x14ac:dyDescent="0.5">
      <c r="S62" s="37">
        <f t="shared" si="1"/>
        <v>161.06766832586624</v>
      </c>
      <c r="U62" s="26">
        <f t="shared" si="0"/>
        <v>-4.8223316741337632</v>
      </c>
    </row>
    <row r="63" spans="19:21" ht="14.65" thickBot="1" x14ac:dyDescent="0.5">
      <c r="S63" s="37">
        <f t="shared" si="1"/>
        <v>162.67834500912491</v>
      </c>
      <c r="U63" s="26">
        <f t="shared" si="0"/>
        <v>-3.2116549908750889</v>
      </c>
    </row>
    <row r="64" spans="19:21" ht="14.65" thickBot="1" x14ac:dyDescent="0.5">
      <c r="S64" s="37">
        <f t="shared" si="1"/>
        <v>164.30512845921615</v>
      </c>
      <c r="U64" s="26">
        <f t="shared" si="0"/>
        <v>-1.5848715407838503</v>
      </c>
    </row>
    <row r="65" spans="19:21" ht="14.65" thickBot="1" x14ac:dyDescent="0.5">
      <c r="S65" s="37">
        <f t="shared" si="1"/>
        <v>165.94817974380831</v>
      </c>
      <c r="U65" s="26">
        <f t="shared" si="0"/>
        <v>5.8179743808310924E-2</v>
      </c>
    </row>
    <row r="66" spans="19:21" ht="14.65" thickBot="1" x14ac:dyDescent="0.5">
      <c r="S66" s="37">
        <f t="shared" si="1"/>
        <v>167.60766154124639</v>
      </c>
      <c r="U66" s="26">
        <f t="shared" si="0"/>
        <v>1.7176615412463869</v>
      </c>
    </row>
    <row r="67" spans="19:21" ht="14.65" thickBot="1" x14ac:dyDescent="0.5">
      <c r="S67" s="37">
        <f t="shared" si="1"/>
        <v>169.28373815665884</v>
      </c>
      <c r="U67" s="26">
        <f t="shared" si="0"/>
        <v>3.3937381566588423</v>
      </c>
    </row>
    <row r="68" spans="19:21" ht="14.65" thickBot="1" x14ac:dyDescent="0.5">
      <c r="S68" s="37">
        <f t="shared" si="1"/>
        <v>170.97657553822543</v>
      </c>
      <c r="U68" s="26">
        <f>IF(S68&lt;$D$8,$D$8-S68-$D$10,-$D$10)+IF(S68&lt;$D$7,-$D$9,S68-$D$7-$D$9)</f>
        <v>5.086575538225433</v>
      </c>
    </row>
    <row r="69" spans="19:21" ht="14.65" thickBot="1" x14ac:dyDescent="0.5">
      <c r="S69" s="37">
        <f t="shared" si="1"/>
        <v>172.68634129360768</v>
      </c>
      <c r="U69" s="26">
        <f t="shared" si="0"/>
        <v>6.796341293607683</v>
      </c>
    </row>
    <row r="70" spans="19:21" ht="14.65" thickBot="1" x14ac:dyDescent="0.5">
      <c r="S70" s="37">
        <f t="shared" si="1"/>
        <v>174.41320470654375</v>
      </c>
      <c r="U70" s="26">
        <f t="shared" si="0"/>
        <v>8.5232047065437513</v>
      </c>
    </row>
    <row r="71" spans="19:21" ht="14.65" thickBot="1" x14ac:dyDescent="0.5">
      <c r="S71" s="37">
        <f t="shared" si="1"/>
        <v>176.1573367536092</v>
      </c>
      <c r="U71" s="26">
        <f t="shared" si="0"/>
        <v>10.2673367536092</v>
      </c>
    </row>
    <row r="72" spans="19:21" ht="14.65" thickBot="1" x14ac:dyDescent="0.5">
      <c r="S72" s="37">
        <f t="shared" si="1"/>
        <v>177.9189101211453</v>
      </c>
      <c r="U72" s="26">
        <f t="shared" si="0"/>
        <v>12.028910121145302</v>
      </c>
    </row>
    <row r="73" spans="19:21" ht="14.65" thickBot="1" x14ac:dyDescent="0.5">
      <c r="S73" s="37">
        <f t="shared" si="1"/>
        <v>179.69809922235675</v>
      </c>
      <c r="U73" s="26">
        <f>IF(S73&lt;$D$8,$D$8-S73-$D$10,-$D$10)+IF(S73&lt;$D$7,-$D$9,S73-$D$7-$D$9)</f>
        <v>13.808099222356745</v>
      </c>
    </row>
    <row r="74" spans="19:21" ht="14.65" thickBot="1" x14ac:dyDescent="0.5">
      <c r="S74" s="37">
        <f t="shared" si="1"/>
        <v>181.49508021458033</v>
      </c>
      <c r="U74" s="26">
        <f t="shared" si="0"/>
        <v>15.605080214580326</v>
      </c>
    </row>
    <row r="75" spans="19:21" ht="14.65" thickBot="1" x14ac:dyDescent="0.5">
      <c r="S75" s="37">
        <f t="shared" si="1"/>
        <v>183.31003101672613</v>
      </c>
      <c r="U75" s="26">
        <f t="shared" si="0"/>
        <v>17.420031016726128</v>
      </c>
    </row>
    <row r="76" spans="19:21" ht="14.65" thickBot="1" x14ac:dyDescent="0.5">
      <c r="S76" s="37">
        <f t="shared" si="1"/>
        <v>185.14313132689338</v>
      </c>
      <c r="U76" s="26">
        <f t="shared" si="0"/>
        <v>19.253131326893381</v>
      </c>
    </row>
    <row r="77" spans="19:21" ht="14.65" thickBot="1" x14ac:dyDescent="0.5">
      <c r="S77" s="37">
        <f t="shared" si="1"/>
        <v>186.99456264016231</v>
      </c>
      <c r="U77" s="26">
        <f t="shared" si="0"/>
        <v>21.104562640162314</v>
      </c>
    </row>
    <row r="78" spans="19:21" ht="14.65" thickBot="1" x14ac:dyDescent="0.5">
      <c r="S78" s="37">
        <f t="shared" si="1"/>
        <v>188.86450826656394</v>
      </c>
      <c r="U78" s="26">
        <f t="shared" si="0"/>
        <v>22.974508266563944</v>
      </c>
    </row>
    <row r="79" spans="19:21" ht="14.65" thickBot="1" x14ac:dyDescent="0.5">
      <c r="S79" s="37">
        <f t="shared" si="1"/>
        <v>190.75315334922959</v>
      </c>
      <c r="U79" s="26">
        <f t="shared" si="0"/>
        <v>24.863153349229595</v>
      </c>
    </row>
    <row r="80" spans="19:21" ht="14.65" thickBot="1" x14ac:dyDescent="0.5">
      <c r="S80" s="37">
        <f t="shared" si="1"/>
        <v>192.66068488272188</v>
      </c>
      <c r="U80" s="26">
        <f t="shared" si="0"/>
        <v>26.770684882721884</v>
      </c>
    </row>
    <row r="81" spans="19:21" ht="14.65" thickBot="1" x14ac:dyDescent="0.5">
      <c r="S81" s="37">
        <f t="shared" si="1"/>
        <v>194.5872917315491</v>
      </c>
      <c r="U81" s="26">
        <f t="shared" si="0"/>
        <v>28.697291731549104</v>
      </c>
    </row>
    <row r="82" spans="19:21" ht="14.65" thickBot="1" x14ac:dyDescent="0.5">
      <c r="S82" s="37">
        <f t="shared" si="1"/>
        <v>196.53316464886458</v>
      </c>
      <c r="U82" s="26">
        <f t="shared" si="0"/>
        <v>30.643164648864587</v>
      </c>
    </row>
    <row r="83" spans="19:21" ht="14.65" thickBot="1" x14ac:dyDescent="0.5">
      <c r="S83" s="37">
        <f t="shared" si="1"/>
        <v>198.49849629535322</v>
      </c>
      <c r="U83" s="26">
        <f t="shared" si="0"/>
        <v>32.608496295353227</v>
      </c>
    </row>
    <row r="84" spans="19:21" ht="14.65" thickBot="1" x14ac:dyDescent="0.5">
      <c r="S84" s="37">
        <f t="shared" si="1"/>
        <v>200.48348125830677</v>
      </c>
      <c r="U84" s="26">
        <f t="shared" si="0"/>
        <v>34.593481258306774</v>
      </c>
    </row>
    <row r="85" spans="19:21" ht="14.65" thickBot="1" x14ac:dyDescent="0.5">
      <c r="S85" s="37">
        <f t="shared" ref="S85:S148" si="2">S84*(1.01)</f>
        <v>202.48831607088982</v>
      </c>
      <c r="U85" s="26">
        <f t="shared" ref="U85:U148" si="3">IF(S85&lt;$D$8,$D$8-S85-$D$10,-$D$10)+IF(S85&lt;$D$7,-$D$9,S85-$D$7-$D$9)</f>
        <v>36.59831607088983</v>
      </c>
    </row>
    <row r="86" spans="19:21" ht="14.65" thickBot="1" x14ac:dyDescent="0.5">
      <c r="S86" s="37">
        <f t="shared" si="2"/>
        <v>204.51319923159872</v>
      </c>
      <c r="U86" s="26">
        <f t="shared" si="3"/>
        <v>38.623199231598726</v>
      </c>
    </row>
    <row r="87" spans="19:21" ht="14.65" thickBot="1" x14ac:dyDescent="0.5">
      <c r="S87" s="37">
        <f t="shared" si="2"/>
        <v>206.55833122391471</v>
      </c>
      <c r="U87" s="26">
        <f t="shared" si="3"/>
        <v>40.668331223914713</v>
      </c>
    </row>
    <row r="88" spans="19:21" ht="14.65" thickBot="1" x14ac:dyDescent="0.5">
      <c r="S88" s="37">
        <f t="shared" si="2"/>
        <v>208.62391453615385</v>
      </c>
      <c r="U88" s="26">
        <f t="shared" si="3"/>
        <v>42.733914536153854</v>
      </c>
    </row>
    <row r="89" spans="19:21" ht="14.65" thickBot="1" x14ac:dyDescent="0.5">
      <c r="S89" s="37">
        <f t="shared" si="2"/>
        <v>210.71015368151538</v>
      </c>
      <c r="U89" s="26">
        <f t="shared" si="3"/>
        <v>44.820153681515386</v>
      </c>
    </row>
    <row r="90" spans="19:21" ht="14.65" thickBot="1" x14ac:dyDescent="0.5">
      <c r="S90" s="37">
        <f t="shared" si="2"/>
        <v>212.81725521833053</v>
      </c>
      <c r="U90" s="26">
        <f t="shared" si="3"/>
        <v>46.927255218330536</v>
      </c>
    </row>
    <row r="91" spans="19:21" ht="14.65" thickBot="1" x14ac:dyDescent="0.5">
      <c r="S91" s="37">
        <f t="shared" si="2"/>
        <v>214.94542777051385</v>
      </c>
      <c r="U91" s="26">
        <f t="shared" si="3"/>
        <v>49.055427770513852</v>
      </c>
    </row>
    <row r="92" spans="19:21" ht="14.65" thickBot="1" x14ac:dyDescent="0.5">
      <c r="S92" s="37">
        <f t="shared" si="2"/>
        <v>217.09488204821898</v>
      </c>
      <c r="U92" s="26">
        <f t="shared" si="3"/>
        <v>51.204882048218984</v>
      </c>
    </row>
    <row r="93" spans="19:21" ht="14.65" thickBot="1" x14ac:dyDescent="0.5">
      <c r="S93" s="37">
        <f t="shared" si="2"/>
        <v>219.26583086870116</v>
      </c>
      <c r="U93" s="26">
        <f t="shared" si="3"/>
        <v>53.375830868701165</v>
      </c>
    </row>
    <row r="94" spans="19:21" ht="14.65" thickBot="1" x14ac:dyDescent="0.5">
      <c r="S94" s="37">
        <f t="shared" si="2"/>
        <v>221.45848917738817</v>
      </c>
      <c r="U94" s="26">
        <f t="shared" si="3"/>
        <v>55.56848917738818</v>
      </c>
    </row>
    <row r="95" spans="19:21" ht="14.65" thickBot="1" x14ac:dyDescent="0.5">
      <c r="S95" s="37">
        <f t="shared" si="2"/>
        <v>223.67307406916206</v>
      </c>
      <c r="U95" s="26">
        <f t="shared" si="3"/>
        <v>57.783074069162062</v>
      </c>
    </row>
    <row r="96" spans="19:21" ht="14.65" thickBot="1" x14ac:dyDescent="0.5">
      <c r="S96" s="37">
        <f t="shared" si="2"/>
        <v>225.90980480985368</v>
      </c>
      <c r="U96" s="26">
        <f t="shared" si="3"/>
        <v>60.019804809853689</v>
      </c>
    </row>
    <row r="97" spans="19:21" ht="14.65" thickBot="1" x14ac:dyDescent="0.5">
      <c r="S97" s="37">
        <f t="shared" si="2"/>
        <v>228.16890285795222</v>
      </c>
      <c r="U97" s="26">
        <f t="shared" si="3"/>
        <v>62.278902857952225</v>
      </c>
    </row>
    <row r="98" spans="19:21" ht="14.65" thickBot="1" x14ac:dyDescent="0.5">
      <c r="S98" s="37">
        <f t="shared" si="2"/>
        <v>230.45059188653175</v>
      </c>
      <c r="U98" s="26">
        <f t="shared" si="3"/>
        <v>64.560591886531753</v>
      </c>
    </row>
    <row r="99" spans="19:21" ht="14.65" thickBot="1" x14ac:dyDescent="0.5">
      <c r="S99" s="37">
        <f t="shared" si="2"/>
        <v>232.75509780539707</v>
      </c>
      <c r="U99" s="26">
        <f t="shared" si="3"/>
        <v>66.86509780539707</v>
      </c>
    </row>
    <row r="100" spans="19:21" ht="14.65" thickBot="1" x14ac:dyDescent="0.5">
      <c r="S100" s="37">
        <f t="shared" si="2"/>
        <v>235.08264878345105</v>
      </c>
      <c r="U100" s="26">
        <f t="shared" si="3"/>
        <v>69.192648783451048</v>
      </c>
    </row>
    <row r="101" spans="19:21" ht="14.65" thickBot="1" x14ac:dyDescent="0.5">
      <c r="S101" s="37">
        <f t="shared" si="2"/>
        <v>237.43347527128557</v>
      </c>
      <c r="U101" s="26">
        <f t="shared" si="3"/>
        <v>71.543475271285573</v>
      </c>
    </row>
    <row r="102" spans="19:21" ht="14.65" thickBot="1" x14ac:dyDescent="0.5">
      <c r="S102" s="37">
        <f t="shared" si="2"/>
        <v>239.80781002399843</v>
      </c>
      <c r="U102" s="26">
        <f t="shared" si="3"/>
        <v>73.917810023998427</v>
      </c>
    </row>
    <row r="103" spans="19:21" ht="14.65" thickBot="1" x14ac:dyDescent="0.5">
      <c r="S103" s="37">
        <f t="shared" si="2"/>
        <v>242.20588812423841</v>
      </c>
      <c r="U103" s="26">
        <f t="shared" si="3"/>
        <v>76.315888124238413</v>
      </c>
    </row>
    <row r="104" spans="19:21" ht="14.65" thickBot="1" x14ac:dyDescent="0.5">
      <c r="S104" s="37">
        <f t="shared" si="2"/>
        <v>244.62794700548079</v>
      </c>
      <c r="U104" s="26">
        <f t="shared" si="3"/>
        <v>78.737947005480791</v>
      </c>
    </row>
    <row r="105" spans="19:21" ht="14.65" thickBot="1" x14ac:dyDescent="0.5">
      <c r="S105" s="37">
        <f t="shared" si="2"/>
        <v>247.0742264755356</v>
      </c>
      <c r="U105" s="26">
        <f t="shared" si="3"/>
        <v>81.184226475535596</v>
      </c>
    </row>
    <row r="106" spans="19:21" ht="14.65" thickBot="1" x14ac:dyDescent="0.5">
      <c r="S106" s="37">
        <f t="shared" si="2"/>
        <v>249.54496874029095</v>
      </c>
      <c r="U106" s="26">
        <f t="shared" si="3"/>
        <v>83.654968740290954</v>
      </c>
    </row>
    <row r="107" spans="19:21" ht="14.65" thickBot="1" x14ac:dyDescent="0.5">
      <c r="S107" s="37">
        <f t="shared" si="2"/>
        <v>252.04041842769388</v>
      </c>
      <c r="U107" s="26">
        <f t="shared" si="3"/>
        <v>86.150418427693879</v>
      </c>
    </row>
    <row r="108" spans="19:21" ht="14.65" thickBot="1" x14ac:dyDescent="0.5">
      <c r="S108" s="37">
        <f t="shared" si="2"/>
        <v>254.56082261197082</v>
      </c>
      <c r="U108" s="26">
        <f t="shared" si="3"/>
        <v>88.67082261197082</v>
      </c>
    </row>
    <row r="109" spans="19:21" ht="14.65" thickBot="1" x14ac:dyDescent="0.5">
      <c r="S109" s="37">
        <f t="shared" si="2"/>
        <v>257.10643083809055</v>
      </c>
      <c r="U109" s="26">
        <f t="shared" si="3"/>
        <v>91.216430838090545</v>
      </c>
    </row>
    <row r="110" spans="19:21" ht="14.65" thickBot="1" x14ac:dyDescent="0.5">
      <c r="S110" s="37">
        <f t="shared" si="2"/>
        <v>259.67749514647147</v>
      </c>
      <c r="U110" s="26">
        <f t="shared" si="3"/>
        <v>93.787495146471471</v>
      </c>
    </row>
    <row r="111" spans="19:21" ht="14.65" thickBot="1" x14ac:dyDescent="0.5">
      <c r="S111" s="37">
        <f t="shared" si="2"/>
        <v>262.27427009793621</v>
      </c>
      <c r="U111" s="26">
        <f t="shared" si="3"/>
        <v>96.384270097936209</v>
      </c>
    </row>
    <row r="112" spans="19:21" ht="14.65" thickBot="1" x14ac:dyDescent="0.5">
      <c r="S112" s="37">
        <f t="shared" si="2"/>
        <v>264.89701279891557</v>
      </c>
      <c r="U112" s="26">
        <f t="shared" si="3"/>
        <v>99.007012798915568</v>
      </c>
    </row>
    <row r="113" spans="19:21" ht="14.65" thickBot="1" x14ac:dyDescent="0.5">
      <c r="S113" s="37">
        <f t="shared" si="2"/>
        <v>267.54598292690474</v>
      </c>
      <c r="U113" s="26">
        <f t="shared" si="3"/>
        <v>101.65598292690474</v>
      </c>
    </row>
    <row r="114" spans="19:21" ht="14.65" thickBot="1" x14ac:dyDescent="0.5">
      <c r="S114" s="37">
        <f t="shared" si="2"/>
        <v>270.22144275617381</v>
      </c>
      <c r="U114" s="26">
        <f t="shared" si="3"/>
        <v>104.33144275617381</v>
      </c>
    </row>
    <row r="115" spans="19:21" ht="14.65" thickBot="1" x14ac:dyDescent="0.5">
      <c r="S115" s="37">
        <f t="shared" si="2"/>
        <v>272.92365718373554</v>
      </c>
      <c r="U115" s="26">
        <f t="shared" si="3"/>
        <v>107.03365718373554</v>
      </c>
    </row>
    <row r="116" spans="19:21" ht="14.65" thickBot="1" x14ac:dyDescent="0.5">
      <c r="S116" s="37">
        <f t="shared" si="2"/>
        <v>275.6528937555729</v>
      </c>
      <c r="U116" s="26">
        <f t="shared" si="3"/>
        <v>109.7628937555729</v>
      </c>
    </row>
    <row r="117" spans="19:21" ht="14.65" thickBot="1" x14ac:dyDescent="0.5">
      <c r="S117" s="37">
        <f t="shared" si="2"/>
        <v>278.40942269312865</v>
      </c>
      <c r="U117" s="26">
        <f t="shared" si="3"/>
        <v>112.51942269312865</v>
      </c>
    </row>
    <row r="118" spans="19:21" ht="14.65" thickBot="1" x14ac:dyDescent="0.5">
      <c r="S118" s="37">
        <f t="shared" si="2"/>
        <v>281.19351692005995</v>
      </c>
      <c r="U118" s="26">
        <f t="shared" si="3"/>
        <v>115.30351692005995</v>
      </c>
    </row>
    <row r="119" spans="19:21" ht="14.65" thickBot="1" x14ac:dyDescent="0.5">
      <c r="S119" s="37">
        <f t="shared" si="2"/>
        <v>284.00545208926053</v>
      </c>
      <c r="U119" s="26">
        <f t="shared" si="3"/>
        <v>118.11545208926053</v>
      </c>
    </row>
    <row r="120" spans="19:21" ht="14.65" thickBot="1" x14ac:dyDescent="0.5">
      <c r="S120" s="37">
        <f t="shared" si="2"/>
        <v>286.84550661015317</v>
      </c>
      <c r="U120" s="26">
        <f t="shared" si="3"/>
        <v>120.95550661015315</v>
      </c>
    </row>
    <row r="121" spans="19:21" ht="14.65" thickBot="1" x14ac:dyDescent="0.5">
      <c r="S121" s="37">
        <f t="shared" si="2"/>
        <v>289.71396167625471</v>
      </c>
      <c r="U121" s="26">
        <f t="shared" si="3"/>
        <v>123.8239616762547</v>
      </c>
    </row>
    <row r="122" spans="19:21" ht="14.65" thickBot="1" x14ac:dyDescent="0.5">
      <c r="S122" s="37">
        <f t="shared" si="2"/>
        <v>292.61110129301727</v>
      </c>
      <c r="U122" s="26">
        <f t="shared" si="3"/>
        <v>126.72110129301726</v>
      </c>
    </row>
    <row r="123" spans="19:21" ht="14.65" thickBot="1" x14ac:dyDescent="0.5">
      <c r="S123" s="37">
        <f t="shared" si="2"/>
        <v>295.53721230594743</v>
      </c>
      <c r="U123" s="26">
        <f t="shared" si="3"/>
        <v>129.64721230594742</v>
      </c>
    </row>
    <row r="124" spans="19:21" ht="14.65" thickBot="1" x14ac:dyDescent="0.5">
      <c r="S124" s="37">
        <f t="shared" si="2"/>
        <v>298.49258442900691</v>
      </c>
      <c r="U124" s="26">
        <f t="shared" si="3"/>
        <v>132.6025844290069</v>
      </c>
    </row>
    <row r="125" spans="19:21" ht="14.65" thickBot="1" x14ac:dyDescent="0.5">
      <c r="S125" s="37">
        <f t="shared" si="2"/>
        <v>301.47751027329696</v>
      </c>
      <c r="U125" s="26">
        <f t="shared" si="3"/>
        <v>135.58751027329694</v>
      </c>
    </row>
    <row r="126" spans="19:21" ht="14.65" thickBot="1" x14ac:dyDescent="0.5">
      <c r="S126" s="37">
        <f t="shared" si="2"/>
        <v>304.49228537602994</v>
      </c>
      <c r="U126" s="26">
        <f t="shared" si="3"/>
        <v>138.60228537602993</v>
      </c>
    </row>
    <row r="127" spans="19:21" ht="14.65" thickBot="1" x14ac:dyDescent="0.5">
      <c r="S127" s="37">
        <f t="shared" si="2"/>
        <v>307.53720822979022</v>
      </c>
      <c r="U127" s="26">
        <f t="shared" si="3"/>
        <v>141.64720822979021</v>
      </c>
    </row>
    <row r="128" spans="19:21" ht="14.65" thickBot="1" x14ac:dyDescent="0.5">
      <c r="S128" s="37">
        <f t="shared" si="2"/>
        <v>310.61258031208814</v>
      </c>
      <c r="U128" s="26">
        <f t="shared" si="3"/>
        <v>144.72258031208813</v>
      </c>
    </row>
    <row r="129" spans="19:21" ht="14.65" thickBot="1" x14ac:dyDescent="0.5">
      <c r="S129" s="37">
        <f t="shared" si="2"/>
        <v>313.71870611520905</v>
      </c>
      <c r="U129" s="26">
        <f t="shared" si="3"/>
        <v>147.82870611520903</v>
      </c>
    </row>
    <row r="130" spans="19:21" ht="14.65" thickBot="1" x14ac:dyDescent="0.5">
      <c r="S130" s="37">
        <f t="shared" si="2"/>
        <v>316.85589317636112</v>
      </c>
      <c r="U130" s="26">
        <f t="shared" si="3"/>
        <v>150.96589317636111</v>
      </c>
    </row>
    <row r="131" spans="19:21" ht="14.65" thickBot="1" x14ac:dyDescent="0.5">
      <c r="S131" s="37">
        <f t="shared" si="2"/>
        <v>320.02445210812476</v>
      </c>
      <c r="U131" s="26">
        <f t="shared" si="3"/>
        <v>154.13445210812475</v>
      </c>
    </row>
    <row r="132" spans="19:21" ht="14.65" thickBot="1" x14ac:dyDescent="0.5">
      <c r="S132" s="37">
        <f t="shared" si="2"/>
        <v>323.22469662920599</v>
      </c>
      <c r="U132" s="26">
        <f t="shared" si="3"/>
        <v>157.33469662920598</v>
      </c>
    </row>
    <row r="133" spans="19:21" ht="14.65" thickBot="1" x14ac:dyDescent="0.5">
      <c r="S133" s="37">
        <f t="shared" si="2"/>
        <v>326.45694359549805</v>
      </c>
      <c r="U133" s="26">
        <f t="shared" si="3"/>
        <v>160.56694359549803</v>
      </c>
    </row>
    <row r="134" spans="19:21" ht="14.65" thickBot="1" x14ac:dyDescent="0.5">
      <c r="S134" s="37">
        <f t="shared" si="2"/>
        <v>329.72151303145301</v>
      </c>
      <c r="U134" s="26">
        <f t="shared" si="3"/>
        <v>163.831513031453</v>
      </c>
    </row>
    <row r="135" spans="19:21" ht="14.65" thickBot="1" x14ac:dyDescent="0.5">
      <c r="S135" s="37">
        <f t="shared" si="2"/>
        <v>333.01872816176757</v>
      </c>
      <c r="U135" s="26">
        <f t="shared" si="3"/>
        <v>167.12872816176755</v>
      </c>
    </row>
    <row r="136" spans="19:21" ht="14.65" thickBot="1" x14ac:dyDescent="0.5">
      <c r="S136" s="37">
        <f t="shared" si="2"/>
        <v>336.34891544338524</v>
      </c>
      <c r="U136" s="26">
        <f t="shared" si="3"/>
        <v>170.45891544338522</v>
      </c>
    </row>
    <row r="137" spans="19:21" ht="14.65" thickBot="1" x14ac:dyDescent="0.5">
      <c r="S137" s="37">
        <f t="shared" si="2"/>
        <v>339.7124045978191</v>
      </c>
      <c r="U137" s="26">
        <f t="shared" si="3"/>
        <v>173.82240459781909</v>
      </c>
    </row>
    <row r="138" spans="19:21" ht="14.65" thickBot="1" x14ac:dyDescent="0.5">
      <c r="S138" s="37">
        <f t="shared" si="2"/>
        <v>343.10952864379732</v>
      </c>
      <c r="U138" s="26">
        <f t="shared" si="3"/>
        <v>177.2195286437973</v>
      </c>
    </row>
    <row r="139" spans="19:21" ht="14.65" thickBot="1" x14ac:dyDescent="0.5">
      <c r="S139" s="37">
        <f t="shared" si="2"/>
        <v>346.54062393023531</v>
      </c>
      <c r="U139" s="26">
        <f t="shared" si="3"/>
        <v>180.6506239302353</v>
      </c>
    </row>
    <row r="140" spans="19:21" ht="14.65" thickBot="1" x14ac:dyDescent="0.5">
      <c r="S140" s="37">
        <f t="shared" si="2"/>
        <v>350.00603016953767</v>
      </c>
      <c r="U140" s="26">
        <f t="shared" si="3"/>
        <v>184.11603016953765</v>
      </c>
    </row>
    <row r="141" spans="19:21" ht="14.65" thickBot="1" x14ac:dyDescent="0.5">
      <c r="S141" s="37">
        <f t="shared" si="2"/>
        <v>353.50609047123305</v>
      </c>
      <c r="U141" s="26">
        <f t="shared" si="3"/>
        <v>187.61609047123304</v>
      </c>
    </row>
    <row r="142" spans="19:21" ht="14.65" thickBot="1" x14ac:dyDescent="0.5">
      <c r="S142" s="37">
        <f t="shared" si="2"/>
        <v>357.04115137594539</v>
      </c>
      <c r="U142" s="26">
        <f t="shared" si="3"/>
        <v>191.15115137594537</v>
      </c>
    </row>
    <row r="143" spans="19:21" ht="14.65" thickBot="1" x14ac:dyDescent="0.5">
      <c r="S143" s="37">
        <f t="shared" si="2"/>
        <v>360.61156288970483</v>
      </c>
      <c r="U143" s="26">
        <f t="shared" si="3"/>
        <v>194.72156288970481</v>
      </c>
    </row>
    <row r="144" spans="19:21" ht="14.65" thickBot="1" x14ac:dyDescent="0.5">
      <c r="S144" s="37">
        <f t="shared" si="2"/>
        <v>364.21767851860187</v>
      </c>
      <c r="U144" s="26">
        <f t="shared" si="3"/>
        <v>198.32767851860186</v>
      </c>
    </row>
    <row r="145" spans="19:21" ht="14.65" thickBot="1" x14ac:dyDescent="0.5">
      <c r="S145" s="37">
        <f t="shared" si="2"/>
        <v>367.85985530378787</v>
      </c>
      <c r="U145" s="26">
        <f t="shared" si="3"/>
        <v>201.96985530378785</v>
      </c>
    </row>
    <row r="146" spans="19:21" ht="14.65" thickBot="1" x14ac:dyDescent="0.5">
      <c r="S146" s="37">
        <f t="shared" si="2"/>
        <v>371.53845385682575</v>
      </c>
      <c r="U146" s="26">
        <f t="shared" si="3"/>
        <v>205.64845385682574</v>
      </c>
    </row>
    <row r="147" spans="19:21" ht="14.65" thickBot="1" x14ac:dyDescent="0.5">
      <c r="S147" s="37">
        <f t="shared" si="2"/>
        <v>375.25383839539404</v>
      </c>
      <c r="U147" s="26">
        <f t="shared" si="3"/>
        <v>209.36383839539403</v>
      </c>
    </row>
    <row r="148" spans="19:21" ht="14.65" thickBot="1" x14ac:dyDescent="0.5">
      <c r="S148" s="37">
        <f t="shared" si="2"/>
        <v>379.00637677934799</v>
      </c>
      <c r="U148" s="26">
        <f t="shared" si="3"/>
        <v>213.11637677934797</v>
      </c>
    </row>
    <row r="149" spans="19:21" ht="14.65" thickBot="1" x14ac:dyDescent="0.5">
      <c r="S149" s="37">
        <f t="shared" ref="S149:S212" si="4">S148*(1.01)</f>
        <v>382.79644054714146</v>
      </c>
      <c r="U149" s="26">
        <f t="shared" ref="U149:U212" si="5">IF(S149&lt;$D$8,$D$8-S149-$D$10,-$D$10)+IF(S149&lt;$D$7,-$D$9,S149-$D$7-$D$9)</f>
        <v>216.90644054714144</v>
      </c>
    </row>
    <row r="150" spans="19:21" ht="14.65" thickBot="1" x14ac:dyDescent="0.5">
      <c r="S150" s="37">
        <f t="shared" si="4"/>
        <v>386.62440495261285</v>
      </c>
      <c r="U150" s="26">
        <f t="shared" si="5"/>
        <v>220.73440495261283</v>
      </c>
    </row>
    <row r="151" spans="19:21" ht="14.65" thickBot="1" x14ac:dyDescent="0.5">
      <c r="S151" s="37">
        <f t="shared" si="4"/>
        <v>390.49064900213898</v>
      </c>
      <c r="U151" s="26">
        <f t="shared" si="5"/>
        <v>224.60064900213897</v>
      </c>
    </row>
    <row r="152" spans="19:21" ht="14.65" thickBot="1" x14ac:dyDescent="0.5">
      <c r="S152" s="37">
        <f t="shared" si="4"/>
        <v>394.39555549216038</v>
      </c>
      <c r="U152" s="26">
        <f t="shared" si="5"/>
        <v>228.50555549216037</v>
      </c>
    </row>
    <row r="153" spans="19:21" ht="14.65" thickBot="1" x14ac:dyDescent="0.5">
      <c r="S153" s="37">
        <f t="shared" si="4"/>
        <v>398.339511047082</v>
      </c>
      <c r="U153" s="26">
        <f t="shared" si="5"/>
        <v>232.44951104708198</v>
      </c>
    </row>
    <row r="154" spans="19:21" ht="14.65" thickBot="1" x14ac:dyDescent="0.5">
      <c r="S154" s="37">
        <f t="shared" si="4"/>
        <v>402.32290615755284</v>
      </c>
      <c r="U154" s="26">
        <f t="shared" si="5"/>
        <v>236.43290615755282</v>
      </c>
    </row>
    <row r="155" spans="19:21" ht="14.65" thickBot="1" x14ac:dyDescent="0.5">
      <c r="S155" s="37">
        <f t="shared" si="4"/>
        <v>406.34613521912837</v>
      </c>
      <c r="U155" s="26">
        <f t="shared" si="5"/>
        <v>240.45613521912836</v>
      </c>
    </row>
    <row r="156" spans="19:21" ht="14.65" thickBot="1" x14ac:dyDescent="0.5">
      <c r="S156" s="37">
        <f t="shared" si="4"/>
        <v>410.40959657131964</v>
      </c>
      <c r="U156" s="26">
        <f t="shared" si="5"/>
        <v>244.51959657131962</v>
      </c>
    </row>
    <row r="157" spans="19:21" ht="14.65" thickBot="1" x14ac:dyDescent="0.5">
      <c r="S157" s="37">
        <f t="shared" si="4"/>
        <v>414.51369253703285</v>
      </c>
      <c r="U157" s="26">
        <f t="shared" si="5"/>
        <v>248.62369253703284</v>
      </c>
    </row>
    <row r="158" spans="19:21" ht="14.65" thickBot="1" x14ac:dyDescent="0.5">
      <c r="S158" s="37">
        <f t="shared" si="4"/>
        <v>418.65882946240316</v>
      </c>
      <c r="U158" s="26">
        <f t="shared" si="5"/>
        <v>252.76882946240318</v>
      </c>
    </row>
    <row r="159" spans="19:21" ht="14.65" thickBot="1" x14ac:dyDescent="0.5">
      <c r="S159" s="37">
        <f t="shared" si="4"/>
        <v>422.84541775702718</v>
      </c>
      <c r="U159" s="26">
        <f t="shared" si="5"/>
        <v>256.95541775702719</v>
      </c>
    </row>
    <row r="160" spans="19:21" ht="14.65" thickBot="1" x14ac:dyDescent="0.5">
      <c r="S160" s="37">
        <f t="shared" si="4"/>
        <v>427.07387193459743</v>
      </c>
      <c r="U160" s="26">
        <f t="shared" si="5"/>
        <v>261.18387193459745</v>
      </c>
    </row>
    <row r="161" spans="19:21" ht="14.65" thickBot="1" x14ac:dyDescent="0.5">
      <c r="S161" s="37">
        <f t="shared" si="4"/>
        <v>431.34461065394339</v>
      </c>
      <c r="U161" s="26">
        <f t="shared" si="5"/>
        <v>265.4546106539434</v>
      </c>
    </row>
    <row r="162" spans="19:21" ht="14.65" thickBot="1" x14ac:dyDescent="0.5">
      <c r="S162" s="37">
        <f t="shared" si="4"/>
        <v>435.65805676048285</v>
      </c>
      <c r="U162" s="26">
        <f t="shared" si="5"/>
        <v>269.76805676048286</v>
      </c>
    </row>
    <row r="163" spans="19:21" ht="14.65" thickBot="1" x14ac:dyDescent="0.5">
      <c r="S163" s="37">
        <f t="shared" si="4"/>
        <v>440.0146373280877</v>
      </c>
      <c r="U163" s="26">
        <f t="shared" si="5"/>
        <v>274.12463732808772</v>
      </c>
    </row>
    <row r="164" spans="19:21" ht="14.65" thickBot="1" x14ac:dyDescent="0.5">
      <c r="S164" s="37">
        <f t="shared" si="4"/>
        <v>444.41478370136861</v>
      </c>
      <c r="U164" s="26">
        <f t="shared" si="5"/>
        <v>278.52478370136862</v>
      </c>
    </row>
    <row r="165" spans="19:21" ht="14.65" thickBot="1" x14ac:dyDescent="0.5">
      <c r="S165" s="37">
        <f t="shared" si="4"/>
        <v>448.85893153838231</v>
      </c>
      <c r="U165" s="26">
        <f t="shared" si="5"/>
        <v>282.96893153838232</v>
      </c>
    </row>
    <row r="166" spans="19:21" ht="14.65" thickBot="1" x14ac:dyDescent="0.5">
      <c r="S166" s="37">
        <f t="shared" si="4"/>
        <v>453.34752085376613</v>
      </c>
      <c r="U166" s="26">
        <f t="shared" si="5"/>
        <v>287.45752085376614</v>
      </c>
    </row>
    <row r="167" spans="19:21" ht="14.65" thickBot="1" x14ac:dyDescent="0.5">
      <c r="S167" s="37">
        <f t="shared" si="4"/>
        <v>457.88099606230378</v>
      </c>
      <c r="U167" s="26">
        <f t="shared" si="5"/>
        <v>291.99099606230379</v>
      </c>
    </row>
    <row r="168" spans="19:21" ht="14.65" thickBot="1" x14ac:dyDescent="0.5">
      <c r="S168" s="37">
        <f t="shared" si="4"/>
        <v>462.45980602292684</v>
      </c>
      <c r="U168" s="26">
        <f t="shared" si="5"/>
        <v>296.56980602292685</v>
      </c>
    </row>
    <row r="169" spans="19:21" ht="14.65" thickBot="1" x14ac:dyDescent="0.5">
      <c r="S169" s="37">
        <f t="shared" si="4"/>
        <v>467.08440408315613</v>
      </c>
      <c r="U169" s="26">
        <f t="shared" si="5"/>
        <v>301.19440408315614</v>
      </c>
    </row>
    <row r="170" spans="19:21" ht="14.65" thickBot="1" x14ac:dyDescent="0.5">
      <c r="S170" s="37">
        <f t="shared" si="4"/>
        <v>471.75524812398771</v>
      </c>
      <c r="U170" s="26">
        <f t="shared" si="5"/>
        <v>305.86524812398773</v>
      </c>
    </row>
    <row r="171" spans="19:21" ht="14.65" thickBot="1" x14ac:dyDescent="0.5">
      <c r="S171" s="37">
        <f t="shared" si="4"/>
        <v>476.47280060522758</v>
      </c>
      <c r="U171" s="26">
        <f t="shared" si="5"/>
        <v>310.58280060522759</v>
      </c>
    </row>
    <row r="172" spans="19:21" ht="14.65" thickBot="1" x14ac:dyDescent="0.5">
      <c r="S172" s="37">
        <f t="shared" si="4"/>
        <v>481.23752861127986</v>
      </c>
      <c r="U172" s="26">
        <f t="shared" si="5"/>
        <v>315.34752861127987</v>
      </c>
    </row>
    <row r="173" spans="19:21" ht="14.65" thickBot="1" x14ac:dyDescent="0.5">
      <c r="S173" s="37">
        <f t="shared" si="4"/>
        <v>486.04990389739265</v>
      </c>
      <c r="U173" s="26">
        <f t="shared" si="5"/>
        <v>320.15990389739267</v>
      </c>
    </row>
    <row r="174" spans="19:21" ht="14.65" thickBot="1" x14ac:dyDescent="0.5">
      <c r="S174" s="37">
        <f t="shared" si="4"/>
        <v>490.91040293636661</v>
      </c>
      <c r="U174" s="26">
        <f t="shared" si="5"/>
        <v>325.02040293636662</v>
      </c>
    </row>
    <row r="175" spans="19:21" ht="14.65" thickBot="1" x14ac:dyDescent="0.5">
      <c r="S175" s="37">
        <f t="shared" si="4"/>
        <v>495.81950696573028</v>
      </c>
      <c r="U175" s="26">
        <f t="shared" si="5"/>
        <v>329.9295069657303</v>
      </c>
    </row>
    <row r="176" spans="19:21" ht="14.65" thickBot="1" x14ac:dyDescent="0.5">
      <c r="S176" s="37">
        <f t="shared" si="4"/>
        <v>500.77770203538756</v>
      </c>
      <c r="U176" s="26">
        <f t="shared" si="5"/>
        <v>334.88770203538758</v>
      </c>
    </row>
    <row r="177" spans="19:21" ht="14.65" thickBot="1" x14ac:dyDescent="0.5">
      <c r="S177" s="37">
        <f t="shared" si="4"/>
        <v>505.78547905574146</v>
      </c>
      <c r="U177" s="26">
        <f t="shared" si="5"/>
        <v>339.89547905574148</v>
      </c>
    </row>
    <row r="178" spans="19:21" ht="14.65" thickBot="1" x14ac:dyDescent="0.5">
      <c r="S178" s="37">
        <f t="shared" si="4"/>
        <v>510.84333384629889</v>
      </c>
      <c r="U178" s="26">
        <f t="shared" si="5"/>
        <v>344.9533338462989</v>
      </c>
    </row>
    <row r="179" spans="19:21" ht="14.65" thickBot="1" x14ac:dyDescent="0.5">
      <c r="S179" s="37">
        <f t="shared" si="4"/>
        <v>515.95176718476193</v>
      </c>
      <c r="U179" s="26">
        <f t="shared" si="5"/>
        <v>350.06176718476195</v>
      </c>
    </row>
    <row r="180" spans="19:21" ht="14.65" thickBot="1" x14ac:dyDescent="0.5">
      <c r="S180" s="37">
        <f t="shared" si="4"/>
        <v>521.11128485660959</v>
      </c>
      <c r="U180" s="26">
        <f t="shared" si="5"/>
        <v>355.2212848566096</v>
      </c>
    </row>
    <row r="181" spans="19:21" ht="14.65" thickBot="1" x14ac:dyDescent="0.5">
      <c r="S181" s="37">
        <f t="shared" si="4"/>
        <v>526.32239770517572</v>
      </c>
      <c r="U181" s="26">
        <f t="shared" si="5"/>
        <v>360.43239770517573</v>
      </c>
    </row>
    <row r="182" spans="19:21" ht="14.65" thickBot="1" x14ac:dyDescent="0.5">
      <c r="S182" s="37">
        <f t="shared" si="4"/>
        <v>531.5856216822275</v>
      </c>
      <c r="U182" s="26">
        <f t="shared" si="5"/>
        <v>365.69562168222751</v>
      </c>
    </row>
    <row r="183" spans="19:21" ht="14.65" thickBot="1" x14ac:dyDescent="0.5">
      <c r="S183" s="37">
        <f t="shared" si="4"/>
        <v>536.90147789904972</v>
      </c>
      <c r="U183" s="26">
        <f t="shared" si="5"/>
        <v>371.01147789904974</v>
      </c>
    </row>
    <row r="184" spans="19:21" ht="14.65" thickBot="1" x14ac:dyDescent="0.5">
      <c r="S184" s="37">
        <f t="shared" si="4"/>
        <v>542.27049267804023</v>
      </c>
      <c r="U184" s="26">
        <f t="shared" si="5"/>
        <v>376.38049267804024</v>
      </c>
    </row>
    <row r="185" spans="19:21" ht="14.65" thickBot="1" x14ac:dyDescent="0.5">
      <c r="S185" s="37">
        <f t="shared" si="4"/>
        <v>547.69319760482063</v>
      </c>
      <c r="U185" s="26">
        <f t="shared" si="5"/>
        <v>381.80319760482064</v>
      </c>
    </row>
    <row r="186" spans="19:21" ht="14.65" thickBot="1" x14ac:dyDescent="0.5">
      <c r="S186" s="37">
        <f t="shared" si="4"/>
        <v>553.17012958086889</v>
      </c>
      <c r="U186" s="26">
        <f t="shared" si="5"/>
        <v>387.2801295808689</v>
      </c>
    </row>
    <row r="187" spans="19:21" ht="14.65" thickBot="1" x14ac:dyDescent="0.5">
      <c r="S187" s="37">
        <f t="shared" si="4"/>
        <v>558.7018308766776</v>
      </c>
      <c r="U187" s="26">
        <f t="shared" si="5"/>
        <v>392.81183087667762</v>
      </c>
    </row>
    <row r="188" spans="19:21" ht="14.65" thickBot="1" x14ac:dyDescent="0.5">
      <c r="S188" s="37">
        <f t="shared" si="4"/>
        <v>564.28884918544441</v>
      </c>
      <c r="U188" s="26">
        <f t="shared" si="5"/>
        <v>398.39884918544442</v>
      </c>
    </row>
    <row r="189" spans="19:21" ht="14.65" thickBot="1" x14ac:dyDescent="0.5">
      <c r="S189" s="37">
        <f t="shared" si="4"/>
        <v>569.93173767729888</v>
      </c>
      <c r="U189" s="26">
        <f t="shared" si="5"/>
        <v>404.0417376772989</v>
      </c>
    </row>
    <row r="190" spans="19:21" ht="14.65" thickBot="1" x14ac:dyDescent="0.5">
      <c r="S190" s="37">
        <f t="shared" si="4"/>
        <v>575.63105505407191</v>
      </c>
      <c r="U190" s="26">
        <f t="shared" si="5"/>
        <v>409.74105505407192</v>
      </c>
    </row>
    <row r="191" spans="19:21" ht="14.65" thickBot="1" x14ac:dyDescent="0.5">
      <c r="S191" s="37">
        <f t="shared" si="4"/>
        <v>581.38736560461268</v>
      </c>
      <c r="U191" s="26">
        <f t="shared" si="5"/>
        <v>415.4973656046127</v>
      </c>
    </row>
    <row r="192" spans="19:21" ht="14.65" thickBot="1" x14ac:dyDescent="0.5">
      <c r="S192" s="37">
        <f t="shared" si="4"/>
        <v>587.20123926065878</v>
      </c>
      <c r="U192" s="26">
        <f t="shared" si="5"/>
        <v>421.31123926065879</v>
      </c>
    </row>
    <row r="193" spans="19:21" ht="14.65" thickBot="1" x14ac:dyDescent="0.5">
      <c r="S193" s="37">
        <f t="shared" si="4"/>
        <v>593.0732516532654</v>
      </c>
      <c r="U193" s="26">
        <f t="shared" si="5"/>
        <v>427.18325165326542</v>
      </c>
    </row>
    <row r="194" spans="19:21" ht="14.65" thickBot="1" x14ac:dyDescent="0.5">
      <c r="S194" s="37">
        <f t="shared" si="4"/>
        <v>599.00398416979806</v>
      </c>
      <c r="U194" s="26">
        <f t="shared" si="5"/>
        <v>433.11398416979807</v>
      </c>
    </row>
    <row r="195" spans="19:21" ht="14.65" thickBot="1" x14ac:dyDescent="0.5">
      <c r="S195" s="37">
        <f t="shared" si="4"/>
        <v>604.99402401149609</v>
      </c>
      <c r="U195" s="26">
        <f t="shared" si="5"/>
        <v>439.10402401149611</v>
      </c>
    </row>
    <row r="196" spans="19:21" ht="14.65" thickBot="1" x14ac:dyDescent="0.5">
      <c r="S196" s="37">
        <f t="shared" si="4"/>
        <v>611.0439642516111</v>
      </c>
      <c r="U196" s="26">
        <f t="shared" si="5"/>
        <v>445.15396425161111</v>
      </c>
    </row>
    <row r="197" spans="19:21" ht="14.65" thickBot="1" x14ac:dyDescent="0.5">
      <c r="S197" s="37">
        <f t="shared" si="4"/>
        <v>617.1544038941272</v>
      </c>
      <c r="U197" s="26">
        <f t="shared" si="5"/>
        <v>451.26440389412721</v>
      </c>
    </row>
    <row r="198" spans="19:21" ht="14.65" thickBot="1" x14ac:dyDescent="0.5">
      <c r="S198" s="37">
        <f t="shared" si="4"/>
        <v>623.32594793306851</v>
      </c>
      <c r="U198" s="26">
        <f t="shared" si="5"/>
        <v>457.43594793306852</v>
      </c>
    </row>
    <row r="199" spans="19:21" ht="14.65" thickBot="1" x14ac:dyDescent="0.5">
      <c r="S199" s="37">
        <f t="shared" si="4"/>
        <v>629.55920741239925</v>
      </c>
      <c r="U199" s="26">
        <f t="shared" si="5"/>
        <v>463.66920741239926</v>
      </c>
    </row>
    <row r="200" spans="19:21" ht="14.65" thickBot="1" x14ac:dyDescent="0.5">
      <c r="S200" s="37">
        <f t="shared" si="4"/>
        <v>635.85479948652323</v>
      </c>
      <c r="U200" s="26">
        <f t="shared" si="5"/>
        <v>469.96479948652325</v>
      </c>
    </row>
    <row r="201" spans="19:21" ht="14.65" thickBot="1" x14ac:dyDescent="0.5">
      <c r="S201" s="37">
        <f t="shared" si="4"/>
        <v>642.2133474813885</v>
      </c>
      <c r="U201" s="26">
        <f t="shared" si="5"/>
        <v>476.32334748138851</v>
      </c>
    </row>
    <row r="202" spans="19:21" ht="14.65" thickBot="1" x14ac:dyDescent="0.5">
      <c r="S202" s="37">
        <f t="shared" si="4"/>
        <v>648.6354809562024</v>
      </c>
      <c r="U202" s="26">
        <f t="shared" si="5"/>
        <v>482.74548095620241</v>
      </c>
    </row>
    <row r="203" spans="19:21" ht="14.65" thickBot="1" x14ac:dyDescent="0.5">
      <c r="S203" s="37">
        <f t="shared" si="4"/>
        <v>655.12183576576444</v>
      </c>
      <c r="U203" s="26">
        <f t="shared" si="5"/>
        <v>489.23183576576446</v>
      </c>
    </row>
    <row r="204" spans="19:21" ht="14.65" thickBot="1" x14ac:dyDescent="0.5">
      <c r="S204" s="37">
        <f t="shared" si="4"/>
        <v>661.67305412342205</v>
      </c>
      <c r="U204" s="26">
        <f t="shared" si="5"/>
        <v>495.78305412342206</v>
      </c>
    </row>
    <row r="205" spans="19:21" ht="14.65" thickBot="1" x14ac:dyDescent="0.5">
      <c r="S205" s="37">
        <f t="shared" si="4"/>
        <v>668.28978466465628</v>
      </c>
      <c r="U205" s="26">
        <f t="shared" si="5"/>
        <v>502.39978466465629</v>
      </c>
    </row>
    <row r="206" spans="19:21" ht="14.65" thickBot="1" x14ac:dyDescent="0.5">
      <c r="S206" s="37">
        <f t="shared" si="4"/>
        <v>674.97268251130288</v>
      </c>
      <c r="U206" s="26">
        <f t="shared" si="5"/>
        <v>509.08268251130289</v>
      </c>
    </row>
    <row r="207" spans="19:21" ht="14.65" thickBot="1" x14ac:dyDescent="0.5">
      <c r="S207" s="37">
        <f t="shared" si="4"/>
        <v>681.72240933641592</v>
      </c>
      <c r="U207" s="26">
        <f t="shared" si="5"/>
        <v>515.83240933641594</v>
      </c>
    </row>
    <row r="208" spans="19:21" ht="14.65" thickBot="1" x14ac:dyDescent="0.5">
      <c r="S208" s="37">
        <f t="shared" si="4"/>
        <v>688.53963342978011</v>
      </c>
      <c r="U208" s="26">
        <f t="shared" si="5"/>
        <v>522.64963342978012</v>
      </c>
    </row>
    <row r="209" spans="19:21" ht="14.65" thickBot="1" x14ac:dyDescent="0.5">
      <c r="S209" s="37">
        <f t="shared" si="4"/>
        <v>695.42502976407786</v>
      </c>
      <c r="U209" s="26">
        <f t="shared" si="5"/>
        <v>529.53502976407788</v>
      </c>
    </row>
    <row r="210" spans="19:21" ht="14.65" thickBot="1" x14ac:dyDescent="0.5">
      <c r="S210" s="37">
        <f t="shared" si="4"/>
        <v>702.37928006171865</v>
      </c>
      <c r="U210" s="26">
        <f t="shared" si="5"/>
        <v>536.48928006171866</v>
      </c>
    </row>
    <row r="211" spans="19:21" ht="14.65" thickBot="1" x14ac:dyDescent="0.5">
      <c r="S211" s="37">
        <f t="shared" si="4"/>
        <v>709.40307286233588</v>
      </c>
      <c r="U211" s="26">
        <f t="shared" si="5"/>
        <v>543.51307286233589</v>
      </c>
    </row>
    <row r="212" spans="19:21" ht="14.65" thickBot="1" x14ac:dyDescent="0.5">
      <c r="S212" s="37">
        <f t="shared" si="4"/>
        <v>716.49710359095923</v>
      </c>
      <c r="U212" s="26">
        <f t="shared" si="5"/>
        <v>550.60710359095924</v>
      </c>
    </row>
    <row r="213" spans="19:21" ht="14.65" thickBot="1" x14ac:dyDescent="0.5">
      <c r="S213" s="37">
        <f t="shared" ref="S213:S276" si="6">S212*(1.01)</f>
        <v>723.66207462686884</v>
      </c>
      <c r="U213" s="26">
        <f t="shared" ref="U213:U276" si="7">IF(S213&lt;$D$8,$D$8-S213-$D$10,-$D$10)+IF(S213&lt;$D$7,-$D$9,S213-$D$7-$D$9)</f>
        <v>557.77207462686886</v>
      </c>
    </row>
    <row r="214" spans="19:21" ht="14.65" thickBot="1" x14ac:dyDescent="0.5">
      <c r="S214" s="37">
        <f t="shared" si="6"/>
        <v>730.89869537313757</v>
      </c>
      <c r="U214" s="26">
        <f t="shared" si="7"/>
        <v>565.00869537313758</v>
      </c>
    </row>
    <row r="215" spans="19:21" ht="14.65" thickBot="1" x14ac:dyDescent="0.5">
      <c r="S215" s="37">
        <f t="shared" si="6"/>
        <v>738.20768232686896</v>
      </c>
      <c r="U215" s="26">
        <f t="shared" si="7"/>
        <v>572.31768232686898</v>
      </c>
    </row>
    <row r="216" spans="19:21" ht="14.65" thickBot="1" x14ac:dyDescent="0.5">
      <c r="S216" s="37">
        <f t="shared" si="6"/>
        <v>745.58975915013764</v>
      </c>
      <c r="U216" s="26">
        <f t="shared" si="7"/>
        <v>579.69975915013765</v>
      </c>
    </row>
    <row r="217" spans="19:21" ht="14.65" thickBot="1" x14ac:dyDescent="0.5">
      <c r="S217" s="37">
        <f t="shared" si="6"/>
        <v>753.04565674163905</v>
      </c>
      <c r="U217" s="26">
        <f t="shared" si="7"/>
        <v>587.15565674163906</v>
      </c>
    </row>
    <row r="218" spans="19:21" ht="14.65" thickBot="1" x14ac:dyDescent="0.5">
      <c r="S218" s="37">
        <f t="shared" si="6"/>
        <v>760.57611330905547</v>
      </c>
      <c r="U218" s="26">
        <f t="shared" si="7"/>
        <v>594.68611330905549</v>
      </c>
    </row>
    <row r="219" spans="19:21" ht="14.65" thickBot="1" x14ac:dyDescent="0.5">
      <c r="S219" s="37">
        <f t="shared" si="6"/>
        <v>768.18187444214607</v>
      </c>
      <c r="U219" s="26">
        <f t="shared" si="7"/>
        <v>602.29187444214608</v>
      </c>
    </row>
    <row r="220" spans="19:21" ht="14.65" thickBot="1" x14ac:dyDescent="0.5">
      <c r="S220" s="37">
        <f t="shared" si="6"/>
        <v>775.8636931865675</v>
      </c>
      <c r="U220" s="26">
        <f t="shared" si="7"/>
        <v>609.97369318656752</v>
      </c>
    </row>
    <row r="221" spans="19:21" ht="14.65" thickBot="1" x14ac:dyDescent="0.5">
      <c r="S221" s="37">
        <f t="shared" si="6"/>
        <v>783.62233011843318</v>
      </c>
      <c r="U221" s="26">
        <f t="shared" si="7"/>
        <v>617.7323301184332</v>
      </c>
    </row>
    <row r="222" spans="19:21" ht="14.65" thickBot="1" x14ac:dyDescent="0.5">
      <c r="S222" s="37">
        <f t="shared" si="6"/>
        <v>791.45855341961749</v>
      </c>
      <c r="U222" s="26">
        <f t="shared" si="7"/>
        <v>625.5685534196175</v>
      </c>
    </row>
    <row r="223" spans="19:21" ht="14.65" thickBot="1" x14ac:dyDescent="0.5">
      <c r="S223" s="37">
        <f t="shared" si="6"/>
        <v>799.37313895381362</v>
      </c>
      <c r="U223" s="26">
        <f t="shared" si="7"/>
        <v>633.48313895381364</v>
      </c>
    </row>
    <row r="224" spans="19:21" ht="14.65" thickBot="1" x14ac:dyDescent="0.5">
      <c r="S224" s="37">
        <f t="shared" si="6"/>
        <v>807.36687034335182</v>
      </c>
      <c r="U224" s="26">
        <f t="shared" si="7"/>
        <v>641.47687034335183</v>
      </c>
    </row>
    <row r="225" spans="19:21" ht="14.65" thickBot="1" x14ac:dyDescent="0.5">
      <c r="S225" s="37">
        <f t="shared" si="6"/>
        <v>815.44053904678537</v>
      </c>
      <c r="U225" s="26">
        <f t="shared" si="7"/>
        <v>649.55053904678539</v>
      </c>
    </row>
    <row r="226" spans="19:21" ht="14.65" thickBot="1" x14ac:dyDescent="0.5">
      <c r="S226" s="37">
        <f t="shared" si="6"/>
        <v>823.59494443725328</v>
      </c>
      <c r="U226" s="26">
        <f t="shared" si="7"/>
        <v>657.70494443725329</v>
      </c>
    </row>
    <row r="227" spans="19:21" ht="14.65" thickBot="1" x14ac:dyDescent="0.5">
      <c r="S227" s="37">
        <f t="shared" si="6"/>
        <v>831.8308938816258</v>
      </c>
      <c r="U227" s="26">
        <f t="shared" si="7"/>
        <v>665.94089388162581</v>
      </c>
    </row>
    <row r="228" spans="19:21" ht="14.65" thickBot="1" x14ac:dyDescent="0.5">
      <c r="S228" s="37">
        <f t="shared" si="6"/>
        <v>840.14920282044204</v>
      </c>
      <c r="U228" s="26">
        <f t="shared" si="7"/>
        <v>674.25920282044206</v>
      </c>
    </row>
    <row r="229" spans="19:21" ht="14.65" thickBot="1" x14ac:dyDescent="0.5">
      <c r="S229" s="37">
        <f t="shared" si="6"/>
        <v>848.55069484864646</v>
      </c>
      <c r="U229" s="26">
        <f t="shared" si="7"/>
        <v>682.66069484864647</v>
      </c>
    </row>
    <row r="230" spans="19:21" ht="14.65" thickBot="1" x14ac:dyDescent="0.5">
      <c r="S230" s="37">
        <f t="shared" si="6"/>
        <v>857.03620179713289</v>
      </c>
      <c r="U230" s="26">
        <f t="shared" si="7"/>
        <v>691.1462017971329</v>
      </c>
    </row>
    <row r="231" spans="19:21" ht="14.65" thickBot="1" x14ac:dyDescent="0.5">
      <c r="S231" s="37">
        <f t="shared" si="6"/>
        <v>865.60656381510421</v>
      </c>
      <c r="U231" s="26">
        <f t="shared" si="7"/>
        <v>699.71656381510422</v>
      </c>
    </row>
    <row r="232" spans="19:21" ht="14.65" thickBot="1" x14ac:dyDescent="0.5">
      <c r="S232" s="37">
        <f t="shared" si="6"/>
        <v>874.26262945325527</v>
      </c>
      <c r="U232" s="26">
        <f t="shared" si="7"/>
        <v>708.37262945325529</v>
      </c>
    </row>
    <row r="233" spans="19:21" ht="14.65" thickBot="1" x14ac:dyDescent="0.5">
      <c r="S233" s="37">
        <f t="shared" si="6"/>
        <v>883.00525574778783</v>
      </c>
      <c r="U233" s="26">
        <f t="shared" si="7"/>
        <v>717.11525574778784</v>
      </c>
    </row>
    <row r="234" spans="19:21" ht="14.65" thickBot="1" x14ac:dyDescent="0.5">
      <c r="S234" s="37">
        <f t="shared" si="6"/>
        <v>891.8353083052657</v>
      </c>
      <c r="U234" s="26">
        <f t="shared" si="7"/>
        <v>725.94530830526571</v>
      </c>
    </row>
    <row r="235" spans="19:21" ht="14.65" thickBot="1" x14ac:dyDescent="0.5">
      <c r="S235" s="37">
        <f t="shared" si="6"/>
        <v>900.75366138831839</v>
      </c>
      <c r="U235" s="26">
        <f t="shared" si="7"/>
        <v>734.86366138831841</v>
      </c>
    </row>
    <row r="236" spans="19:21" ht="14.65" thickBot="1" x14ac:dyDescent="0.5">
      <c r="S236" s="37">
        <f t="shared" si="6"/>
        <v>909.76119800220158</v>
      </c>
      <c r="U236" s="26">
        <f t="shared" si="7"/>
        <v>743.8711980022016</v>
      </c>
    </row>
    <row r="237" spans="19:21" ht="14.65" thickBot="1" x14ac:dyDescent="0.5">
      <c r="S237" s="37">
        <f t="shared" si="6"/>
        <v>918.85880998222365</v>
      </c>
      <c r="U237" s="26">
        <f t="shared" si="7"/>
        <v>752.96880998222366</v>
      </c>
    </row>
    <row r="238" spans="19:21" ht="14.65" thickBot="1" x14ac:dyDescent="0.5">
      <c r="S238" s="37">
        <f t="shared" si="6"/>
        <v>928.0473980820459</v>
      </c>
      <c r="U238" s="26">
        <f t="shared" si="7"/>
        <v>762.15739808204592</v>
      </c>
    </row>
    <row r="239" spans="19:21" ht="14.65" thickBot="1" x14ac:dyDescent="0.5">
      <c r="S239" s="37">
        <f t="shared" si="6"/>
        <v>937.32787206286639</v>
      </c>
      <c r="U239" s="26">
        <f t="shared" si="7"/>
        <v>771.4378720628664</v>
      </c>
    </row>
    <row r="240" spans="19:21" ht="14.65" thickBot="1" x14ac:dyDescent="0.5">
      <c r="S240" s="37">
        <f t="shared" si="6"/>
        <v>946.70115078349511</v>
      </c>
      <c r="U240" s="26">
        <f t="shared" si="7"/>
        <v>780.81115078349512</v>
      </c>
    </row>
    <row r="241" spans="19:21" ht="14.65" thickBot="1" x14ac:dyDescent="0.5">
      <c r="S241" s="37">
        <f t="shared" si="6"/>
        <v>956.16816229133008</v>
      </c>
      <c r="U241" s="26">
        <f t="shared" si="7"/>
        <v>790.27816229133009</v>
      </c>
    </row>
    <row r="242" spans="19:21" ht="14.65" thickBot="1" x14ac:dyDescent="0.5">
      <c r="S242" s="37">
        <f t="shared" si="6"/>
        <v>965.72984391424336</v>
      </c>
      <c r="U242" s="26">
        <f t="shared" si="7"/>
        <v>799.83984391424337</v>
      </c>
    </row>
    <row r="243" spans="19:21" ht="14.65" thickBot="1" x14ac:dyDescent="0.5">
      <c r="S243" s="37">
        <f t="shared" si="6"/>
        <v>975.3871423533858</v>
      </c>
      <c r="U243" s="26">
        <f t="shared" si="7"/>
        <v>809.49714235338581</v>
      </c>
    </row>
    <row r="244" spans="19:21" ht="14.65" thickBot="1" x14ac:dyDescent="0.5">
      <c r="S244" s="37">
        <f t="shared" si="6"/>
        <v>985.14101377691964</v>
      </c>
      <c r="U244" s="26">
        <f t="shared" si="7"/>
        <v>819.25101377691965</v>
      </c>
    </row>
    <row r="245" spans="19:21" ht="14.65" thickBot="1" x14ac:dyDescent="0.5">
      <c r="S245" s="37">
        <f t="shared" si="6"/>
        <v>994.99242391468886</v>
      </c>
      <c r="U245" s="26">
        <f t="shared" si="7"/>
        <v>829.10242391468887</v>
      </c>
    </row>
    <row r="246" spans="19:21" ht="14.65" thickBot="1" x14ac:dyDescent="0.5">
      <c r="S246" s="37">
        <f t="shared" si="6"/>
        <v>1004.9423481538357</v>
      </c>
      <c r="U246" s="26">
        <f t="shared" si="7"/>
        <v>839.05234815383574</v>
      </c>
    </row>
    <row r="247" spans="19:21" ht="14.65" thickBot="1" x14ac:dyDescent="0.5">
      <c r="S247" s="37">
        <f t="shared" si="6"/>
        <v>1014.9917716353741</v>
      </c>
      <c r="U247" s="26">
        <f t="shared" si="7"/>
        <v>849.10177163537412</v>
      </c>
    </row>
    <row r="248" spans="19:21" ht="14.65" thickBot="1" x14ac:dyDescent="0.5">
      <c r="S248" s="37">
        <f t="shared" si="6"/>
        <v>1025.1416893517278</v>
      </c>
      <c r="U248" s="26">
        <f t="shared" si="7"/>
        <v>859.2516893517278</v>
      </c>
    </row>
    <row r="249" spans="19:21" ht="14.65" thickBot="1" x14ac:dyDescent="0.5">
      <c r="S249" s="37">
        <f t="shared" si="6"/>
        <v>1035.393106245245</v>
      </c>
      <c r="U249" s="26">
        <f t="shared" si="7"/>
        <v>869.50310624524502</v>
      </c>
    </row>
    <row r="250" spans="19:21" ht="14.65" thickBot="1" x14ac:dyDescent="0.5">
      <c r="S250" s="37">
        <f t="shared" si="6"/>
        <v>1045.7470373076974</v>
      </c>
      <c r="U250" s="26">
        <f t="shared" si="7"/>
        <v>879.8570373076974</v>
      </c>
    </row>
    <row r="251" spans="19:21" ht="14.65" thickBot="1" x14ac:dyDescent="0.5">
      <c r="S251" s="37">
        <f t="shared" si="6"/>
        <v>1056.2045076807744</v>
      </c>
      <c r="U251" s="26">
        <f t="shared" si="7"/>
        <v>890.31450768077445</v>
      </c>
    </row>
    <row r="252" spans="19:21" ht="14.65" thickBot="1" x14ac:dyDescent="0.5">
      <c r="S252" s="37">
        <f t="shared" si="6"/>
        <v>1066.7665527575823</v>
      </c>
      <c r="U252" s="26">
        <f t="shared" si="7"/>
        <v>900.87655275758232</v>
      </c>
    </row>
    <row r="253" spans="19:21" ht="14.65" thickBot="1" x14ac:dyDescent="0.5">
      <c r="S253" s="37">
        <f t="shared" si="6"/>
        <v>1077.4342182851581</v>
      </c>
      <c r="U253" s="26">
        <f t="shared" si="7"/>
        <v>911.54421828515808</v>
      </c>
    </row>
    <row r="254" spans="19:21" ht="14.65" thickBot="1" x14ac:dyDescent="0.5">
      <c r="S254" s="37">
        <f t="shared" si="6"/>
        <v>1088.2085604680096</v>
      </c>
      <c r="U254" s="26">
        <f t="shared" si="7"/>
        <v>922.31856046800965</v>
      </c>
    </row>
    <row r="255" spans="19:21" ht="14.65" thickBot="1" x14ac:dyDescent="0.5">
      <c r="S255" s="37">
        <f t="shared" si="6"/>
        <v>1099.0906460726897</v>
      </c>
      <c r="U255" s="26">
        <f t="shared" si="7"/>
        <v>933.20064607268966</v>
      </c>
    </row>
    <row r="256" spans="19:21" ht="14.65" thickBot="1" x14ac:dyDescent="0.5">
      <c r="S256" s="37">
        <f t="shared" si="6"/>
        <v>1110.0815525334165</v>
      </c>
      <c r="U256" s="26">
        <f t="shared" si="7"/>
        <v>944.19155253341648</v>
      </c>
    </row>
    <row r="257" spans="19:21" ht="14.65" thickBot="1" x14ac:dyDescent="0.5">
      <c r="S257" s="37">
        <f t="shared" si="6"/>
        <v>1121.1823680587506</v>
      </c>
      <c r="U257" s="26">
        <f t="shared" si="7"/>
        <v>955.29236805875064</v>
      </c>
    </row>
    <row r="258" spans="19:21" ht="14.65" thickBot="1" x14ac:dyDescent="0.5">
      <c r="S258" s="37">
        <f t="shared" si="6"/>
        <v>1132.3941917393381</v>
      </c>
      <c r="U258" s="26">
        <f t="shared" si="7"/>
        <v>966.50419173933813</v>
      </c>
    </row>
    <row r="259" spans="19:21" ht="14.65" thickBot="1" x14ac:dyDescent="0.5">
      <c r="S259" s="37">
        <f t="shared" si="6"/>
        <v>1143.7181336567314</v>
      </c>
      <c r="U259" s="26">
        <f t="shared" si="7"/>
        <v>977.82813365673144</v>
      </c>
    </row>
    <row r="260" spans="19:21" ht="14.65" thickBot="1" x14ac:dyDescent="0.5">
      <c r="S260" s="37">
        <f t="shared" si="6"/>
        <v>1155.1553149932988</v>
      </c>
      <c r="U260" s="26">
        <f t="shared" si="7"/>
        <v>989.26531499329883</v>
      </c>
    </row>
    <row r="261" spans="19:21" ht="14.65" thickBot="1" x14ac:dyDescent="0.5">
      <c r="S261" s="37">
        <f t="shared" si="6"/>
        <v>1166.7068681432318</v>
      </c>
      <c r="U261" s="26">
        <f t="shared" si="7"/>
        <v>1000.8168681432318</v>
      </c>
    </row>
    <row r="262" spans="19:21" ht="14.65" thickBot="1" x14ac:dyDescent="0.5">
      <c r="S262" s="37">
        <f t="shared" si="6"/>
        <v>1178.373936824664</v>
      </c>
      <c r="U262" s="26">
        <f t="shared" si="7"/>
        <v>1012.4839368246641</v>
      </c>
    </row>
    <row r="263" spans="19:21" ht="14.65" thickBot="1" x14ac:dyDescent="0.5">
      <c r="S263" s="37">
        <f t="shared" si="6"/>
        <v>1190.1576761929107</v>
      </c>
      <c r="U263" s="26">
        <f t="shared" si="7"/>
        <v>1024.2676761929108</v>
      </c>
    </row>
    <row r="264" spans="19:21" ht="14.65" thickBot="1" x14ac:dyDescent="0.5">
      <c r="S264" s="37">
        <f t="shared" si="6"/>
        <v>1202.0592529548398</v>
      </c>
      <c r="U264" s="26">
        <f t="shared" si="7"/>
        <v>1036.16925295484</v>
      </c>
    </row>
    <row r="265" spans="19:21" ht="14.65" thickBot="1" x14ac:dyDescent="0.5">
      <c r="S265" s="37">
        <f t="shared" si="6"/>
        <v>1214.0798454843882</v>
      </c>
      <c r="U265" s="26">
        <f t="shared" si="7"/>
        <v>1048.1898454843883</v>
      </c>
    </row>
    <row r="266" spans="19:21" ht="14.65" thickBot="1" x14ac:dyDescent="0.5">
      <c r="S266" s="37">
        <f t="shared" si="6"/>
        <v>1226.2206439392321</v>
      </c>
      <c r="U266" s="26">
        <f t="shared" si="7"/>
        <v>1060.3306439392322</v>
      </c>
    </row>
    <row r="267" spans="19:21" ht="14.65" thickBot="1" x14ac:dyDescent="0.5">
      <c r="S267" s="37">
        <f t="shared" si="6"/>
        <v>1238.4828503786243</v>
      </c>
      <c r="U267" s="26">
        <f t="shared" si="7"/>
        <v>1072.5928503786245</v>
      </c>
    </row>
    <row r="268" spans="19:21" ht="14.65" thickBot="1" x14ac:dyDescent="0.5">
      <c r="S268" s="37">
        <f t="shared" si="6"/>
        <v>1250.8676788824107</v>
      </c>
      <c r="U268" s="26">
        <f t="shared" si="7"/>
        <v>1084.9776788824108</v>
      </c>
    </row>
    <row r="269" spans="19:21" ht="14.65" thickBot="1" x14ac:dyDescent="0.5">
      <c r="S269" s="37">
        <f t="shared" si="6"/>
        <v>1263.3763556712347</v>
      </c>
      <c r="U269" s="26">
        <f t="shared" si="7"/>
        <v>1097.4863556712348</v>
      </c>
    </row>
    <row r="270" spans="19:21" ht="14.65" thickBot="1" x14ac:dyDescent="0.5">
      <c r="S270" s="37">
        <f t="shared" si="6"/>
        <v>1276.0101192279471</v>
      </c>
      <c r="U270" s="26">
        <f t="shared" si="7"/>
        <v>1110.1201192279473</v>
      </c>
    </row>
    <row r="271" spans="19:21" ht="14.65" thickBot="1" x14ac:dyDescent="0.5">
      <c r="S271" s="37">
        <f t="shared" si="6"/>
        <v>1288.7702204202267</v>
      </c>
      <c r="U271" s="26">
        <f t="shared" si="7"/>
        <v>1122.8802204202268</v>
      </c>
    </row>
    <row r="272" spans="19:21" ht="14.65" thickBot="1" x14ac:dyDescent="0.5">
      <c r="S272" s="37">
        <f t="shared" si="6"/>
        <v>1301.6579226244289</v>
      </c>
      <c r="U272" s="26">
        <f t="shared" si="7"/>
        <v>1135.767922624429</v>
      </c>
    </row>
    <row r="273" spans="19:21" ht="14.65" thickBot="1" x14ac:dyDescent="0.5">
      <c r="S273" s="37">
        <f t="shared" si="6"/>
        <v>1314.6745018506733</v>
      </c>
      <c r="U273" s="26">
        <f t="shared" si="7"/>
        <v>1148.7845018506735</v>
      </c>
    </row>
    <row r="274" spans="19:21" ht="14.65" thickBot="1" x14ac:dyDescent="0.5">
      <c r="S274" s="37">
        <f t="shared" si="6"/>
        <v>1327.82124686918</v>
      </c>
      <c r="U274" s="26">
        <f t="shared" si="7"/>
        <v>1161.9312468691801</v>
      </c>
    </row>
    <row r="275" spans="19:21" ht="14.65" thickBot="1" x14ac:dyDescent="0.5">
      <c r="S275" s="37">
        <f t="shared" si="6"/>
        <v>1341.0994593378718</v>
      </c>
      <c r="U275" s="26">
        <f t="shared" si="7"/>
        <v>1175.209459337872</v>
      </c>
    </row>
    <row r="276" spans="19:21" ht="14.65" thickBot="1" x14ac:dyDescent="0.5">
      <c r="S276" s="37">
        <f t="shared" si="6"/>
        <v>1354.5104539312506</v>
      </c>
      <c r="U276" s="26">
        <f t="shared" si="7"/>
        <v>1188.6204539312507</v>
      </c>
    </row>
    <row r="277" spans="19:21" ht="14.65" thickBot="1" x14ac:dyDescent="0.5">
      <c r="S277" s="37">
        <f t="shared" ref="S277:S340" si="8">S276*(1.01)</f>
        <v>1368.055558470563</v>
      </c>
      <c r="U277" s="26">
        <f t="shared" ref="U277:U340" si="9">IF(S277&lt;$D$8,$D$8-S277-$D$10,-$D$10)+IF(S277&lt;$D$7,-$D$9,S277-$D$7-$D$9)</f>
        <v>1202.1655584705632</v>
      </c>
    </row>
    <row r="278" spans="19:21" ht="14.65" thickBot="1" x14ac:dyDescent="0.5">
      <c r="S278" s="37">
        <f t="shared" si="8"/>
        <v>1381.7361140552687</v>
      </c>
      <c r="U278" s="26">
        <f t="shared" si="9"/>
        <v>1215.8461140552688</v>
      </c>
    </row>
    <row r="279" spans="19:21" ht="14.65" thickBot="1" x14ac:dyDescent="0.5">
      <c r="S279" s="37">
        <f t="shared" si="8"/>
        <v>1395.5534751958214</v>
      </c>
      <c r="U279" s="26">
        <f t="shared" si="9"/>
        <v>1229.6634751958215</v>
      </c>
    </row>
    <row r="280" spans="19:21" ht="14.65" thickBot="1" x14ac:dyDescent="0.5">
      <c r="S280" s="37">
        <f t="shared" si="8"/>
        <v>1409.5090099477798</v>
      </c>
      <c r="U280" s="26">
        <f t="shared" si="9"/>
        <v>1243.6190099477799</v>
      </c>
    </row>
    <row r="281" spans="19:21" ht="14.65" thickBot="1" x14ac:dyDescent="0.5">
      <c r="S281" s="37">
        <f t="shared" si="8"/>
        <v>1423.6041000472576</v>
      </c>
      <c r="U281" s="26">
        <f t="shared" si="9"/>
        <v>1257.7141000472577</v>
      </c>
    </row>
    <row r="282" spans="19:21" ht="14.65" thickBot="1" x14ac:dyDescent="0.5">
      <c r="S282" s="37">
        <f t="shared" si="8"/>
        <v>1437.8401410477302</v>
      </c>
      <c r="U282" s="26">
        <f t="shared" si="9"/>
        <v>1271.9501410477303</v>
      </c>
    </row>
    <row r="283" spans="19:21" ht="14.65" thickBot="1" x14ac:dyDescent="0.5">
      <c r="S283" s="37">
        <f t="shared" si="8"/>
        <v>1452.2185424582076</v>
      </c>
      <c r="U283" s="26">
        <f t="shared" si="9"/>
        <v>1286.3285424582077</v>
      </c>
    </row>
    <row r="284" spans="19:21" ht="14.65" thickBot="1" x14ac:dyDescent="0.5">
      <c r="S284" s="37">
        <f t="shared" si="8"/>
        <v>1466.7407278827898</v>
      </c>
      <c r="U284" s="26">
        <f t="shared" si="9"/>
        <v>1300.8507278827899</v>
      </c>
    </row>
    <row r="285" spans="19:21" ht="14.65" thickBot="1" x14ac:dyDescent="0.5">
      <c r="S285" s="37">
        <f t="shared" si="8"/>
        <v>1481.4081351616178</v>
      </c>
      <c r="U285" s="26">
        <f t="shared" si="9"/>
        <v>1315.5181351616179</v>
      </c>
    </row>
    <row r="286" spans="19:21" ht="14.65" thickBot="1" x14ac:dyDescent="0.5">
      <c r="S286" s="37">
        <f t="shared" si="8"/>
        <v>1496.2222165132339</v>
      </c>
      <c r="U286" s="26">
        <f t="shared" si="9"/>
        <v>1330.332216513234</v>
      </c>
    </row>
    <row r="287" spans="19:21" ht="14.65" thickBot="1" x14ac:dyDescent="0.5">
      <c r="S287" s="37">
        <f t="shared" si="8"/>
        <v>1511.1844386783662</v>
      </c>
      <c r="U287" s="26">
        <f t="shared" si="9"/>
        <v>1345.2944386783663</v>
      </c>
    </row>
    <row r="288" spans="19:21" ht="14.65" thickBot="1" x14ac:dyDescent="0.5">
      <c r="S288" s="37">
        <f t="shared" si="8"/>
        <v>1526.29628306515</v>
      </c>
      <c r="U288" s="26">
        <f t="shared" si="9"/>
        <v>1360.4062830651501</v>
      </c>
    </row>
    <row r="289" spans="19:21" ht="14.65" thickBot="1" x14ac:dyDescent="0.5">
      <c r="S289" s="37">
        <f t="shared" si="8"/>
        <v>1541.5592458958015</v>
      </c>
      <c r="U289" s="26">
        <f t="shared" si="9"/>
        <v>1375.6692458958016</v>
      </c>
    </row>
    <row r="290" spans="19:21" ht="14.65" thickBot="1" x14ac:dyDescent="0.5">
      <c r="S290" s="37">
        <f t="shared" si="8"/>
        <v>1556.9748383547594</v>
      </c>
      <c r="U290" s="26">
        <f t="shared" si="9"/>
        <v>1391.0848383547595</v>
      </c>
    </row>
    <row r="291" spans="19:21" ht="14.65" thickBot="1" x14ac:dyDescent="0.5">
      <c r="S291" s="37">
        <f t="shared" si="8"/>
        <v>1572.5445867383071</v>
      </c>
      <c r="U291" s="26">
        <f t="shared" si="9"/>
        <v>1406.6545867383072</v>
      </c>
    </row>
    <row r="292" spans="19:21" ht="14.65" thickBot="1" x14ac:dyDescent="0.5">
      <c r="S292" s="37">
        <f t="shared" si="8"/>
        <v>1588.2700326056902</v>
      </c>
      <c r="U292" s="26">
        <f t="shared" si="9"/>
        <v>1422.3800326056903</v>
      </c>
    </row>
    <row r="293" spans="19:21" ht="14.65" thickBot="1" x14ac:dyDescent="0.5">
      <c r="S293" s="37">
        <f t="shared" si="8"/>
        <v>1604.1527329317471</v>
      </c>
      <c r="U293" s="26">
        <f t="shared" si="9"/>
        <v>1438.2627329317472</v>
      </c>
    </row>
    <row r="294" spans="19:21" ht="14.65" thickBot="1" x14ac:dyDescent="0.5">
      <c r="S294" s="37">
        <f t="shared" si="8"/>
        <v>1620.1942602610645</v>
      </c>
      <c r="U294" s="26">
        <f t="shared" si="9"/>
        <v>1454.3042602610647</v>
      </c>
    </row>
    <row r="295" spans="19:21" ht="14.65" thickBot="1" x14ac:dyDescent="0.5">
      <c r="S295" s="37">
        <f t="shared" si="8"/>
        <v>1636.3962028636752</v>
      </c>
      <c r="U295" s="26">
        <f t="shared" si="9"/>
        <v>1470.5062028636753</v>
      </c>
    </row>
    <row r="296" spans="19:21" ht="14.65" thickBot="1" x14ac:dyDescent="0.5">
      <c r="S296" s="37">
        <f t="shared" si="8"/>
        <v>1652.7601648923119</v>
      </c>
      <c r="U296" s="26">
        <f t="shared" si="9"/>
        <v>1486.870164892312</v>
      </c>
    </row>
    <row r="297" spans="19:21" ht="14.65" thickBot="1" x14ac:dyDescent="0.5">
      <c r="S297" s="37">
        <f t="shared" si="8"/>
        <v>1669.287766541235</v>
      </c>
      <c r="U297" s="26">
        <f t="shared" si="9"/>
        <v>1503.3977665412351</v>
      </c>
    </row>
    <row r="298" spans="19:21" ht="14.65" thickBot="1" x14ac:dyDescent="0.5">
      <c r="S298" s="37">
        <f t="shared" si="8"/>
        <v>1685.9806442066474</v>
      </c>
      <c r="U298" s="26">
        <f t="shared" si="9"/>
        <v>1520.0906442066475</v>
      </c>
    </row>
    <row r="299" spans="19:21" ht="14.65" thickBot="1" x14ac:dyDescent="0.5">
      <c r="S299" s="37">
        <f t="shared" si="8"/>
        <v>1702.8404506487138</v>
      </c>
      <c r="U299" s="26">
        <f t="shared" si="9"/>
        <v>1536.950450648714</v>
      </c>
    </row>
    <row r="300" spans="19:21" ht="14.65" thickBot="1" x14ac:dyDescent="0.5">
      <c r="S300" s="37">
        <f t="shared" si="8"/>
        <v>1719.8688551552009</v>
      </c>
      <c r="U300" s="26">
        <f t="shared" si="9"/>
        <v>1553.978855155201</v>
      </c>
    </row>
    <row r="301" spans="19:21" ht="14.65" thickBot="1" x14ac:dyDescent="0.5">
      <c r="S301" s="37">
        <f t="shared" si="8"/>
        <v>1737.067543706753</v>
      </c>
      <c r="U301" s="26">
        <f t="shared" si="9"/>
        <v>1571.1775437067531</v>
      </c>
    </row>
    <row r="302" spans="19:21" ht="14.65" thickBot="1" x14ac:dyDescent="0.5">
      <c r="S302" s="37">
        <f t="shared" si="8"/>
        <v>1754.4382191438206</v>
      </c>
      <c r="U302" s="26">
        <f t="shared" si="9"/>
        <v>1588.5482191438207</v>
      </c>
    </row>
    <row r="303" spans="19:21" ht="14.65" thickBot="1" x14ac:dyDescent="0.5">
      <c r="S303" s="37">
        <f t="shared" si="8"/>
        <v>1771.9826013352588</v>
      </c>
      <c r="U303" s="26">
        <f t="shared" si="9"/>
        <v>1606.0926013352589</v>
      </c>
    </row>
    <row r="304" spans="19:21" ht="14.65" thickBot="1" x14ac:dyDescent="0.5">
      <c r="S304" s="37">
        <f t="shared" si="8"/>
        <v>1789.7024273486113</v>
      </c>
      <c r="U304" s="26">
        <f t="shared" si="9"/>
        <v>1623.8124273486114</v>
      </c>
    </row>
    <row r="305" spans="19:21" ht="14.65" thickBot="1" x14ac:dyDescent="0.5">
      <c r="S305" s="37">
        <f t="shared" si="8"/>
        <v>1807.5994516220974</v>
      </c>
      <c r="U305" s="26">
        <f t="shared" si="9"/>
        <v>1641.7094516220975</v>
      </c>
    </row>
    <row r="306" spans="19:21" ht="14.65" thickBot="1" x14ac:dyDescent="0.5">
      <c r="S306" s="37">
        <f t="shared" si="8"/>
        <v>1825.6754461383184</v>
      </c>
      <c r="U306" s="26">
        <f t="shared" si="9"/>
        <v>1659.7854461383185</v>
      </c>
    </row>
    <row r="307" spans="19:21" ht="14.65" thickBot="1" x14ac:dyDescent="0.5">
      <c r="S307" s="37">
        <f t="shared" si="8"/>
        <v>1843.9322005997017</v>
      </c>
      <c r="U307" s="26">
        <f t="shared" si="9"/>
        <v>1678.0422005997018</v>
      </c>
    </row>
    <row r="308" spans="19:21" ht="14.65" thickBot="1" x14ac:dyDescent="0.5">
      <c r="S308" s="37">
        <f t="shared" si="8"/>
        <v>1862.3715226056986</v>
      </c>
      <c r="U308" s="26">
        <f t="shared" si="9"/>
        <v>1696.4815226056987</v>
      </c>
    </row>
    <row r="309" spans="19:21" ht="14.65" thickBot="1" x14ac:dyDescent="0.5">
      <c r="S309" s="37">
        <f t="shared" si="8"/>
        <v>1880.9952378317555</v>
      </c>
      <c r="U309" s="26">
        <f t="shared" si="9"/>
        <v>1715.1052378317556</v>
      </c>
    </row>
    <row r="310" spans="19:21" ht="14.65" thickBot="1" x14ac:dyDescent="0.5">
      <c r="S310" s="37">
        <f t="shared" si="8"/>
        <v>1899.8051902100731</v>
      </c>
      <c r="U310" s="26">
        <f t="shared" si="9"/>
        <v>1733.9151902100732</v>
      </c>
    </row>
    <row r="311" spans="19:21" ht="14.65" thickBot="1" x14ac:dyDescent="0.5">
      <c r="S311" s="37">
        <f t="shared" si="8"/>
        <v>1918.8032421121738</v>
      </c>
      <c r="U311" s="26">
        <f t="shared" si="9"/>
        <v>1752.913242112174</v>
      </c>
    </row>
    <row r="312" spans="19:21" ht="14.65" thickBot="1" x14ac:dyDescent="0.5">
      <c r="S312" s="37">
        <f t="shared" si="8"/>
        <v>1937.9912745332956</v>
      </c>
      <c r="U312" s="26">
        <f t="shared" si="9"/>
        <v>1772.1012745332957</v>
      </c>
    </row>
    <row r="313" spans="19:21" ht="14.65" thickBot="1" x14ac:dyDescent="0.5">
      <c r="S313" s="37">
        <f t="shared" si="8"/>
        <v>1957.3711872786287</v>
      </c>
      <c r="U313" s="26">
        <f t="shared" si="9"/>
        <v>1791.4811872786288</v>
      </c>
    </row>
    <row r="314" spans="19:21" ht="14.65" thickBot="1" x14ac:dyDescent="0.5">
      <c r="S314" s="37">
        <f t="shared" si="8"/>
        <v>1976.944899151415</v>
      </c>
      <c r="U314" s="26">
        <f t="shared" si="9"/>
        <v>1811.0548991514152</v>
      </c>
    </row>
    <row r="315" spans="19:21" ht="14.65" thickBot="1" x14ac:dyDescent="0.5">
      <c r="S315" s="37">
        <f t="shared" si="8"/>
        <v>1996.7143481429291</v>
      </c>
      <c r="U315" s="26">
        <f t="shared" si="9"/>
        <v>1830.8243481429292</v>
      </c>
    </row>
    <row r="316" spans="19:21" ht="14.65" thickBot="1" x14ac:dyDescent="0.5">
      <c r="S316" s="37">
        <f t="shared" si="8"/>
        <v>2016.6814916243584</v>
      </c>
      <c r="U316" s="26">
        <f t="shared" si="9"/>
        <v>1850.7914916243585</v>
      </c>
    </row>
    <row r="317" spans="19:21" ht="14.65" thickBot="1" x14ac:dyDescent="0.5">
      <c r="S317" s="37">
        <f t="shared" si="8"/>
        <v>2036.8483065406019</v>
      </c>
      <c r="U317" s="26">
        <f t="shared" si="9"/>
        <v>1870.9583065406021</v>
      </c>
    </row>
    <row r="318" spans="19:21" ht="14.65" thickBot="1" x14ac:dyDescent="0.5">
      <c r="S318" s="37">
        <f t="shared" si="8"/>
        <v>2057.2167896060078</v>
      </c>
      <c r="U318" s="26">
        <f t="shared" si="9"/>
        <v>1891.3267896060079</v>
      </c>
    </row>
    <row r="319" spans="19:21" ht="14.65" thickBot="1" x14ac:dyDescent="0.5">
      <c r="S319" s="37">
        <f t="shared" si="8"/>
        <v>2077.7889575020677</v>
      </c>
      <c r="U319" s="26">
        <f t="shared" si="9"/>
        <v>1911.8989575020678</v>
      </c>
    </row>
    <row r="320" spans="19:21" ht="14.65" thickBot="1" x14ac:dyDescent="0.5">
      <c r="S320" s="37">
        <f t="shared" si="8"/>
        <v>2098.5668470770884</v>
      </c>
      <c r="U320" s="26">
        <f t="shared" si="9"/>
        <v>1932.6768470770885</v>
      </c>
    </row>
    <row r="321" spans="19:21" ht="14.65" thickBot="1" x14ac:dyDescent="0.5">
      <c r="S321" s="37">
        <f t="shared" si="8"/>
        <v>2119.5525155478595</v>
      </c>
      <c r="U321" s="26">
        <f t="shared" si="9"/>
        <v>1953.6625155478596</v>
      </c>
    </row>
    <row r="322" spans="19:21" ht="14.65" thickBot="1" x14ac:dyDescent="0.5">
      <c r="S322" s="37">
        <f t="shared" si="8"/>
        <v>2140.7480407033381</v>
      </c>
      <c r="U322" s="26">
        <f t="shared" si="9"/>
        <v>1974.8580407033382</v>
      </c>
    </row>
    <row r="323" spans="19:21" ht="14.65" thickBot="1" x14ac:dyDescent="0.5">
      <c r="S323" s="37">
        <f t="shared" si="8"/>
        <v>2162.1555211103714</v>
      </c>
      <c r="U323" s="26">
        <f t="shared" si="9"/>
        <v>1996.2655211103715</v>
      </c>
    </row>
    <row r="324" spans="19:21" ht="14.65" thickBot="1" x14ac:dyDescent="0.5">
      <c r="S324" s="37">
        <f t="shared" si="8"/>
        <v>2183.7770763214753</v>
      </c>
      <c r="U324" s="26">
        <f t="shared" si="9"/>
        <v>2017.8870763214754</v>
      </c>
    </row>
    <row r="325" spans="19:21" ht="14.65" thickBot="1" x14ac:dyDescent="0.5">
      <c r="S325" s="37">
        <f t="shared" si="8"/>
        <v>2205.6148470846902</v>
      </c>
      <c r="U325" s="26">
        <f t="shared" si="9"/>
        <v>2039.7248470846903</v>
      </c>
    </row>
    <row r="326" spans="19:21" ht="14.65" thickBot="1" x14ac:dyDescent="0.5">
      <c r="S326" s="37">
        <f t="shared" si="8"/>
        <v>2227.670995555537</v>
      </c>
      <c r="U326" s="26">
        <f t="shared" si="9"/>
        <v>2061.7809955555372</v>
      </c>
    </row>
    <row r="327" spans="19:21" ht="14.65" thickBot="1" x14ac:dyDescent="0.5">
      <c r="S327" s="37">
        <f t="shared" si="8"/>
        <v>2249.9477055110924</v>
      </c>
      <c r="U327" s="26">
        <f t="shared" si="9"/>
        <v>2084.0577055110925</v>
      </c>
    </row>
    <row r="328" spans="19:21" ht="14.65" thickBot="1" x14ac:dyDescent="0.5">
      <c r="S328" s="37">
        <f t="shared" si="8"/>
        <v>2272.4471825662035</v>
      </c>
      <c r="U328" s="26">
        <f t="shared" si="9"/>
        <v>2106.5571825662037</v>
      </c>
    </row>
    <row r="329" spans="19:21" ht="14.65" thickBot="1" x14ac:dyDescent="0.5">
      <c r="S329" s="37">
        <f t="shared" si="8"/>
        <v>2295.1716543918656</v>
      </c>
      <c r="U329" s="26">
        <f t="shared" si="9"/>
        <v>2129.2816543918657</v>
      </c>
    </row>
    <row r="330" spans="19:21" ht="14.65" thickBot="1" x14ac:dyDescent="0.5">
      <c r="S330" s="37">
        <f t="shared" si="8"/>
        <v>2318.1233709357844</v>
      </c>
      <c r="U330" s="26">
        <f t="shared" si="9"/>
        <v>2152.2333709357845</v>
      </c>
    </row>
    <row r="331" spans="19:21" ht="14.65" thickBot="1" x14ac:dyDescent="0.5">
      <c r="S331" s="37">
        <f t="shared" si="8"/>
        <v>2341.3046046451423</v>
      </c>
      <c r="U331" s="26">
        <f t="shared" si="9"/>
        <v>2175.4146046451424</v>
      </c>
    </row>
    <row r="332" spans="19:21" ht="14.65" thickBot="1" x14ac:dyDescent="0.5">
      <c r="S332" s="37">
        <f t="shared" si="8"/>
        <v>2364.7176506915939</v>
      </c>
      <c r="U332" s="26">
        <f t="shared" si="9"/>
        <v>2198.827650691594</v>
      </c>
    </row>
    <row r="333" spans="19:21" ht="14.65" thickBot="1" x14ac:dyDescent="0.5">
      <c r="S333" s="37">
        <f t="shared" si="8"/>
        <v>2388.3648271985098</v>
      </c>
      <c r="U333" s="26">
        <f t="shared" si="9"/>
        <v>2222.47482719851</v>
      </c>
    </row>
    <row r="334" spans="19:21" ht="14.65" thickBot="1" x14ac:dyDescent="0.5">
      <c r="S334" s="37">
        <f t="shared" si="8"/>
        <v>2412.2484754704951</v>
      </c>
      <c r="U334" s="26">
        <f t="shared" si="9"/>
        <v>2246.3584754704953</v>
      </c>
    </row>
    <row r="335" spans="19:21" ht="14.65" thickBot="1" x14ac:dyDescent="0.5">
      <c r="S335" s="37">
        <f t="shared" si="8"/>
        <v>2436.3709602252002</v>
      </c>
      <c r="U335" s="26">
        <f t="shared" si="9"/>
        <v>2270.4809602252003</v>
      </c>
    </row>
    <row r="336" spans="19:21" ht="14.65" thickBot="1" x14ac:dyDescent="0.5">
      <c r="S336" s="37">
        <f t="shared" si="8"/>
        <v>2460.7346698274523</v>
      </c>
      <c r="U336" s="26">
        <f t="shared" si="9"/>
        <v>2294.8446698274524</v>
      </c>
    </row>
    <row r="337" spans="19:21" ht="14.65" thickBot="1" x14ac:dyDescent="0.5">
      <c r="S337" s="37">
        <f t="shared" si="8"/>
        <v>2485.3420165257266</v>
      </c>
      <c r="U337" s="26">
        <f t="shared" si="9"/>
        <v>2319.4520165257268</v>
      </c>
    </row>
    <row r="338" spans="19:21" ht="14.65" thickBot="1" x14ac:dyDescent="0.5">
      <c r="S338" s="37">
        <f t="shared" si="8"/>
        <v>2510.195436690984</v>
      </c>
      <c r="U338" s="26">
        <f t="shared" si="9"/>
        <v>2344.3054366909842</v>
      </c>
    </row>
    <row r="339" spans="19:21" ht="14.65" thickBot="1" x14ac:dyDescent="0.5">
      <c r="S339" s="37">
        <f t="shared" si="8"/>
        <v>2535.2973910578939</v>
      </c>
      <c r="U339" s="26">
        <f t="shared" si="9"/>
        <v>2369.4073910578941</v>
      </c>
    </row>
    <row r="340" spans="19:21" ht="14.65" thickBot="1" x14ac:dyDescent="0.5">
      <c r="S340" s="37">
        <f t="shared" si="8"/>
        <v>2560.6503649684728</v>
      </c>
      <c r="U340" s="26">
        <f t="shared" si="9"/>
        <v>2394.7603649684729</v>
      </c>
    </row>
    <row r="341" spans="19:21" ht="14.65" thickBot="1" x14ac:dyDescent="0.5">
      <c r="S341" s="37">
        <f t="shared" ref="S341:S404" si="10">S340*(1.01)</f>
        <v>2586.2568686181576</v>
      </c>
      <c r="U341" s="26">
        <f t="shared" ref="U341:U404" si="11">IF(S341&lt;$D$8,$D$8-S341-$D$10,-$D$10)+IF(S341&lt;$D$7,-$D$9,S341-$D$7-$D$9)</f>
        <v>2420.3668686181577</v>
      </c>
    </row>
    <row r="342" spans="19:21" ht="14.65" thickBot="1" x14ac:dyDescent="0.5">
      <c r="S342" s="37">
        <f t="shared" si="10"/>
        <v>2612.119437304339</v>
      </c>
      <c r="U342" s="26">
        <f t="shared" si="11"/>
        <v>2446.2294373043392</v>
      </c>
    </row>
    <row r="343" spans="19:21" ht="14.65" thickBot="1" x14ac:dyDescent="0.5">
      <c r="S343" s="37">
        <f t="shared" si="10"/>
        <v>2638.2406316773827</v>
      </c>
      <c r="U343" s="26">
        <f t="shared" si="11"/>
        <v>2472.3506316773828</v>
      </c>
    </row>
    <row r="344" spans="19:21" ht="14.65" thickBot="1" x14ac:dyDescent="0.5">
      <c r="S344" s="37">
        <f t="shared" si="10"/>
        <v>2664.6230379941567</v>
      </c>
      <c r="U344" s="26">
        <f t="shared" si="11"/>
        <v>2498.7330379941568</v>
      </c>
    </row>
    <row r="345" spans="19:21" ht="14.65" thickBot="1" x14ac:dyDescent="0.5">
      <c r="S345" s="37">
        <f t="shared" si="10"/>
        <v>2691.2692683740984</v>
      </c>
      <c r="U345" s="26">
        <f t="shared" si="11"/>
        <v>2525.3792683740985</v>
      </c>
    </row>
    <row r="346" spans="19:21" ht="14.65" thickBot="1" x14ac:dyDescent="0.5">
      <c r="S346" s="37">
        <f t="shared" si="10"/>
        <v>2718.1819610578395</v>
      </c>
      <c r="U346" s="26">
        <f t="shared" si="11"/>
        <v>2552.2919610578397</v>
      </c>
    </row>
    <row r="347" spans="19:21" ht="14.65" thickBot="1" x14ac:dyDescent="0.5">
      <c r="S347" s="37">
        <f t="shared" si="10"/>
        <v>2745.3637806684178</v>
      </c>
      <c r="U347" s="26">
        <f t="shared" si="11"/>
        <v>2579.4737806684179</v>
      </c>
    </row>
    <row r="348" spans="19:21" ht="14.65" thickBot="1" x14ac:dyDescent="0.5">
      <c r="S348" s="37">
        <f t="shared" si="10"/>
        <v>2772.8174184751019</v>
      </c>
      <c r="U348" s="26">
        <f t="shared" si="11"/>
        <v>2606.9274184751021</v>
      </c>
    </row>
    <row r="349" spans="19:21" ht="14.65" thickBot="1" x14ac:dyDescent="0.5">
      <c r="S349" s="37">
        <f t="shared" si="10"/>
        <v>2800.5455926598529</v>
      </c>
      <c r="U349" s="26">
        <f t="shared" si="11"/>
        <v>2634.655592659853</v>
      </c>
    </row>
    <row r="350" spans="19:21" ht="14.65" thickBot="1" x14ac:dyDescent="0.5">
      <c r="S350" s="37">
        <f t="shared" si="10"/>
        <v>2828.5510485864515</v>
      </c>
      <c r="U350" s="26">
        <f t="shared" si="11"/>
        <v>2662.6610485864517</v>
      </c>
    </row>
    <row r="351" spans="19:21" ht="14.65" thickBot="1" x14ac:dyDescent="0.5">
      <c r="S351" s="37">
        <f t="shared" si="10"/>
        <v>2856.836559072316</v>
      </c>
      <c r="U351" s="26">
        <f t="shared" si="11"/>
        <v>2690.9465590723162</v>
      </c>
    </row>
    <row r="352" spans="19:21" ht="14.65" thickBot="1" x14ac:dyDescent="0.5">
      <c r="S352" s="37">
        <f t="shared" si="10"/>
        <v>2885.4049246630393</v>
      </c>
      <c r="U352" s="26">
        <f t="shared" si="11"/>
        <v>2719.5149246630394</v>
      </c>
    </row>
    <row r="353" spans="19:21" ht="14.65" thickBot="1" x14ac:dyDescent="0.5">
      <c r="S353" s="37">
        <f t="shared" si="10"/>
        <v>2914.2589739096697</v>
      </c>
      <c r="U353" s="26">
        <f t="shared" si="11"/>
        <v>2748.3689739096699</v>
      </c>
    </row>
    <row r="354" spans="19:21" ht="14.65" thickBot="1" x14ac:dyDescent="0.5">
      <c r="S354" s="37">
        <f t="shared" si="10"/>
        <v>2943.4015636487666</v>
      </c>
      <c r="U354" s="26">
        <f t="shared" si="11"/>
        <v>2777.5115636487667</v>
      </c>
    </row>
    <row r="355" spans="19:21" ht="14.65" thickBot="1" x14ac:dyDescent="0.5">
      <c r="S355" s="37">
        <f t="shared" si="10"/>
        <v>2972.8355792852544</v>
      </c>
      <c r="U355" s="26">
        <f t="shared" si="11"/>
        <v>2806.9455792852546</v>
      </c>
    </row>
    <row r="356" spans="19:21" ht="14.65" thickBot="1" x14ac:dyDescent="0.5">
      <c r="S356" s="37">
        <f t="shared" si="10"/>
        <v>3002.5639350781071</v>
      </c>
      <c r="U356" s="26">
        <f t="shared" si="11"/>
        <v>2836.6739350781072</v>
      </c>
    </row>
    <row r="357" spans="19:21" ht="14.65" thickBot="1" x14ac:dyDescent="0.5">
      <c r="S357" s="37">
        <f t="shared" si="10"/>
        <v>3032.5895744288882</v>
      </c>
      <c r="U357" s="26">
        <f t="shared" si="11"/>
        <v>2866.6995744288884</v>
      </c>
    </row>
    <row r="358" spans="19:21" ht="14.65" thickBot="1" x14ac:dyDescent="0.5">
      <c r="S358" s="37">
        <f t="shared" si="10"/>
        <v>3062.9154701731773</v>
      </c>
      <c r="U358" s="26">
        <f t="shared" si="11"/>
        <v>2897.0254701731774</v>
      </c>
    </row>
    <row r="359" spans="19:21" ht="14.65" thickBot="1" x14ac:dyDescent="0.5">
      <c r="S359" s="37">
        <f t="shared" si="10"/>
        <v>3093.544624874909</v>
      </c>
      <c r="U359" s="26">
        <f t="shared" si="11"/>
        <v>2927.6546248749091</v>
      </c>
    </row>
    <row r="360" spans="19:21" ht="14.65" thickBot="1" x14ac:dyDescent="0.5">
      <c r="S360" s="37">
        <f t="shared" si="10"/>
        <v>3124.480071123658</v>
      </c>
      <c r="U360" s="26">
        <f t="shared" si="11"/>
        <v>2958.5900711236582</v>
      </c>
    </row>
    <row r="361" spans="19:21" ht="14.65" thickBot="1" x14ac:dyDescent="0.5">
      <c r="S361" s="37">
        <f t="shared" si="10"/>
        <v>3155.7248718348947</v>
      </c>
      <c r="U361" s="26">
        <f t="shared" si="11"/>
        <v>2989.8348718348948</v>
      </c>
    </row>
    <row r="362" spans="19:21" ht="14.65" thickBot="1" x14ac:dyDescent="0.5">
      <c r="S362" s="37">
        <f t="shared" si="10"/>
        <v>3187.2821205532437</v>
      </c>
      <c r="U362" s="26">
        <f t="shared" si="11"/>
        <v>3021.3921205532438</v>
      </c>
    </row>
    <row r="363" spans="19:21" ht="14.65" thickBot="1" x14ac:dyDescent="0.5">
      <c r="S363" s="37">
        <f t="shared" si="10"/>
        <v>3219.1549417587762</v>
      </c>
      <c r="U363" s="26">
        <f t="shared" si="11"/>
        <v>3053.2649417587763</v>
      </c>
    </row>
    <row r="364" spans="19:21" ht="14.65" thickBot="1" x14ac:dyDescent="0.5">
      <c r="S364" s="37">
        <f t="shared" si="10"/>
        <v>3251.346491176364</v>
      </c>
      <c r="U364" s="26">
        <f t="shared" si="11"/>
        <v>3085.4564911763641</v>
      </c>
    </row>
    <row r="365" spans="19:21" ht="14.65" thickBot="1" x14ac:dyDescent="0.5">
      <c r="S365" s="37">
        <f t="shared" si="10"/>
        <v>3283.8599560881275</v>
      </c>
      <c r="U365" s="26">
        <f t="shared" si="11"/>
        <v>3117.9699560881277</v>
      </c>
    </row>
    <row r="366" spans="19:21" ht="14.65" thickBot="1" x14ac:dyDescent="0.5">
      <c r="S366" s="37">
        <f t="shared" si="10"/>
        <v>3316.698555649009</v>
      </c>
      <c r="U366" s="26">
        <f t="shared" si="11"/>
        <v>3150.8085556490091</v>
      </c>
    </row>
    <row r="367" spans="19:21" ht="14.65" thickBot="1" x14ac:dyDescent="0.5">
      <c r="S367" s="37">
        <f t="shared" si="10"/>
        <v>3349.8655412054991</v>
      </c>
      <c r="U367" s="26">
        <f t="shared" si="11"/>
        <v>3183.9755412054992</v>
      </c>
    </row>
    <row r="368" spans="19:21" ht="14.65" thickBot="1" x14ac:dyDescent="0.5">
      <c r="S368" s="37">
        <f t="shared" si="10"/>
        <v>3383.3641966175542</v>
      </c>
      <c r="U368" s="26">
        <f t="shared" si="11"/>
        <v>3217.4741966175543</v>
      </c>
    </row>
    <row r="369" spans="19:21" ht="14.65" thickBot="1" x14ac:dyDescent="0.5">
      <c r="S369" s="37">
        <f t="shared" si="10"/>
        <v>3417.1978385837297</v>
      </c>
      <c r="U369" s="26">
        <f t="shared" si="11"/>
        <v>3251.3078385837298</v>
      </c>
    </row>
    <row r="370" spans="19:21" ht="14.65" thickBot="1" x14ac:dyDescent="0.5">
      <c r="S370" s="37">
        <f t="shared" si="10"/>
        <v>3451.3698169695672</v>
      </c>
      <c r="U370" s="26">
        <f t="shared" si="11"/>
        <v>3285.4798169695673</v>
      </c>
    </row>
    <row r="371" spans="19:21" ht="14.65" thickBot="1" x14ac:dyDescent="0.5">
      <c r="S371" s="37">
        <f t="shared" si="10"/>
        <v>3485.8835151392627</v>
      </c>
      <c r="U371" s="26">
        <f t="shared" si="11"/>
        <v>3319.9935151392629</v>
      </c>
    </row>
    <row r="372" spans="19:21" ht="14.65" thickBot="1" x14ac:dyDescent="0.5">
      <c r="S372" s="37">
        <f t="shared" si="10"/>
        <v>3520.7423502906554</v>
      </c>
      <c r="U372" s="26">
        <f t="shared" si="11"/>
        <v>3354.8523502906555</v>
      </c>
    </row>
    <row r="373" spans="19:21" ht="14.65" thickBot="1" x14ac:dyDescent="0.5">
      <c r="S373" s="37">
        <f t="shared" si="10"/>
        <v>3555.9497737935621</v>
      </c>
      <c r="U373" s="26">
        <f t="shared" si="11"/>
        <v>3390.0597737935623</v>
      </c>
    </row>
    <row r="374" spans="19:21" ht="14.65" thickBot="1" x14ac:dyDescent="0.5">
      <c r="S374" s="37">
        <f t="shared" si="10"/>
        <v>3591.5092715314977</v>
      </c>
      <c r="U374" s="26">
        <f t="shared" si="11"/>
        <v>3425.6192715314978</v>
      </c>
    </row>
    <row r="375" spans="19:21" ht="14.65" thickBot="1" x14ac:dyDescent="0.5">
      <c r="S375" s="37">
        <f t="shared" si="10"/>
        <v>3627.4243642468127</v>
      </c>
      <c r="U375" s="26">
        <f t="shared" si="11"/>
        <v>3461.5343642468129</v>
      </c>
    </row>
    <row r="376" spans="19:21" ht="14.65" thickBot="1" x14ac:dyDescent="0.5">
      <c r="S376" s="37">
        <f t="shared" si="10"/>
        <v>3663.698607889281</v>
      </c>
      <c r="U376" s="26">
        <f t="shared" si="11"/>
        <v>3497.8086078892811</v>
      </c>
    </row>
    <row r="377" spans="19:21" ht="14.65" thickBot="1" x14ac:dyDescent="0.5">
      <c r="S377" s="37">
        <f t="shared" si="10"/>
        <v>3700.3355939681737</v>
      </c>
      <c r="U377" s="26">
        <f t="shared" si="11"/>
        <v>3534.4455939681739</v>
      </c>
    </row>
    <row r="378" spans="19:21" ht="14.65" thickBot="1" x14ac:dyDescent="0.5">
      <c r="S378" s="37">
        <f t="shared" si="10"/>
        <v>3737.3389499078553</v>
      </c>
      <c r="U378" s="26">
        <f t="shared" si="11"/>
        <v>3571.4489499078554</v>
      </c>
    </row>
    <row r="379" spans="19:21" ht="14.65" thickBot="1" x14ac:dyDescent="0.5">
      <c r="S379" s="37">
        <f t="shared" si="10"/>
        <v>3774.712339406934</v>
      </c>
      <c r="U379" s="26">
        <f t="shared" si="11"/>
        <v>3608.8223394069341</v>
      </c>
    </row>
    <row r="380" spans="19:21" ht="14.65" thickBot="1" x14ac:dyDescent="0.5">
      <c r="S380" s="37">
        <f t="shared" si="10"/>
        <v>3812.4594628010032</v>
      </c>
      <c r="U380" s="26">
        <f t="shared" si="11"/>
        <v>3646.5694628010033</v>
      </c>
    </row>
    <row r="381" spans="19:21" ht="14.65" thickBot="1" x14ac:dyDescent="0.5">
      <c r="S381" s="37">
        <f t="shared" si="10"/>
        <v>3850.5840574290132</v>
      </c>
      <c r="U381" s="26">
        <f t="shared" si="11"/>
        <v>3684.6940574290134</v>
      </c>
    </row>
    <row r="382" spans="19:21" ht="14.65" thickBot="1" x14ac:dyDescent="0.5">
      <c r="S382" s="37">
        <f t="shared" si="10"/>
        <v>3889.0898980033035</v>
      </c>
      <c r="U382" s="26">
        <f t="shared" si="11"/>
        <v>3723.1998980033036</v>
      </c>
    </row>
    <row r="383" spans="19:21" ht="14.65" thickBot="1" x14ac:dyDescent="0.5">
      <c r="S383" s="37">
        <f t="shared" si="10"/>
        <v>3927.9807969833364</v>
      </c>
      <c r="U383" s="26">
        <f t="shared" si="11"/>
        <v>3762.0907969833365</v>
      </c>
    </row>
    <row r="384" spans="19:21" ht="14.65" thickBot="1" x14ac:dyDescent="0.5">
      <c r="S384" s="37">
        <f t="shared" si="10"/>
        <v>3967.2606049531696</v>
      </c>
      <c r="U384" s="26">
        <f t="shared" si="11"/>
        <v>3801.3706049531697</v>
      </c>
    </row>
    <row r="385" spans="19:21" ht="14.65" thickBot="1" x14ac:dyDescent="0.5">
      <c r="S385" s="37">
        <f t="shared" si="10"/>
        <v>4006.9332110027012</v>
      </c>
      <c r="U385" s="26">
        <f t="shared" si="11"/>
        <v>3841.0432110027014</v>
      </c>
    </row>
    <row r="386" spans="19:21" ht="14.65" thickBot="1" x14ac:dyDescent="0.5">
      <c r="S386" s="37">
        <f t="shared" si="10"/>
        <v>4047.0025431127283</v>
      </c>
      <c r="U386" s="26">
        <f t="shared" si="11"/>
        <v>3881.1125431127284</v>
      </c>
    </row>
    <row r="387" spans="19:21" ht="14.65" thickBot="1" x14ac:dyDescent="0.5">
      <c r="S387" s="37">
        <f t="shared" si="10"/>
        <v>4087.4725685438557</v>
      </c>
      <c r="U387" s="26">
        <f t="shared" si="11"/>
        <v>3921.5825685438558</v>
      </c>
    </row>
    <row r="388" spans="19:21" ht="14.65" thickBot="1" x14ac:dyDescent="0.5">
      <c r="S388" s="37">
        <f t="shared" si="10"/>
        <v>4128.3472942292947</v>
      </c>
      <c r="U388" s="26">
        <f t="shared" si="11"/>
        <v>3962.4572942292948</v>
      </c>
    </row>
    <row r="389" spans="19:21" ht="14.65" thickBot="1" x14ac:dyDescent="0.5">
      <c r="S389" s="37">
        <f t="shared" si="10"/>
        <v>4169.6307671715876</v>
      </c>
      <c r="U389" s="26">
        <f t="shared" si="11"/>
        <v>4003.7407671715878</v>
      </c>
    </row>
    <row r="390" spans="19:21" ht="14.65" thickBot="1" x14ac:dyDescent="0.5">
      <c r="S390" s="37">
        <f t="shared" si="10"/>
        <v>4211.3270748433033</v>
      </c>
      <c r="U390" s="26">
        <f t="shared" si="11"/>
        <v>4045.4370748433034</v>
      </c>
    </row>
    <row r="391" spans="19:21" ht="14.65" thickBot="1" x14ac:dyDescent="0.5">
      <c r="S391" s="37">
        <f t="shared" si="10"/>
        <v>4253.4403455917363</v>
      </c>
      <c r="U391" s="26">
        <f t="shared" si="11"/>
        <v>4087.5503455917365</v>
      </c>
    </row>
    <row r="392" spans="19:21" ht="14.65" thickBot="1" x14ac:dyDescent="0.5">
      <c r="S392" s="37">
        <f t="shared" si="10"/>
        <v>4295.9747490476539</v>
      </c>
      <c r="U392" s="26">
        <f t="shared" si="11"/>
        <v>4130.0847490476535</v>
      </c>
    </row>
    <row r="393" spans="19:21" ht="14.65" thickBot="1" x14ac:dyDescent="0.5">
      <c r="S393" s="37">
        <f t="shared" si="10"/>
        <v>4338.9344965381306</v>
      </c>
      <c r="U393" s="26">
        <f t="shared" si="11"/>
        <v>4173.0444965381303</v>
      </c>
    </row>
    <row r="394" spans="19:21" ht="14.65" thickBot="1" x14ac:dyDescent="0.5">
      <c r="S394" s="37">
        <f t="shared" si="10"/>
        <v>4382.3238415035121</v>
      </c>
      <c r="U394" s="26">
        <f t="shared" si="11"/>
        <v>4216.4338415035118</v>
      </c>
    </row>
    <row r="395" spans="19:21" ht="14.65" thickBot="1" x14ac:dyDescent="0.5">
      <c r="S395" s="37">
        <f t="shared" si="10"/>
        <v>4426.1470799185472</v>
      </c>
      <c r="U395" s="26">
        <f t="shared" si="11"/>
        <v>4260.2570799185469</v>
      </c>
    </row>
    <row r="396" spans="19:21" ht="14.65" thickBot="1" x14ac:dyDescent="0.5">
      <c r="S396" s="37">
        <f t="shared" si="10"/>
        <v>4470.4085507177324</v>
      </c>
      <c r="U396" s="26">
        <f t="shared" si="11"/>
        <v>4304.5185507177321</v>
      </c>
    </row>
    <row r="397" spans="19:21" ht="14.65" thickBot="1" x14ac:dyDescent="0.5">
      <c r="S397" s="37">
        <f t="shared" si="10"/>
        <v>4515.1126362249097</v>
      </c>
      <c r="U397" s="26">
        <f t="shared" si="11"/>
        <v>4349.2226362249094</v>
      </c>
    </row>
    <row r="398" spans="19:21" ht="14.65" thickBot="1" x14ac:dyDescent="0.5">
      <c r="S398" s="37">
        <f t="shared" si="10"/>
        <v>4560.2637625871585</v>
      </c>
      <c r="U398" s="26">
        <f t="shared" si="11"/>
        <v>4394.3737625871581</v>
      </c>
    </row>
    <row r="399" spans="19:21" ht="14.65" thickBot="1" x14ac:dyDescent="0.5">
      <c r="S399" s="37">
        <f t="shared" si="10"/>
        <v>4605.8664002130299</v>
      </c>
      <c r="U399" s="26">
        <f t="shared" si="11"/>
        <v>4439.9764002130296</v>
      </c>
    </row>
    <row r="400" spans="19:21" ht="14.65" thickBot="1" x14ac:dyDescent="0.5">
      <c r="S400" s="37">
        <f t="shared" si="10"/>
        <v>4651.9250642151601</v>
      </c>
      <c r="U400" s="26">
        <f t="shared" si="11"/>
        <v>4486.0350642151598</v>
      </c>
    </row>
    <row r="401" spans="19:21" ht="14.65" thickBot="1" x14ac:dyDescent="0.5">
      <c r="S401" s="37">
        <f t="shared" si="10"/>
        <v>4698.4443148573118</v>
      </c>
      <c r="U401" s="26">
        <f t="shared" si="11"/>
        <v>4532.5543148573115</v>
      </c>
    </row>
    <row r="402" spans="19:21" ht="14.65" thickBot="1" x14ac:dyDescent="0.5">
      <c r="S402" s="37">
        <f t="shared" si="10"/>
        <v>4745.4287580058854</v>
      </c>
      <c r="U402" s="26">
        <f t="shared" si="11"/>
        <v>4579.538758005885</v>
      </c>
    </row>
    <row r="403" spans="19:21" ht="14.65" thickBot="1" x14ac:dyDescent="0.5">
      <c r="S403" s="37">
        <f t="shared" si="10"/>
        <v>4792.8830455859443</v>
      </c>
      <c r="U403" s="26">
        <f t="shared" si="11"/>
        <v>4626.9930455859439</v>
      </c>
    </row>
    <row r="404" spans="19:21" ht="14.65" thickBot="1" x14ac:dyDescent="0.5">
      <c r="S404" s="37">
        <f t="shared" si="10"/>
        <v>4840.8118760418038</v>
      </c>
      <c r="U404" s="26">
        <f t="shared" si="11"/>
        <v>4674.9218760418034</v>
      </c>
    </row>
    <row r="405" spans="19:21" ht="14.65" thickBot="1" x14ac:dyDescent="0.5">
      <c r="S405" s="37">
        <f t="shared" ref="S405:S468" si="12">S404*(1.01)</f>
        <v>4889.2199948022217</v>
      </c>
      <c r="U405" s="26">
        <f t="shared" ref="U405:U468" si="13">IF(S405&lt;$D$8,$D$8-S405-$D$10,-$D$10)+IF(S405&lt;$D$7,-$D$9,S405-$D$7-$D$9)</f>
        <v>4723.3299948022213</v>
      </c>
    </row>
    <row r="406" spans="19:21" ht="14.65" thickBot="1" x14ac:dyDescent="0.5">
      <c r="S406" s="37">
        <f t="shared" si="12"/>
        <v>4938.1121947502443</v>
      </c>
      <c r="U406" s="26">
        <f t="shared" si="13"/>
        <v>4772.2221947502439</v>
      </c>
    </row>
    <row r="407" spans="19:21" ht="14.65" thickBot="1" x14ac:dyDescent="0.5">
      <c r="S407" s="37">
        <f t="shared" si="12"/>
        <v>4987.4933166977471</v>
      </c>
      <c r="U407" s="26">
        <f t="shared" si="13"/>
        <v>4821.6033166977468</v>
      </c>
    </row>
    <row r="408" spans="19:21" ht="14.65" thickBot="1" x14ac:dyDescent="0.5">
      <c r="S408" s="37">
        <f t="shared" si="12"/>
        <v>5037.3682498647249</v>
      </c>
      <c r="U408" s="26">
        <f t="shared" si="13"/>
        <v>4871.4782498647246</v>
      </c>
    </row>
    <row r="409" spans="19:21" ht="14.65" thickBot="1" x14ac:dyDescent="0.5">
      <c r="S409" s="37">
        <f t="shared" si="12"/>
        <v>5087.7419323633721</v>
      </c>
      <c r="U409" s="26">
        <f t="shared" si="13"/>
        <v>4921.8519323633718</v>
      </c>
    </row>
    <row r="410" spans="19:21" ht="14.65" thickBot="1" x14ac:dyDescent="0.5">
      <c r="S410" s="37">
        <f t="shared" si="12"/>
        <v>5138.6193516870062</v>
      </c>
      <c r="U410" s="26">
        <f t="shared" si="13"/>
        <v>4972.7293516870059</v>
      </c>
    </row>
    <row r="411" spans="19:21" ht="14.65" thickBot="1" x14ac:dyDescent="0.5">
      <c r="S411" s="37">
        <f t="shared" si="12"/>
        <v>5190.005545203876</v>
      </c>
      <c r="U411" s="26">
        <f t="shared" si="13"/>
        <v>5024.1155452038756</v>
      </c>
    </row>
    <row r="412" spans="19:21" ht="14.65" thickBot="1" x14ac:dyDescent="0.5">
      <c r="S412" s="37">
        <f t="shared" si="12"/>
        <v>5241.9056006559149</v>
      </c>
      <c r="U412" s="26">
        <f t="shared" si="13"/>
        <v>5076.0156006559146</v>
      </c>
    </row>
    <row r="413" spans="19:21" ht="14.65" thickBot="1" x14ac:dyDescent="0.5">
      <c r="S413" s="37">
        <f t="shared" si="12"/>
        <v>5294.3246566624739</v>
      </c>
      <c r="U413" s="26">
        <f t="shared" si="13"/>
        <v>5128.4346566624736</v>
      </c>
    </row>
    <row r="414" spans="19:21" ht="14.65" thickBot="1" x14ac:dyDescent="0.5">
      <c r="S414" s="37">
        <f t="shared" si="12"/>
        <v>5347.2679032290989</v>
      </c>
      <c r="U414" s="26">
        <f t="shared" si="13"/>
        <v>5181.3779032290986</v>
      </c>
    </row>
    <row r="415" spans="19:21" ht="14.65" thickBot="1" x14ac:dyDescent="0.5">
      <c r="S415" s="37">
        <f t="shared" si="12"/>
        <v>5400.74058226139</v>
      </c>
      <c r="U415" s="26">
        <f t="shared" si="13"/>
        <v>5234.8505822613897</v>
      </c>
    </row>
    <row r="416" spans="19:21" ht="14.65" thickBot="1" x14ac:dyDescent="0.5">
      <c r="S416" s="37">
        <f t="shared" si="12"/>
        <v>5454.7479880840037</v>
      </c>
      <c r="U416" s="26">
        <f t="shared" si="13"/>
        <v>5288.8579880840034</v>
      </c>
    </row>
    <row r="417" spans="19:21" ht="14.65" thickBot="1" x14ac:dyDescent="0.5">
      <c r="S417" s="37">
        <f t="shared" si="12"/>
        <v>5509.2954679648437</v>
      </c>
      <c r="U417" s="26">
        <f t="shared" si="13"/>
        <v>5343.4054679648434</v>
      </c>
    </row>
    <row r="418" spans="19:21" ht="14.65" thickBot="1" x14ac:dyDescent="0.5">
      <c r="S418" s="37">
        <f t="shared" si="12"/>
        <v>5564.3884226444925</v>
      </c>
      <c r="U418" s="26">
        <f t="shared" si="13"/>
        <v>5398.4984226444922</v>
      </c>
    </row>
    <row r="419" spans="19:21" ht="14.65" thickBot="1" x14ac:dyDescent="0.5">
      <c r="S419" s="37">
        <f t="shared" si="12"/>
        <v>5620.0323068709376</v>
      </c>
      <c r="U419" s="26">
        <f t="shared" si="13"/>
        <v>5454.1423068709373</v>
      </c>
    </row>
    <row r="420" spans="19:21" ht="14.65" thickBot="1" x14ac:dyDescent="0.5">
      <c r="S420" s="37">
        <f t="shared" si="12"/>
        <v>5676.2326299396473</v>
      </c>
      <c r="U420" s="26">
        <f t="shared" si="13"/>
        <v>5510.3426299396469</v>
      </c>
    </row>
    <row r="421" spans="19:21" ht="14.65" thickBot="1" x14ac:dyDescent="0.5">
      <c r="S421" s="37">
        <f t="shared" si="12"/>
        <v>5732.9949562390439</v>
      </c>
      <c r="U421" s="26">
        <f t="shared" si="13"/>
        <v>5567.1049562390435</v>
      </c>
    </row>
    <row r="422" spans="19:21" ht="14.65" thickBot="1" x14ac:dyDescent="0.5">
      <c r="S422" s="37">
        <f t="shared" si="12"/>
        <v>5790.3249058014344</v>
      </c>
      <c r="U422" s="26">
        <f t="shared" si="13"/>
        <v>5624.4349058014341</v>
      </c>
    </row>
    <row r="423" spans="19:21" ht="14.65" thickBot="1" x14ac:dyDescent="0.5">
      <c r="S423" s="37">
        <f t="shared" si="12"/>
        <v>5848.2281548594492</v>
      </c>
      <c r="U423" s="26">
        <f t="shared" si="13"/>
        <v>5682.3381548594489</v>
      </c>
    </row>
    <row r="424" spans="19:21" ht="14.65" thickBot="1" x14ac:dyDescent="0.5">
      <c r="S424" s="37">
        <f t="shared" si="12"/>
        <v>5906.7104364080442</v>
      </c>
      <c r="U424" s="26">
        <f t="shared" si="13"/>
        <v>5740.8204364080439</v>
      </c>
    </row>
    <row r="425" spans="19:21" ht="14.65" thickBot="1" x14ac:dyDescent="0.5">
      <c r="S425" s="37">
        <f t="shared" si="12"/>
        <v>5965.7775407721247</v>
      </c>
      <c r="U425" s="26">
        <f t="shared" si="13"/>
        <v>5799.8875407721243</v>
      </c>
    </row>
    <row r="426" spans="19:21" ht="14.65" thickBot="1" x14ac:dyDescent="0.5">
      <c r="S426" s="37">
        <f t="shared" si="12"/>
        <v>6025.4353161798463</v>
      </c>
      <c r="U426" s="26">
        <f t="shared" si="13"/>
        <v>5859.5453161798459</v>
      </c>
    </row>
    <row r="427" spans="19:21" ht="14.65" thickBot="1" x14ac:dyDescent="0.5">
      <c r="S427" s="37">
        <f t="shared" si="12"/>
        <v>6085.6896693416447</v>
      </c>
      <c r="U427" s="26">
        <f t="shared" si="13"/>
        <v>5919.7996693416444</v>
      </c>
    </row>
    <row r="428" spans="19:21" ht="14.65" thickBot="1" x14ac:dyDescent="0.5">
      <c r="S428" s="37">
        <f t="shared" si="12"/>
        <v>6146.546566035061</v>
      </c>
      <c r="U428" s="26">
        <f t="shared" si="13"/>
        <v>5980.6565660350607</v>
      </c>
    </row>
    <row r="429" spans="19:21" ht="14.65" thickBot="1" x14ac:dyDescent="0.5">
      <c r="S429" s="37">
        <f t="shared" si="12"/>
        <v>6208.0120316954117</v>
      </c>
      <c r="U429" s="26">
        <f t="shared" si="13"/>
        <v>6042.1220316954114</v>
      </c>
    </row>
    <row r="430" spans="19:21" ht="14.65" thickBot="1" x14ac:dyDescent="0.5">
      <c r="S430" s="37">
        <f t="shared" si="12"/>
        <v>6270.0921520123657</v>
      </c>
      <c r="U430" s="26">
        <f t="shared" si="13"/>
        <v>6104.2021520123653</v>
      </c>
    </row>
    <row r="431" spans="19:21" ht="14.65" thickBot="1" x14ac:dyDescent="0.5">
      <c r="S431" s="37">
        <f t="shared" si="12"/>
        <v>6332.793073532489</v>
      </c>
      <c r="U431" s="26">
        <f t="shared" si="13"/>
        <v>6166.9030735324886</v>
      </c>
    </row>
    <row r="432" spans="19:21" ht="14.65" thickBot="1" x14ac:dyDescent="0.5">
      <c r="S432" s="37">
        <f t="shared" si="12"/>
        <v>6396.121004267814</v>
      </c>
      <c r="U432" s="26">
        <f t="shared" si="13"/>
        <v>6230.2310042678137</v>
      </c>
    </row>
    <row r="433" spans="19:21" ht="14.65" thickBot="1" x14ac:dyDescent="0.5">
      <c r="S433" s="37">
        <f t="shared" si="12"/>
        <v>6460.0822143104924</v>
      </c>
      <c r="U433" s="26">
        <f t="shared" si="13"/>
        <v>6294.1922143104921</v>
      </c>
    </row>
    <row r="434" spans="19:21" ht="14.65" thickBot="1" x14ac:dyDescent="0.5">
      <c r="S434" s="37">
        <f t="shared" si="12"/>
        <v>6524.6830364535972</v>
      </c>
      <c r="U434" s="26">
        <f t="shared" si="13"/>
        <v>6358.7930364535969</v>
      </c>
    </row>
    <row r="435" spans="19:21" ht="14.65" thickBot="1" x14ac:dyDescent="0.5">
      <c r="S435" s="37">
        <f t="shared" si="12"/>
        <v>6589.9298668181336</v>
      </c>
      <c r="U435" s="26">
        <f t="shared" si="13"/>
        <v>6424.0398668181333</v>
      </c>
    </row>
    <row r="436" spans="19:21" ht="14.65" thickBot="1" x14ac:dyDescent="0.5">
      <c r="S436" s="37">
        <f t="shared" si="12"/>
        <v>6655.8291654863151</v>
      </c>
      <c r="U436" s="26">
        <f t="shared" si="13"/>
        <v>6489.9391654863148</v>
      </c>
    </row>
    <row r="437" spans="19:21" ht="14.65" thickBot="1" x14ac:dyDescent="0.5">
      <c r="S437" s="37">
        <f t="shared" si="12"/>
        <v>6722.3874571411779</v>
      </c>
      <c r="U437" s="26">
        <f t="shared" si="13"/>
        <v>6556.4974571411776</v>
      </c>
    </row>
    <row r="438" spans="19:21" ht="14.65" thickBot="1" x14ac:dyDescent="0.5">
      <c r="S438" s="37">
        <f t="shared" si="12"/>
        <v>6789.6113317125901</v>
      </c>
      <c r="U438" s="26">
        <f t="shared" si="13"/>
        <v>6623.7213317125897</v>
      </c>
    </row>
    <row r="439" spans="19:21" ht="14.65" thickBot="1" x14ac:dyDescent="0.5">
      <c r="S439" s="37">
        <f t="shared" si="12"/>
        <v>6857.5074450297161</v>
      </c>
      <c r="U439" s="26">
        <f t="shared" si="13"/>
        <v>6691.6174450297158</v>
      </c>
    </row>
    <row r="440" spans="19:21" ht="14.65" thickBot="1" x14ac:dyDescent="0.5">
      <c r="S440" s="37">
        <f t="shared" si="12"/>
        <v>6926.0825194800136</v>
      </c>
      <c r="U440" s="26">
        <f t="shared" si="13"/>
        <v>6760.1925194800133</v>
      </c>
    </row>
    <row r="441" spans="19:21" ht="14.65" thickBot="1" x14ac:dyDescent="0.5">
      <c r="S441" s="37">
        <f t="shared" si="12"/>
        <v>6995.343344674814</v>
      </c>
      <c r="U441" s="26">
        <f t="shared" si="13"/>
        <v>6829.4533446748137</v>
      </c>
    </row>
    <row r="442" spans="19:21" ht="14.65" thickBot="1" x14ac:dyDescent="0.5">
      <c r="S442" s="37">
        <f t="shared" si="12"/>
        <v>7065.2967781215621</v>
      </c>
      <c r="U442" s="26">
        <f t="shared" si="13"/>
        <v>6899.4067781215617</v>
      </c>
    </row>
    <row r="443" spans="19:21" ht="14.65" thickBot="1" x14ac:dyDescent="0.5">
      <c r="S443" s="37">
        <f t="shared" si="12"/>
        <v>7135.949745902778</v>
      </c>
      <c r="U443" s="26">
        <f t="shared" si="13"/>
        <v>6970.0597459027776</v>
      </c>
    </row>
    <row r="444" spans="19:21" ht="14.65" thickBot="1" x14ac:dyDescent="0.5">
      <c r="S444" s="37">
        <f t="shared" si="12"/>
        <v>7207.3092433618058</v>
      </c>
      <c r="U444" s="26">
        <f t="shared" si="13"/>
        <v>7041.4192433618055</v>
      </c>
    </row>
    <row r="445" spans="19:21" ht="14.65" thickBot="1" x14ac:dyDescent="0.5">
      <c r="S445" s="37">
        <f t="shared" si="12"/>
        <v>7279.3823357954243</v>
      </c>
      <c r="U445" s="26">
        <f t="shared" si="13"/>
        <v>7113.492335795424</v>
      </c>
    </row>
    <row r="446" spans="19:21" ht="14.65" thickBot="1" x14ac:dyDescent="0.5">
      <c r="S446" s="37">
        <f t="shared" si="12"/>
        <v>7352.1761591533786</v>
      </c>
      <c r="U446" s="26">
        <f t="shared" si="13"/>
        <v>7186.2861591533783</v>
      </c>
    </row>
    <row r="447" spans="19:21" ht="14.65" thickBot="1" x14ac:dyDescent="0.5">
      <c r="S447" s="37">
        <f t="shared" si="12"/>
        <v>7425.6979207449122</v>
      </c>
      <c r="U447" s="26">
        <f t="shared" si="13"/>
        <v>7259.8079207449118</v>
      </c>
    </row>
    <row r="448" spans="19:21" ht="14.65" thickBot="1" x14ac:dyDescent="0.5">
      <c r="S448" s="37">
        <f t="shared" si="12"/>
        <v>7499.9548999523613</v>
      </c>
      <c r="U448" s="26">
        <f t="shared" si="13"/>
        <v>7334.064899952361</v>
      </c>
    </row>
    <row r="449" spans="19:21" ht="14.65" thickBot="1" x14ac:dyDescent="0.5">
      <c r="S449" s="37">
        <f t="shared" si="12"/>
        <v>7574.9544489518848</v>
      </c>
      <c r="U449" s="26">
        <f t="shared" si="13"/>
        <v>7409.0644489518845</v>
      </c>
    </row>
    <row r="450" spans="19:21" ht="14.65" thickBot="1" x14ac:dyDescent="0.5">
      <c r="S450" s="37">
        <f t="shared" si="12"/>
        <v>7650.7039934414033</v>
      </c>
      <c r="U450" s="26">
        <f t="shared" si="13"/>
        <v>7484.813993441403</v>
      </c>
    </row>
    <row r="451" spans="19:21" ht="14.65" thickBot="1" x14ac:dyDescent="0.5">
      <c r="S451" s="37">
        <f t="shared" si="12"/>
        <v>7727.2110333758174</v>
      </c>
      <c r="U451" s="26">
        <f t="shared" si="13"/>
        <v>7561.321033375817</v>
      </c>
    </row>
    <row r="452" spans="19:21" ht="14.65" thickBot="1" x14ac:dyDescent="0.5">
      <c r="S452" s="37">
        <f t="shared" si="12"/>
        <v>7804.4831437095754</v>
      </c>
      <c r="U452" s="26">
        <f t="shared" si="13"/>
        <v>7638.5931437095751</v>
      </c>
    </row>
    <row r="453" spans="19:21" ht="14.65" thickBot="1" x14ac:dyDescent="0.5">
      <c r="S453" s="37">
        <f t="shared" si="12"/>
        <v>7882.5279751466715</v>
      </c>
      <c r="U453" s="26">
        <f t="shared" si="13"/>
        <v>7716.6379751466711</v>
      </c>
    </row>
    <row r="454" spans="19:21" ht="14.65" thickBot="1" x14ac:dyDescent="0.5">
      <c r="S454" s="37">
        <f t="shared" si="12"/>
        <v>7961.3532548981384</v>
      </c>
      <c r="U454" s="26">
        <f t="shared" si="13"/>
        <v>7795.4632548981381</v>
      </c>
    </row>
    <row r="455" spans="19:21" ht="14.65" thickBot="1" x14ac:dyDescent="0.5">
      <c r="S455" s="37">
        <f t="shared" si="12"/>
        <v>8040.9667874471197</v>
      </c>
      <c r="U455" s="26">
        <f t="shared" si="13"/>
        <v>7875.0767874471194</v>
      </c>
    </row>
    <row r="456" spans="19:21" ht="14.65" thickBot="1" x14ac:dyDescent="0.5">
      <c r="S456" s="37">
        <f t="shared" si="12"/>
        <v>8121.3764553215906</v>
      </c>
      <c r="U456" s="26">
        <f t="shared" si="13"/>
        <v>7955.4864553215903</v>
      </c>
    </row>
    <row r="457" spans="19:21" ht="14.65" thickBot="1" x14ac:dyDescent="0.5">
      <c r="S457" s="37">
        <f t="shared" si="12"/>
        <v>8202.5902198748063</v>
      </c>
      <c r="U457" s="26">
        <f t="shared" si="13"/>
        <v>8036.700219874806</v>
      </c>
    </row>
    <row r="458" spans="19:21" ht="14.65" thickBot="1" x14ac:dyDescent="0.5">
      <c r="S458" s="37">
        <f t="shared" si="12"/>
        <v>8284.6161220735539</v>
      </c>
      <c r="U458" s="26">
        <f t="shared" si="13"/>
        <v>8118.7261220735536</v>
      </c>
    </row>
    <row r="459" spans="19:21" ht="14.65" thickBot="1" x14ac:dyDescent="0.5">
      <c r="S459" s="37">
        <f t="shared" si="12"/>
        <v>8367.4622832942896</v>
      </c>
      <c r="U459" s="26">
        <f t="shared" si="13"/>
        <v>8201.5722832942884</v>
      </c>
    </row>
    <row r="460" spans="19:21" ht="14.65" thickBot="1" x14ac:dyDescent="0.5">
      <c r="S460" s="37">
        <f t="shared" si="12"/>
        <v>8451.1369061272326</v>
      </c>
      <c r="U460" s="26">
        <f t="shared" si="13"/>
        <v>8285.2469061272313</v>
      </c>
    </row>
    <row r="461" spans="19:21" ht="14.65" thickBot="1" x14ac:dyDescent="0.5">
      <c r="S461" s="37">
        <f t="shared" si="12"/>
        <v>8535.6482751885051</v>
      </c>
      <c r="U461" s="26">
        <f t="shared" si="13"/>
        <v>8369.7582751885038</v>
      </c>
    </row>
    <row r="462" spans="19:21" ht="14.65" thickBot="1" x14ac:dyDescent="0.5">
      <c r="S462" s="37">
        <f t="shared" si="12"/>
        <v>8621.0047579403908</v>
      </c>
      <c r="U462" s="26">
        <f t="shared" si="13"/>
        <v>8455.1147579403896</v>
      </c>
    </row>
    <row r="463" spans="19:21" ht="14.65" thickBot="1" x14ac:dyDescent="0.5">
      <c r="S463" s="37">
        <f t="shared" si="12"/>
        <v>8707.214805519794</v>
      </c>
      <c r="U463" s="26">
        <f t="shared" si="13"/>
        <v>8541.3248055197928</v>
      </c>
    </row>
    <row r="464" spans="19:21" ht="14.65" thickBot="1" x14ac:dyDescent="0.5">
      <c r="S464" s="37">
        <f t="shared" si="12"/>
        <v>8794.2869535749924</v>
      </c>
      <c r="U464" s="26">
        <f t="shared" si="13"/>
        <v>8628.3969535749911</v>
      </c>
    </row>
    <row r="465" spans="19:21" ht="14.65" thickBot="1" x14ac:dyDescent="0.5">
      <c r="S465" s="37">
        <f t="shared" si="12"/>
        <v>8882.2298231107416</v>
      </c>
      <c r="U465" s="26">
        <f t="shared" si="13"/>
        <v>8716.3398231107403</v>
      </c>
    </row>
    <row r="466" spans="19:21" ht="14.65" thickBot="1" x14ac:dyDescent="0.5">
      <c r="S466" s="37">
        <f t="shared" si="12"/>
        <v>8971.0521213418488</v>
      </c>
      <c r="U466" s="26">
        <f t="shared" si="13"/>
        <v>8805.1621213418475</v>
      </c>
    </row>
    <row r="467" spans="19:21" ht="14.65" thickBot="1" x14ac:dyDescent="0.5">
      <c r="S467" s="37">
        <f t="shared" si="12"/>
        <v>9060.762642555268</v>
      </c>
      <c r="U467" s="26">
        <f t="shared" si="13"/>
        <v>8894.8726425552668</v>
      </c>
    </row>
    <row r="468" spans="19:21" ht="14.65" thickBot="1" x14ac:dyDescent="0.5">
      <c r="S468" s="37">
        <f t="shared" si="12"/>
        <v>9151.3702689808215</v>
      </c>
      <c r="U468" s="26">
        <f t="shared" si="13"/>
        <v>8985.4802689808203</v>
      </c>
    </row>
    <row r="469" spans="19:21" ht="14.65" thickBot="1" x14ac:dyDescent="0.5">
      <c r="S469" s="37">
        <f t="shared" ref="S469:S532" si="14">S468*(1.01)</f>
        <v>9242.8839716706298</v>
      </c>
      <c r="U469" s="26">
        <f t="shared" ref="U469:U532" si="15">IF(S469&lt;$D$8,$D$8-S469-$D$10,-$D$10)+IF(S469&lt;$D$7,-$D$9,S469-$D$7-$D$9)</f>
        <v>9076.9939716706285</v>
      </c>
    </row>
    <row r="470" spans="19:21" ht="14.65" thickBot="1" x14ac:dyDescent="0.5">
      <c r="S470" s="37">
        <f t="shared" si="14"/>
        <v>9335.3128113873354</v>
      </c>
      <c r="U470" s="26">
        <f t="shared" si="15"/>
        <v>9169.4228113873341</v>
      </c>
    </row>
    <row r="471" spans="19:21" ht="14.65" thickBot="1" x14ac:dyDescent="0.5">
      <c r="S471" s="37">
        <f t="shared" si="14"/>
        <v>9428.6659395012084</v>
      </c>
      <c r="U471" s="26">
        <f t="shared" si="15"/>
        <v>9262.7759395012072</v>
      </c>
    </row>
    <row r="472" spans="19:21" ht="14.65" thickBot="1" x14ac:dyDescent="0.5">
      <c r="S472" s="37">
        <f t="shared" si="14"/>
        <v>9522.9525988962214</v>
      </c>
      <c r="U472" s="26">
        <f t="shared" si="15"/>
        <v>9357.0625988962202</v>
      </c>
    </row>
    <row r="473" spans="19:21" ht="14.65" thickBot="1" x14ac:dyDescent="0.5">
      <c r="S473" s="37">
        <f t="shared" si="14"/>
        <v>9618.1821248851829</v>
      </c>
      <c r="U473" s="26">
        <f t="shared" si="15"/>
        <v>9452.2921248851817</v>
      </c>
    </row>
    <row r="474" spans="19:21" ht="14.65" thickBot="1" x14ac:dyDescent="0.5">
      <c r="S474" s="37">
        <f t="shared" si="14"/>
        <v>9714.3639461340354</v>
      </c>
      <c r="U474" s="26">
        <f t="shared" si="15"/>
        <v>9548.4739461340341</v>
      </c>
    </row>
    <row r="475" spans="19:21" ht="14.65" thickBot="1" x14ac:dyDescent="0.5">
      <c r="S475" s="37">
        <f t="shared" si="14"/>
        <v>9811.5075855953764</v>
      </c>
      <c r="U475" s="26">
        <f t="shared" si="15"/>
        <v>9645.6175855953752</v>
      </c>
    </row>
    <row r="476" spans="19:21" ht="14.65" thickBot="1" x14ac:dyDescent="0.5">
      <c r="S476" s="37">
        <f t="shared" si="14"/>
        <v>9909.6226614513307</v>
      </c>
      <c r="U476" s="26">
        <f t="shared" si="15"/>
        <v>9743.7326614513295</v>
      </c>
    </row>
    <row r="477" spans="19:21" ht="14.65" thickBot="1" x14ac:dyDescent="0.5">
      <c r="S477" s="37">
        <f t="shared" si="14"/>
        <v>10008.718888065843</v>
      </c>
      <c r="U477" s="26">
        <f t="shared" si="15"/>
        <v>9842.828888065842</v>
      </c>
    </row>
    <row r="478" spans="19:21" ht="14.65" thickBot="1" x14ac:dyDescent="0.5">
      <c r="S478" s="37">
        <f t="shared" si="14"/>
        <v>10108.806076946501</v>
      </c>
      <c r="U478" s="26">
        <f t="shared" si="15"/>
        <v>9942.9160769464997</v>
      </c>
    </row>
    <row r="479" spans="19:21" ht="14.65" thickBot="1" x14ac:dyDescent="0.5">
      <c r="S479" s="37">
        <f t="shared" si="14"/>
        <v>10209.894137715966</v>
      </c>
      <c r="U479" s="26">
        <f t="shared" si="15"/>
        <v>10044.004137715965</v>
      </c>
    </row>
    <row r="480" spans="19:21" ht="14.65" thickBot="1" x14ac:dyDescent="0.5">
      <c r="S480" s="37">
        <f t="shared" si="14"/>
        <v>10311.993079093127</v>
      </c>
      <c r="U480" s="26">
        <f t="shared" si="15"/>
        <v>10146.103079093125</v>
      </c>
    </row>
    <row r="481" spans="19:21" ht="14.65" thickBot="1" x14ac:dyDescent="0.5">
      <c r="S481" s="37">
        <f t="shared" si="14"/>
        <v>10415.113009884059</v>
      </c>
      <c r="U481" s="26">
        <f t="shared" si="15"/>
        <v>10249.223009884057</v>
      </c>
    </row>
    <row r="482" spans="19:21" ht="14.65" thickBot="1" x14ac:dyDescent="0.5">
      <c r="S482" s="37">
        <f t="shared" si="14"/>
        <v>10519.264139982899</v>
      </c>
      <c r="U482" s="26">
        <f t="shared" si="15"/>
        <v>10353.374139982898</v>
      </c>
    </row>
    <row r="483" spans="19:21" ht="14.65" thickBot="1" x14ac:dyDescent="0.5">
      <c r="S483" s="37">
        <f t="shared" si="14"/>
        <v>10624.456781382729</v>
      </c>
      <c r="U483" s="26">
        <f t="shared" si="15"/>
        <v>10458.566781382728</v>
      </c>
    </row>
    <row r="484" spans="19:21" ht="14.65" thickBot="1" x14ac:dyDescent="0.5">
      <c r="S484" s="37">
        <f t="shared" si="14"/>
        <v>10730.701349196555</v>
      </c>
      <c r="U484" s="26">
        <f t="shared" si="15"/>
        <v>10564.811349196554</v>
      </c>
    </row>
    <row r="485" spans="19:21" ht="14.65" thickBot="1" x14ac:dyDescent="0.5">
      <c r="S485" s="37">
        <f t="shared" si="14"/>
        <v>10838.008362688521</v>
      </c>
      <c r="U485" s="26">
        <f t="shared" si="15"/>
        <v>10672.118362688519</v>
      </c>
    </row>
    <row r="486" spans="19:21" ht="14.65" thickBot="1" x14ac:dyDescent="0.5">
      <c r="S486" s="37">
        <f t="shared" si="14"/>
        <v>10946.388446315406</v>
      </c>
      <c r="U486" s="26">
        <f t="shared" si="15"/>
        <v>10780.498446315405</v>
      </c>
    </row>
    <row r="487" spans="19:21" ht="14.65" thickBot="1" x14ac:dyDescent="0.5">
      <c r="S487" s="37">
        <f t="shared" si="14"/>
        <v>11055.85233077856</v>
      </c>
      <c r="U487" s="26">
        <f t="shared" si="15"/>
        <v>10889.962330778559</v>
      </c>
    </row>
    <row r="488" spans="19:21" ht="14.65" thickBot="1" x14ac:dyDescent="0.5">
      <c r="S488" s="37">
        <f t="shared" si="14"/>
        <v>11166.410854086345</v>
      </c>
      <c r="U488" s="26">
        <f t="shared" si="15"/>
        <v>11000.520854086344</v>
      </c>
    </row>
    <row r="489" spans="19:21" ht="14.65" thickBot="1" x14ac:dyDescent="0.5">
      <c r="S489" s="37">
        <f t="shared" si="14"/>
        <v>11278.074962627208</v>
      </c>
      <c r="U489" s="26">
        <f t="shared" si="15"/>
        <v>11112.184962627207</v>
      </c>
    </row>
    <row r="490" spans="19:21" ht="14.65" thickBot="1" x14ac:dyDescent="0.5">
      <c r="S490" s="37">
        <f t="shared" si="14"/>
        <v>11390.85571225348</v>
      </c>
      <c r="U490" s="26">
        <f t="shared" si="15"/>
        <v>11224.965712253479</v>
      </c>
    </row>
    <row r="491" spans="19:21" ht="14.65" thickBot="1" x14ac:dyDescent="0.5">
      <c r="S491" s="37">
        <f t="shared" si="14"/>
        <v>11504.764269376015</v>
      </c>
      <c r="U491" s="26">
        <f t="shared" si="15"/>
        <v>11338.874269376014</v>
      </c>
    </row>
    <row r="492" spans="19:21" ht="14.65" thickBot="1" x14ac:dyDescent="0.5">
      <c r="S492" s="37">
        <f t="shared" si="14"/>
        <v>11619.811912069776</v>
      </c>
      <c r="U492" s="26">
        <f t="shared" si="15"/>
        <v>11453.921912069774</v>
      </c>
    </row>
    <row r="493" spans="19:21" ht="14.65" thickBot="1" x14ac:dyDescent="0.5">
      <c r="S493" s="37">
        <f t="shared" si="14"/>
        <v>11736.010031190473</v>
      </c>
      <c r="U493" s="26">
        <f t="shared" si="15"/>
        <v>11570.120031190472</v>
      </c>
    </row>
    <row r="494" spans="19:21" ht="14.65" thickBot="1" x14ac:dyDescent="0.5">
      <c r="S494" s="37">
        <f t="shared" si="14"/>
        <v>11853.370131502379</v>
      </c>
      <c r="U494" s="26">
        <f t="shared" si="15"/>
        <v>11687.480131502378</v>
      </c>
    </row>
    <row r="495" spans="19:21" ht="14.65" thickBot="1" x14ac:dyDescent="0.5">
      <c r="S495" s="37">
        <f t="shared" si="14"/>
        <v>11971.903832817403</v>
      </c>
      <c r="U495" s="26">
        <f t="shared" si="15"/>
        <v>11806.013832817402</v>
      </c>
    </row>
    <row r="496" spans="19:21" ht="14.65" thickBot="1" x14ac:dyDescent="0.5">
      <c r="S496" s="37">
        <f t="shared" si="14"/>
        <v>12091.622871145577</v>
      </c>
      <c r="U496" s="26">
        <f t="shared" si="15"/>
        <v>11925.732871145576</v>
      </c>
    </row>
    <row r="497" spans="19:21" ht="14.65" thickBot="1" x14ac:dyDescent="0.5">
      <c r="S497" s="37">
        <f t="shared" si="14"/>
        <v>12212.539099857033</v>
      </c>
      <c r="U497" s="26">
        <f t="shared" si="15"/>
        <v>12046.649099857032</v>
      </c>
    </row>
    <row r="498" spans="19:21" ht="14.65" thickBot="1" x14ac:dyDescent="0.5">
      <c r="S498" s="37">
        <f t="shared" si="14"/>
        <v>12334.664490855603</v>
      </c>
      <c r="U498" s="26">
        <f t="shared" si="15"/>
        <v>12168.774490855601</v>
      </c>
    </row>
    <row r="499" spans="19:21" ht="14.65" thickBot="1" x14ac:dyDescent="0.5">
      <c r="S499" s="37">
        <f t="shared" si="14"/>
        <v>12458.011135764158</v>
      </c>
      <c r="U499" s="26">
        <f t="shared" si="15"/>
        <v>12292.121135764157</v>
      </c>
    </row>
    <row r="500" spans="19:21" ht="14.65" thickBot="1" x14ac:dyDescent="0.5">
      <c r="S500" s="37">
        <f t="shared" si="14"/>
        <v>12582.5912471218</v>
      </c>
      <c r="U500" s="26">
        <f t="shared" si="15"/>
        <v>12416.701247121799</v>
      </c>
    </row>
    <row r="501" spans="19:21" ht="14.65" thickBot="1" x14ac:dyDescent="0.5">
      <c r="S501" s="37">
        <f t="shared" si="14"/>
        <v>12708.417159593018</v>
      </c>
      <c r="U501" s="26">
        <f t="shared" si="15"/>
        <v>12542.527159593017</v>
      </c>
    </row>
    <row r="502" spans="19:21" ht="14.65" thickBot="1" x14ac:dyDescent="0.5">
      <c r="S502" s="37">
        <f t="shared" si="14"/>
        <v>12835.501331188949</v>
      </c>
      <c r="U502" s="26">
        <f t="shared" si="15"/>
        <v>12669.611331188948</v>
      </c>
    </row>
    <row r="503" spans="19:21" ht="14.65" thickBot="1" x14ac:dyDescent="0.5">
      <c r="S503" s="37">
        <f t="shared" si="14"/>
        <v>12963.856344500839</v>
      </c>
      <c r="U503" s="26">
        <f t="shared" si="15"/>
        <v>12797.966344500837</v>
      </c>
    </row>
    <row r="504" spans="19:21" ht="14.65" thickBot="1" x14ac:dyDescent="0.5">
      <c r="S504" s="37">
        <f t="shared" si="14"/>
        <v>13093.494907945847</v>
      </c>
      <c r="U504" s="26">
        <f t="shared" si="15"/>
        <v>12927.604907945846</v>
      </c>
    </row>
    <row r="505" spans="19:21" ht="14.65" thickBot="1" x14ac:dyDescent="0.5">
      <c r="S505" s="37">
        <f t="shared" si="14"/>
        <v>13224.429857025307</v>
      </c>
      <c r="U505" s="26">
        <f t="shared" si="15"/>
        <v>13058.539857025306</v>
      </c>
    </row>
    <row r="506" spans="19:21" ht="14.65" thickBot="1" x14ac:dyDescent="0.5">
      <c r="S506" s="37">
        <f t="shared" si="14"/>
        <v>13356.67415559556</v>
      </c>
      <c r="U506" s="26">
        <f t="shared" si="15"/>
        <v>13190.784155595558</v>
      </c>
    </row>
    <row r="507" spans="19:21" ht="14.65" thickBot="1" x14ac:dyDescent="0.5">
      <c r="S507" s="37">
        <f t="shared" si="14"/>
        <v>13490.240897151516</v>
      </c>
      <c r="U507" s="26">
        <f t="shared" si="15"/>
        <v>13324.350897151515</v>
      </c>
    </row>
    <row r="508" spans="19:21" ht="14.65" thickBot="1" x14ac:dyDescent="0.5">
      <c r="S508" s="37">
        <f t="shared" si="14"/>
        <v>13625.143306123031</v>
      </c>
      <c r="U508" s="26">
        <f t="shared" si="15"/>
        <v>13459.25330612303</v>
      </c>
    </row>
    <row r="509" spans="19:21" ht="14.65" thickBot="1" x14ac:dyDescent="0.5">
      <c r="S509" s="37">
        <f t="shared" si="14"/>
        <v>13761.394739184261</v>
      </c>
      <c r="U509" s="26">
        <f t="shared" si="15"/>
        <v>13595.50473918426</v>
      </c>
    </row>
    <row r="510" spans="19:21" ht="14.65" thickBot="1" x14ac:dyDescent="0.5">
      <c r="S510" s="37">
        <f t="shared" si="14"/>
        <v>13899.008686576104</v>
      </c>
      <c r="U510" s="26">
        <f t="shared" si="15"/>
        <v>13733.118686576103</v>
      </c>
    </row>
    <row r="511" spans="19:21" ht="14.65" thickBot="1" x14ac:dyDescent="0.5">
      <c r="S511" s="37">
        <f t="shared" si="14"/>
        <v>14037.998773441865</v>
      </c>
      <c r="U511" s="26">
        <f t="shared" si="15"/>
        <v>13872.108773441863</v>
      </c>
    </row>
    <row r="512" spans="19:21" ht="14.65" thickBot="1" x14ac:dyDescent="0.5">
      <c r="S512" s="37">
        <f t="shared" si="14"/>
        <v>14178.378761176284</v>
      </c>
      <c r="U512" s="26">
        <f t="shared" si="15"/>
        <v>14012.488761176282</v>
      </c>
    </row>
    <row r="513" spans="19:21" ht="14.65" thickBot="1" x14ac:dyDescent="0.5">
      <c r="S513" s="37">
        <f t="shared" si="14"/>
        <v>14320.162548788046</v>
      </c>
      <c r="U513" s="26">
        <f t="shared" si="15"/>
        <v>14154.272548788045</v>
      </c>
    </row>
    <row r="514" spans="19:21" ht="14.65" thickBot="1" x14ac:dyDescent="0.5">
      <c r="S514" s="37">
        <f t="shared" si="14"/>
        <v>14463.364174275926</v>
      </c>
      <c r="U514" s="26">
        <f t="shared" si="15"/>
        <v>14297.474174275925</v>
      </c>
    </row>
    <row r="515" spans="19:21" ht="14.65" thickBot="1" x14ac:dyDescent="0.5">
      <c r="S515" s="37">
        <f t="shared" si="14"/>
        <v>14607.997816018686</v>
      </c>
      <c r="U515" s="26">
        <f t="shared" si="15"/>
        <v>14442.107816018684</v>
      </c>
    </row>
    <row r="516" spans="19:21" ht="14.65" thickBot="1" x14ac:dyDescent="0.5">
      <c r="S516" s="37">
        <f t="shared" si="14"/>
        <v>14754.077794178873</v>
      </c>
      <c r="U516" s="26">
        <f t="shared" si="15"/>
        <v>14588.187794178872</v>
      </c>
    </row>
    <row r="517" spans="19:21" ht="14.65" thickBot="1" x14ac:dyDescent="0.5">
      <c r="S517" s="37">
        <f t="shared" si="14"/>
        <v>14901.618572120662</v>
      </c>
      <c r="U517" s="26">
        <f t="shared" si="15"/>
        <v>14735.728572120661</v>
      </c>
    </row>
    <row r="518" spans="19:21" ht="14.65" thickBot="1" x14ac:dyDescent="0.5">
      <c r="S518" s="37">
        <f t="shared" si="14"/>
        <v>15050.634757841868</v>
      </c>
      <c r="U518" s="26">
        <f t="shared" si="15"/>
        <v>14884.744757841867</v>
      </c>
    </row>
    <row r="519" spans="19:21" ht="14.65" thickBot="1" x14ac:dyDescent="0.5">
      <c r="S519" s="37">
        <f t="shared" si="14"/>
        <v>15201.141105420287</v>
      </c>
      <c r="U519" s="26">
        <f t="shared" si="15"/>
        <v>15035.251105420286</v>
      </c>
    </row>
    <row r="520" spans="19:21" ht="14.65" thickBot="1" x14ac:dyDescent="0.5">
      <c r="S520" s="37">
        <f t="shared" si="14"/>
        <v>15353.152516474491</v>
      </c>
      <c r="U520" s="26">
        <f t="shared" si="15"/>
        <v>15187.26251647449</v>
      </c>
    </row>
    <row r="521" spans="19:21" ht="14.65" thickBot="1" x14ac:dyDescent="0.5">
      <c r="S521" s="37">
        <f t="shared" si="14"/>
        <v>15506.684041639235</v>
      </c>
      <c r="U521" s="26">
        <f t="shared" si="15"/>
        <v>15340.794041639234</v>
      </c>
    </row>
    <row r="522" spans="19:21" ht="14.65" thickBot="1" x14ac:dyDescent="0.5">
      <c r="S522" s="37">
        <f t="shared" si="14"/>
        <v>15661.750882055627</v>
      </c>
      <c r="U522" s="26">
        <f t="shared" si="15"/>
        <v>15495.860882055626</v>
      </c>
    </row>
    <row r="523" spans="19:21" ht="14.65" thickBot="1" x14ac:dyDescent="0.5">
      <c r="S523" s="37">
        <f t="shared" si="14"/>
        <v>15818.368390876183</v>
      </c>
      <c r="U523" s="26">
        <f t="shared" si="15"/>
        <v>15652.478390876182</v>
      </c>
    </row>
    <row r="524" spans="19:21" ht="14.65" thickBot="1" x14ac:dyDescent="0.5">
      <c r="S524" s="37">
        <f t="shared" si="14"/>
        <v>15976.552074784946</v>
      </c>
      <c r="U524" s="26">
        <f t="shared" si="15"/>
        <v>15810.662074784945</v>
      </c>
    </row>
    <row r="525" spans="19:21" ht="14.65" thickBot="1" x14ac:dyDescent="0.5">
      <c r="S525" s="37">
        <f t="shared" si="14"/>
        <v>16136.317595532795</v>
      </c>
      <c r="U525" s="26">
        <f t="shared" si="15"/>
        <v>15970.427595532794</v>
      </c>
    </row>
    <row r="526" spans="19:21" ht="14.65" thickBot="1" x14ac:dyDescent="0.5">
      <c r="S526" s="37">
        <f t="shared" si="14"/>
        <v>16297.680771488123</v>
      </c>
      <c r="U526" s="26">
        <f t="shared" si="15"/>
        <v>16131.790771488122</v>
      </c>
    </row>
    <row r="527" spans="19:21" ht="14.65" thickBot="1" x14ac:dyDescent="0.5">
      <c r="S527" s="37">
        <f t="shared" si="14"/>
        <v>16460.657579203005</v>
      </c>
      <c r="U527" s="26">
        <f t="shared" si="15"/>
        <v>16294.767579203004</v>
      </c>
    </row>
    <row r="528" spans="19:21" ht="14.65" thickBot="1" x14ac:dyDescent="0.5">
      <c r="S528" s="37">
        <f t="shared" si="14"/>
        <v>16625.264154995035</v>
      </c>
      <c r="U528" s="26">
        <f t="shared" si="15"/>
        <v>16459.374154995035</v>
      </c>
    </row>
    <row r="529" spans="19:21" ht="14.65" thickBot="1" x14ac:dyDescent="0.5">
      <c r="S529" s="37">
        <f t="shared" si="14"/>
        <v>16791.516796544984</v>
      </c>
      <c r="U529" s="26">
        <f t="shared" si="15"/>
        <v>16625.626796544984</v>
      </c>
    </row>
    <row r="530" spans="19:21" ht="14.65" thickBot="1" x14ac:dyDescent="0.5">
      <c r="S530" s="37">
        <f t="shared" si="14"/>
        <v>16959.431964510433</v>
      </c>
      <c r="U530" s="26">
        <f t="shared" si="15"/>
        <v>16793.541964510434</v>
      </c>
    </row>
    <row r="531" spans="19:21" ht="14.65" thickBot="1" x14ac:dyDescent="0.5">
      <c r="S531" s="37">
        <f t="shared" si="14"/>
        <v>17129.026284155538</v>
      </c>
      <c r="U531" s="26">
        <f t="shared" si="15"/>
        <v>16963.136284155538</v>
      </c>
    </row>
    <row r="532" spans="19:21" ht="14.65" thickBot="1" x14ac:dyDescent="0.5">
      <c r="S532" s="37">
        <f t="shared" si="14"/>
        <v>17300.316546997092</v>
      </c>
      <c r="U532" s="26">
        <f t="shared" si="15"/>
        <v>17134.426546997092</v>
      </c>
    </row>
    <row r="533" spans="19:21" ht="14.65" thickBot="1" x14ac:dyDescent="0.5">
      <c r="S533" s="37">
        <f t="shared" ref="S533:S596" si="16">S532*(1.01)</f>
        <v>17473.319712467062</v>
      </c>
      <c r="U533" s="26">
        <f t="shared" ref="U533:U596" si="17">IF(S533&lt;$D$8,$D$8-S533-$D$10,-$D$10)+IF(S533&lt;$D$7,-$D$9,S533-$D$7-$D$9)</f>
        <v>17307.429712467063</v>
      </c>
    </row>
    <row r="534" spans="19:21" ht="14.65" thickBot="1" x14ac:dyDescent="0.5">
      <c r="S534" s="37">
        <f t="shared" si="16"/>
        <v>17648.052909591734</v>
      </c>
      <c r="U534" s="26">
        <f t="shared" si="17"/>
        <v>17482.162909591734</v>
      </c>
    </row>
    <row r="535" spans="19:21" ht="14.65" thickBot="1" x14ac:dyDescent="0.5">
      <c r="S535" s="37">
        <f t="shared" si="16"/>
        <v>17824.533438687649</v>
      </c>
      <c r="U535" s="26">
        <f t="shared" si="17"/>
        <v>17658.64343868765</v>
      </c>
    </row>
    <row r="536" spans="19:21" ht="14.65" thickBot="1" x14ac:dyDescent="0.5">
      <c r="S536" s="37">
        <f t="shared" si="16"/>
        <v>18002.778773074526</v>
      </c>
      <c r="U536" s="26">
        <f t="shared" si="17"/>
        <v>17836.888773074526</v>
      </c>
    </row>
    <row r="537" spans="19:21" ht="14.65" thickBot="1" x14ac:dyDescent="0.5">
      <c r="S537" s="37">
        <f t="shared" si="16"/>
        <v>18182.806560805271</v>
      </c>
      <c r="U537" s="26">
        <f t="shared" si="17"/>
        <v>18016.916560805272</v>
      </c>
    </row>
    <row r="538" spans="19:21" ht="14.65" thickBot="1" x14ac:dyDescent="0.5">
      <c r="S538" s="37">
        <f t="shared" si="16"/>
        <v>18364.634626413324</v>
      </c>
      <c r="U538" s="26">
        <f t="shared" si="17"/>
        <v>18198.744626413325</v>
      </c>
    </row>
    <row r="539" spans="19:21" ht="14.65" thickBot="1" x14ac:dyDescent="0.5">
      <c r="S539" s="37">
        <f t="shared" si="16"/>
        <v>18548.280972677458</v>
      </c>
      <c r="U539" s="26">
        <f t="shared" si="17"/>
        <v>18382.390972677458</v>
      </c>
    </row>
    <row r="540" spans="19:21" ht="14.65" thickBot="1" x14ac:dyDescent="0.5">
      <c r="S540" s="37">
        <f t="shared" si="16"/>
        <v>18733.763782404232</v>
      </c>
      <c r="U540" s="26">
        <f t="shared" si="17"/>
        <v>18567.873782404233</v>
      </c>
    </row>
    <row r="541" spans="19:21" ht="14.65" thickBot="1" x14ac:dyDescent="0.5">
      <c r="S541" s="37">
        <f t="shared" si="16"/>
        <v>18921.101420228275</v>
      </c>
      <c r="U541" s="26">
        <f t="shared" si="17"/>
        <v>18755.211420228276</v>
      </c>
    </row>
    <row r="542" spans="19:21" ht="14.65" thickBot="1" x14ac:dyDescent="0.5">
      <c r="S542" s="37">
        <f t="shared" si="16"/>
        <v>19110.312434430558</v>
      </c>
      <c r="U542" s="26">
        <f t="shared" si="17"/>
        <v>18944.422434430558</v>
      </c>
    </row>
    <row r="543" spans="19:21" ht="14.65" thickBot="1" x14ac:dyDescent="0.5">
      <c r="S543" s="37">
        <f t="shared" si="16"/>
        <v>19301.415558774865</v>
      </c>
      <c r="U543" s="26">
        <f t="shared" si="17"/>
        <v>19135.525558774865</v>
      </c>
    </row>
    <row r="544" spans="19:21" ht="14.65" thickBot="1" x14ac:dyDescent="0.5">
      <c r="S544" s="37">
        <f t="shared" si="16"/>
        <v>19494.429714362614</v>
      </c>
      <c r="U544" s="26">
        <f t="shared" si="17"/>
        <v>19328.539714362614</v>
      </c>
    </row>
    <row r="545" spans="19:21" ht="14.65" thickBot="1" x14ac:dyDescent="0.5">
      <c r="S545" s="37">
        <f t="shared" si="16"/>
        <v>19689.374011506239</v>
      </c>
      <c r="U545" s="26">
        <f t="shared" si="17"/>
        <v>19523.48401150624</v>
      </c>
    </row>
    <row r="546" spans="19:21" ht="14.65" thickBot="1" x14ac:dyDescent="0.5">
      <c r="S546" s="37">
        <f t="shared" si="16"/>
        <v>19886.267751621301</v>
      </c>
      <c r="U546" s="26">
        <f t="shared" si="17"/>
        <v>19720.377751621301</v>
      </c>
    </row>
    <row r="547" spans="19:21" ht="14.65" thickBot="1" x14ac:dyDescent="0.5">
      <c r="S547" s="37">
        <f t="shared" si="16"/>
        <v>20085.130429137513</v>
      </c>
      <c r="U547" s="26">
        <f t="shared" si="17"/>
        <v>19919.240429137513</v>
      </c>
    </row>
    <row r="548" spans="19:21" ht="14.65" thickBot="1" x14ac:dyDescent="0.5">
      <c r="S548" s="37">
        <f t="shared" si="16"/>
        <v>20285.981733428889</v>
      </c>
      <c r="U548" s="26">
        <f t="shared" si="17"/>
        <v>20120.09173342889</v>
      </c>
    </row>
    <row r="549" spans="19:21" ht="14.65" thickBot="1" x14ac:dyDescent="0.5">
      <c r="S549" s="37">
        <f t="shared" si="16"/>
        <v>20488.84155076318</v>
      </c>
      <c r="U549" s="26">
        <f t="shared" si="17"/>
        <v>20322.95155076318</v>
      </c>
    </row>
    <row r="550" spans="19:21" ht="14.65" thickBot="1" x14ac:dyDescent="0.5">
      <c r="S550" s="37">
        <f t="shared" si="16"/>
        <v>20693.72996627081</v>
      </c>
      <c r="U550" s="26">
        <f t="shared" si="17"/>
        <v>20527.839966270811</v>
      </c>
    </row>
    <row r="551" spans="19:21" ht="14.65" thickBot="1" x14ac:dyDescent="0.5">
      <c r="S551" s="37">
        <f t="shared" si="16"/>
        <v>20900.66726593352</v>
      </c>
      <c r="U551" s="26">
        <f t="shared" si="17"/>
        <v>20734.777265933521</v>
      </c>
    </row>
    <row r="552" spans="19:21" ht="14.65" thickBot="1" x14ac:dyDescent="0.5">
      <c r="S552" s="37">
        <f t="shared" si="16"/>
        <v>21109.673938592856</v>
      </c>
      <c r="U552" s="26">
        <f t="shared" si="17"/>
        <v>20943.783938592856</v>
      </c>
    </row>
    <row r="553" spans="19:21" ht="14.65" thickBot="1" x14ac:dyDescent="0.5">
      <c r="S553" s="37">
        <f t="shared" si="16"/>
        <v>21320.770677978784</v>
      </c>
      <c r="U553" s="26">
        <f t="shared" si="17"/>
        <v>21154.880677978785</v>
      </c>
    </row>
    <row r="554" spans="19:21" ht="14.65" thickBot="1" x14ac:dyDescent="0.5">
      <c r="S554" s="37">
        <f t="shared" si="16"/>
        <v>21533.978384758571</v>
      </c>
      <c r="U554" s="26">
        <f t="shared" si="17"/>
        <v>21368.088384758572</v>
      </c>
    </row>
    <row r="555" spans="19:21" ht="14.65" thickBot="1" x14ac:dyDescent="0.5">
      <c r="S555" s="37">
        <f t="shared" si="16"/>
        <v>21749.318168606158</v>
      </c>
      <c r="U555" s="26">
        <f t="shared" si="17"/>
        <v>21583.428168606159</v>
      </c>
    </row>
    <row r="556" spans="19:21" ht="14.65" thickBot="1" x14ac:dyDescent="0.5">
      <c r="S556" s="37">
        <f t="shared" si="16"/>
        <v>21966.811350292221</v>
      </c>
      <c r="U556" s="26">
        <f t="shared" si="17"/>
        <v>21800.921350292221</v>
      </c>
    </row>
    <row r="557" spans="19:21" ht="14.65" thickBot="1" x14ac:dyDescent="0.5">
      <c r="S557" s="37">
        <f t="shared" si="16"/>
        <v>22186.479463795142</v>
      </c>
      <c r="U557" s="26">
        <f t="shared" si="17"/>
        <v>22020.589463795142</v>
      </c>
    </row>
    <row r="558" spans="19:21" ht="14.65" thickBot="1" x14ac:dyDescent="0.5">
      <c r="S558" s="37">
        <f t="shared" si="16"/>
        <v>22408.344258433095</v>
      </c>
      <c r="U558" s="26">
        <f t="shared" si="17"/>
        <v>22242.454258433096</v>
      </c>
    </row>
    <row r="559" spans="19:21" ht="14.65" thickBot="1" x14ac:dyDescent="0.5">
      <c r="S559" s="37">
        <f t="shared" si="16"/>
        <v>22632.427701017426</v>
      </c>
      <c r="U559" s="26">
        <f t="shared" si="17"/>
        <v>22466.537701017427</v>
      </c>
    </row>
    <row r="560" spans="19:21" ht="14.65" thickBot="1" x14ac:dyDescent="0.5">
      <c r="S560" s="37">
        <f t="shared" si="16"/>
        <v>22858.751978027602</v>
      </c>
      <c r="U560" s="26">
        <f t="shared" si="17"/>
        <v>22692.861978027602</v>
      </c>
    </row>
    <row r="561" spans="19:21" ht="14.65" thickBot="1" x14ac:dyDescent="0.5">
      <c r="S561" s="37">
        <f t="shared" si="16"/>
        <v>23087.33949780788</v>
      </c>
      <c r="U561" s="26">
        <f t="shared" si="17"/>
        <v>22921.44949780788</v>
      </c>
    </row>
    <row r="562" spans="19:21" ht="14.65" thickBot="1" x14ac:dyDescent="0.5">
      <c r="S562" s="37">
        <f t="shared" si="16"/>
        <v>23318.212892785959</v>
      </c>
      <c r="U562" s="26">
        <f t="shared" si="17"/>
        <v>23152.32289278596</v>
      </c>
    </row>
    <row r="563" spans="19:21" ht="14.65" thickBot="1" x14ac:dyDescent="0.5">
      <c r="S563" s="37">
        <f t="shared" si="16"/>
        <v>23551.395021713819</v>
      </c>
      <c r="U563" s="26">
        <f t="shared" si="17"/>
        <v>23385.50502171382</v>
      </c>
    </row>
    <row r="564" spans="19:21" ht="14.65" thickBot="1" x14ac:dyDescent="0.5">
      <c r="S564" s="37">
        <f t="shared" si="16"/>
        <v>23786.908971930956</v>
      </c>
      <c r="U564" s="26">
        <f t="shared" si="17"/>
        <v>23621.018971930956</v>
      </c>
    </row>
    <row r="565" spans="19:21" ht="14.65" thickBot="1" x14ac:dyDescent="0.5">
      <c r="S565" s="37">
        <f t="shared" si="16"/>
        <v>24024.778061650264</v>
      </c>
      <c r="U565" s="26">
        <f t="shared" si="17"/>
        <v>23858.888061650265</v>
      </c>
    </row>
    <row r="566" spans="19:21" ht="14.65" thickBot="1" x14ac:dyDescent="0.5">
      <c r="S566" s="37">
        <f t="shared" si="16"/>
        <v>24265.025842266768</v>
      </c>
      <c r="U566" s="26">
        <f t="shared" si="17"/>
        <v>24099.135842266769</v>
      </c>
    </row>
    <row r="567" spans="19:21" ht="14.65" thickBot="1" x14ac:dyDescent="0.5">
      <c r="S567" s="37">
        <f t="shared" si="16"/>
        <v>24507.676100689438</v>
      </c>
      <c r="U567" s="26">
        <f t="shared" si="17"/>
        <v>24341.786100689438</v>
      </c>
    </row>
    <row r="568" spans="19:21" ht="14.65" thickBot="1" x14ac:dyDescent="0.5">
      <c r="S568" s="37">
        <f t="shared" si="16"/>
        <v>24752.752861696332</v>
      </c>
      <c r="U568" s="26">
        <f t="shared" si="17"/>
        <v>24586.862861696332</v>
      </c>
    </row>
    <row r="569" spans="19:21" ht="14.65" thickBot="1" x14ac:dyDescent="0.5">
      <c r="S569" s="37">
        <f t="shared" si="16"/>
        <v>25000.280390313295</v>
      </c>
      <c r="U569" s="26">
        <f t="shared" si="17"/>
        <v>24834.390390313296</v>
      </c>
    </row>
    <row r="570" spans="19:21" ht="14.65" thickBot="1" x14ac:dyDescent="0.5">
      <c r="S570" s="37">
        <f t="shared" si="16"/>
        <v>25250.28319421643</v>
      </c>
      <c r="U570" s="26">
        <f t="shared" si="17"/>
        <v>25084.393194216431</v>
      </c>
    </row>
    <row r="571" spans="19:21" ht="14.65" thickBot="1" x14ac:dyDescent="0.5">
      <c r="S571" s="37">
        <f t="shared" si="16"/>
        <v>25502.786026158596</v>
      </c>
      <c r="U571" s="26">
        <f t="shared" si="17"/>
        <v>25336.896026158596</v>
      </c>
    </row>
    <row r="572" spans="19:21" ht="14.65" thickBot="1" x14ac:dyDescent="0.5">
      <c r="S572" s="37">
        <f t="shared" si="16"/>
        <v>25757.813886420183</v>
      </c>
      <c r="U572" s="26">
        <f t="shared" si="17"/>
        <v>25591.923886420183</v>
      </c>
    </row>
    <row r="573" spans="19:21" ht="14.65" thickBot="1" x14ac:dyDescent="0.5">
      <c r="S573" s="37">
        <f t="shared" si="16"/>
        <v>26015.392025284385</v>
      </c>
      <c r="U573" s="26">
        <f t="shared" si="17"/>
        <v>25849.502025284386</v>
      </c>
    </row>
    <row r="574" spans="19:21" ht="14.65" thickBot="1" x14ac:dyDescent="0.5">
      <c r="S574" s="37">
        <f t="shared" si="16"/>
        <v>26275.545945537229</v>
      </c>
      <c r="U574" s="26">
        <f t="shared" si="17"/>
        <v>26109.65594553723</v>
      </c>
    </row>
    <row r="575" spans="19:21" ht="14.65" thickBot="1" x14ac:dyDescent="0.5">
      <c r="S575" s="37">
        <f t="shared" si="16"/>
        <v>26538.301404992602</v>
      </c>
      <c r="U575" s="26">
        <f t="shared" si="17"/>
        <v>26372.411404992603</v>
      </c>
    </row>
    <row r="576" spans="19:21" ht="14.65" thickBot="1" x14ac:dyDescent="0.5">
      <c r="S576" s="37">
        <f t="shared" si="16"/>
        <v>26803.684419042529</v>
      </c>
      <c r="U576" s="26">
        <f t="shared" si="17"/>
        <v>26637.79441904253</v>
      </c>
    </row>
    <row r="577" spans="19:21" ht="14.65" thickBot="1" x14ac:dyDescent="0.5">
      <c r="S577" s="37">
        <f t="shared" si="16"/>
        <v>27071.721263232954</v>
      </c>
      <c r="U577" s="26">
        <f t="shared" si="17"/>
        <v>26905.831263232954</v>
      </c>
    </row>
    <row r="578" spans="19:21" ht="14.65" thickBot="1" x14ac:dyDescent="0.5">
      <c r="S578" s="37">
        <f t="shared" si="16"/>
        <v>27342.438475865285</v>
      </c>
      <c r="U578" s="26">
        <f t="shared" si="17"/>
        <v>27176.548475865286</v>
      </c>
    </row>
    <row r="579" spans="19:21" ht="14.65" thickBot="1" x14ac:dyDescent="0.5">
      <c r="S579" s="37">
        <f t="shared" si="16"/>
        <v>27615.862860623936</v>
      </c>
      <c r="U579" s="26">
        <f t="shared" si="17"/>
        <v>27449.972860623937</v>
      </c>
    </row>
    <row r="580" spans="19:21" ht="14.65" thickBot="1" x14ac:dyDescent="0.5">
      <c r="S580" s="37">
        <f t="shared" si="16"/>
        <v>27892.021489230177</v>
      </c>
      <c r="U580" s="26">
        <f t="shared" si="17"/>
        <v>27726.131489230178</v>
      </c>
    </row>
    <row r="581" spans="19:21" ht="14.65" thickBot="1" x14ac:dyDescent="0.5">
      <c r="S581" s="37">
        <f t="shared" si="16"/>
        <v>28170.941704122481</v>
      </c>
      <c r="U581" s="26">
        <f t="shared" si="17"/>
        <v>28005.051704122481</v>
      </c>
    </row>
    <row r="582" spans="19:21" ht="14.65" thickBot="1" x14ac:dyDescent="0.5">
      <c r="S582" s="37">
        <f t="shared" si="16"/>
        <v>28452.651121163704</v>
      </c>
      <c r="U582" s="26">
        <f t="shared" si="17"/>
        <v>28286.761121163705</v>
      </c>
    </row>
    <row r="583" spans="19:21" ht="14.65" thickBot="1" x14ac:dyDescent="0.5">
      <c r="S583" s="37">
        <f t="shared" si="16"/>
        <v>28737.17763237534</v>
      </c>
      <c r="U583" s="26">
        <f t="shared" si="17"/>
        <v>28571.287632375341</v>
      </c>
    </row>
    <row r="584" spans="19:21" ht="14.65" thickBot="1" x14ac:dyDescent="0.5">
      <c r="S584" s="37">
        <f t="shared" si="16"/>
        <v>29024.549408699095</v>
      </c>
      <c r="U584" s="26">
        <f t="shared" si="17"/>
        <v>28858.659408699095</v>
      </c>
    </row>
    <row r="585" spans="19:21" ht="14.65" thickBot="1" x14ac:dyDescent="0.5">
      <c r="S585" s="37">
        <f t="shared" si="16"/>
        <v>29314.794902786085</v>
      </c>
      <c r="U585" s="26">
        <f t="shared" si="17"/>
        <v>29148.904902786086</v>
      </c>
    </row>
    <row r="586" spans="19:21" ht="14.65" thickBot="1" x14ac:dyDescent="0.5">
      <c r="S586" s="37">
        <f t="shared" si="16"/>
        <v>29607.942851813947</v>
      </c>
      <c r="U586" s="26">
        <f t="shared" si="17"/>
        <v>29442.052851813947</v>
      </c>
    </row>
    <row r="587" spans="19:21" ht="14.65" thickBot="1" x14ac:dyDescent="0.5">
      <c r="S587" s="37">
        <f t="shared" si="16"/>
        <v>29904.022280332087</v>
      </c>
      <c r="U587" s="26">
        <f t="shared" si="17"/>
        <v>29738.132280332087</v>
      </c>
    </row>
    <row r="588" spans="19:21" ht="14.65" thickBot="1" x14ac:dyDescent="0.5">
      <c r="S588" s="37">
        <f t="shared" si="16"/>
        <v>30203.062503135407</v>
      </c>
      <c r="U588" s="26">
        <f t="shared" si="17"/>
        <v>30037.172503135407</v>
      </c>
    </row>
    <row r="589" spans="19:21" ht="14.65" thickBot="1" x14ac:dyDescent="0.5">
      <c r="S589" s="37">
        <f t="shared" si="16"/>
        <v>30505.093128166762</v>
      </c>
      <c r="U589" s="26">
        <f t="shared" si="17"/>
        <v>30339.203128166762</v>
      </c>
    </row>
    <row r="590" spans="19:21" ht="14.65" thickBot="1" x14ac:dyDescent="0.5">
      <c r="S590" s="37">
        <f t="shared" si="16"/>
        <v>30810.14405944843</v>
      </c>
      <c r="U590" s="26">
        <f t="shared" si="17"/>
        <v>30644.254059448431</v>
      </c>
    </row>
    <row r="591" spans="19:21" ht="14.65" thickBot="1" x14ac:dyDescent="0.5">
      <c r="S591" s="37">
        <f t="shared" si="16"/>
        <v>31118.245500042915</v>
      </c>
      <c r="U591" s="26">
        <f t="shared" si="17"/>
        <v>30952.355500042915</v>
      </c>
    </row>
    <row r="592" spans="19:21" ht="14.65" thickBot="1" x14ac:dyDescent="0.5">
      <c r="S592" s="37">
        <f t="shared" si="16"/>
        <v>31429.427955043346</v>
      </c>
      <c r="U592" s="26">
        <f t="shared" si="17"/>
        <v>31263.537955043346</v>
      </c>
    </row>
    <row r="593" spans="19:21" ht="14.65" thickBot="1" x14ac:dyDescent="0.5">
      <c r="S593" s="37">
        <f t="shared" si="16"/>
        <v>31743.722234593781</v>
      </c>
      <c r="U593" s="26">
        <f t="shared" si="17"/>
        <v>31577.832234593781</v>
      </c>
    </row>
    <row r="594" spans="19:21" ht="14.65" thickBot="1" x14ac:dyDescent="0.5">
      <c r="S594" s="37">
        <f t="shared" si="16"/>
        <v>32061.15945693972</v>
      </c>
      <c r="U594" s="26">
        <f t="shared" si="17"/>
        <v>31895.269456939721</v>
      </c>
    </row>
    <row r="595" spans="19:21" ht="14.65" thickBot="1" x14ac:dyDescent="0.5">
      <c r="S595" s="37">
        <f t="shared" si="16"/>
        <v>32381.771051509117</v>
      </c>
      <c r="U595" s="26">
        <f t="shared" si="17"/>
        <v>32215.881051509117</v>
      </c>
    </row>
    <row r="596" spans="19:21" ht="14.65" thickBot="1" x14ac:dyDescent="0.5">
      <c r="S596" s="37">
        <f t="shared" si="16"/>
        <v>32705.588762024207</v>
      </c>
      <c r="U596" s="26">
        <f t="shared" si="17"/>
        <v>32539.698762024207</v>
      </c>
    </row>
    <row r="597" spans="19:21" ht="14.65" thickBot="1" x14ac:dyDescent="0.5">
      <c r="S597" s="37">
        <f t="shared" ref="S597:S660" si="18">S596*(1.01)</f>
        <v>33032.644649644448</v>
      </c>
      <c r="U597" s="26">
        <f t="shared" ref="U597:U660" si="19">IF(S597&lt;$D$8,$D$8-S597-$D$10,-$D$10)+IF(S597&lt;$D$7,-$D$9,S597-$D$7-$D$9)</f>
        <v>32866.754649644448</v>
      </c>
    </row>
    <row r="598" spans="19:21" ht="14.65" thickBot="1" x14ac:dyDescent="0.5">
      <c r="S598" s="37">
        <f t="shared" si="18"/>
        <v>33362.971096140893</v>
      </c>
      <c r="U598" s="26">
        <f t="shared" si="19"/>
        <v>33197.081096140893</v>
      </c>
    </row>
    <row r="599" spans="19:21" ht="14.65" thickBot="1" x14ac:dyDescent="0.5">
      <c r="S599" s="37">
        <f t="shared" si="18"/>
        <v>33696.600807102302</v>
      </c>
      <c r="U599" s="26">
        <f t="shared" si="19"/>
        <v>33530.710807102303</v>
      </c>
    </row>
    <row r="600" spans="19:21" ht="14.65" thickBot="1" x14ac:dyDescent="0.5">
      <c r="S600" s="37">
        <f t="shared" si="18"/>
        <v>34033.566815173326</v>
      </c>
      <c r="U600" s="26">
        <f t="shared" si="19"/>
        <v>33867.676815173327</v>
      </c>
    </row>
    <row r="601" spans="19:21" ht="14.65" thickBot="1" x14ac:dyDescent="0.5">
      <c r="S601" s="37">
        <f t="shared" si="18"/>
        <v>34373.902483325059</v>
      </c>
      <c r="U601" s="26">
        <f t="shared" si="19"/>
        <v>34208.012483325059</v>
      </c>
    </row>
    <row r="602" spans="19:21" ht="14.65" thickBot="1" x14ac:dyDescent="0.5">
      <c r="S602" s="37">
        <f t="shared" si="18"/>
        <v>34717.641508158311</v>
      </c>
      <c r="U602" s="26">
        <f t="shared" si="19"/>
        <v>34551.751508158311</v>
      </c>
    </row>
    <row r="603" spans="19:21" ht="14.65" thickBot="1" x14ac:dyDescent="0.5">
      <c r="S603" s="37">
        <f t="shared" si="18"/>
        <v>35064.817923239898</v>
      </c>
      <c r="U603" s="26">
        <f t="shared" si="19"/>
        <v>34898.927923239899</v>
      </c>
    </row>
    <row r="604" spans="19:21" ht="14.65" thickBot="1" x14ac:dyDescent="0.5">
      <c r="S604" s="37">
        <f t="shared" si="18"/>
        <v>35415.466102472295</v>
      </c>
      <c r="U604" s="26">
        <f t="shared" si="19"/>
        <v>35249.576102472296</v>
      </c>
    </row>
    <row r="605" spans="19:21" ht="14.65" thickBot="1" x14ac:dyDescent="0.5">
      <c r="S605" s="37">
        <f t="shared" si="18"/>
        <v>35769.62076349702</v>
      </c>
      <c r="U605" s="26">
        <f t="shared" si="19"/>
        <v>35603.73076349702</v>
      </c>
    </row>
    <row r="606" spans="19:21" ht="14.65" thickBot="1" x14ac:dyDescent="0.5">
      <c r="S606" s="37">
        <f t="shared" si="18"/>
        <v>36127.316971131993</v>
      </c>
      <c r="U606" s="26">
        <f t="shared" si="19"/>
        <v>35961.426971131994</v>
      </c>
    </row>
    <row r="607" spans="19:21" ht="14.65" thickBot="1" x14ac:dyDescent="0.5">
      <c r="S607" s="37">
        <f t="shared" si="18"/>
        <v>36488.590140843313</v>
      </c>
      <c r="U607" s="26">
        <f t="shared" si="19"/>
        <v>36322.700140843313</v>
      </c>
    </row>
    <row r="608" spans="19:21" ht="14.65" thickBot="1" x14ac:dyDescent="0.5">
      <c r="S608" s="37">
        <f t="shared" si="18"/>
        <v>36853.476042251743</v>
      </c>
      <c r="U608" s="26">
        <f t="shared" si="19"/>
        <v>36687.586042251743</v>
      </c>
    </row>
    <row r="609" spans="19:21" ht="14.65" thickBot="1" x14ac:dyDescent="0.5">
      <c r="S609" s="37">
        <f t="shared" si="18"/>
        <v>37222.01080267426</v>
      </c>
      <c r="U609" s="26">
        <f t="shared" si="19"/>
        <v>37056.120802674261</v>
      </c>
    </row>
    <row r="610" spans="19:21" ht="14.65" thickBot="1" x14ac:dyDescent="0.5">
      <c r="S610" s="37">
        <f t="shared" si="18"/>
        <v>37594.230910701001</v>
      </c>
      <c r="U610" s="26">
        <f t="shared" si="19"/>
        <v>37428.340910701001</v>
      </c>
    </row>
    <row r="611" spans="19:21" ht="14.65" thickBot="1" x14ac:dyDescent="0.5">
      <c r="S611" s="37">
        <f t="shared" si="18"/>
        <v>37970.173219808014</v>
      </c>
      <c r="U611" s="26">
        <f t="shared" si="19"/>
        <v>37804.283219808014</v>
      </c>
    </row>
    <row r="612" spans="19:21" ht="14.65" thickBot="1" x14ac:dyDescent="0.5">
      <c r="S612" s="37">
        <f t="shared" si="18"/>
        <v>38349.874952006096</v>
      </c>
      <c r="U612" s="26">
        <f t="shared" si="19"/>
        <v>38183.984952006096</v>
      </c>
    </row>
    <row r="613" spans="19:21" ht="14.65" thickBot="1" x14ac:dyDescent="0.5">
      <c r="S613" s="37">
        <f t="shared" si="18"/>
        <v>38733.373701526158</v>
      </c>
      <c r="U613" s="26">
        <f t="shared" si="19"/>
        <v>38567.483701526158</v>
      </c>
    </row>
    <row r="614" spans="19:21" ht="14.65" thickBot="1" x14ac:dyDescent="0.5">
      <c r="S614" s="37">
        <f t="shared" si="18"/>
        <v>39120.707438541416</v>
      </c>
      <c r="U614" s="26">
        <f t="shared" si="19"/>
        <v>38954.817438541417</v>
      </c>
    </row>
    <row r="615" spans="19:21" ht="14.65" thickBot="1" x14ac:dyDescent="0.5">
      <c r="S615" s="37">
        <f t="shared" si="18"/>
        <v>39511.914512926829</v>
      </c>
      <c r="U615" s="26">
        <f t="shared" si="19"/>
        <v>39346.02451292683</v>
      </c>
    </row>
    <row r="616" spans="19:21" ht="14.65" thickBot="1" x14ac:dyDescent="0.5">
      <c r="S616" s="37">
        <f t="shared" si="18"/>
        <v>39907.033658056098</v>
      </c>
      <c r="U616" s="26">
        <f t="shared" si="19"/>
        <v>39741.143658056099</v>
      </c>
    </row>
    <row r="617" spans="19:21" ht="14.65" thickBot="1" x14ac:dyDescent="0.5">
      <c r="S617" s="37">
        <f t="shared" si="18"/>
        <v>40306.103994636658</v>
      </c>
      <c r="U617" s="26">
        <f t="shared" si="19"/>
        <v>40140.213994636659</v>
      </c>
    </row>
    <row r="618" spans="19:21" ht="14.65" thickBot="1" x14ac:dyDescent="0.5">
      <c r="S618" s="37">
        <f t="shared" si="18"/>
        <v>40709.165034583028</v>
      </c>
      <c r="U618" s="26">
        <f t="shared" si="19"/>
        <v>40543.275034583028</v>
      </c>
    </row>
    <row r="619" spans="19:21" ht="14.65" thickBot="1" x14ac:dyDescent="0.5">
      <c r="S619" s="37">
        <f t="shared" si="18"/>
        <v>41116.256684928856</v>
      </c>
      <c r="U619" s="26">
        <f t="shared" si="19"/>
        <v>40950.366684928857</v>
      </c>
    </row>
    <row r="620" spans="19:21" ht="14.65" thickBot="1" x14ac:dyDescent="0.5">
      <c r="S620" s="37">
        <f t="shared" si="18"/>
        <v>41527.419251778148</v>
      </c>
      <c r="U620" s="26">
        <f t="shared" si="19"/>
        <v>41361.529251778149</v>
      </c>
    </row>
    <row r="621" spans="19:21" ht="14.65" thickBot="1" x14ac:dyDescent="0.5">
      <c r="S621" s="37">
        <f t="shared" si="18"/>
        <v>41942.693444295932</v>
      </c>
      <c r="U621" s="26">
        <f t="shared" si="19"/>
        <v>41776.803444295932</v>
      </c>
    </row>
    <row r="622" spans="19:21" ht="14.65" thickBot="1" x14ac:dyDescent="0.5">
      <c r="S622" s="37">
        <f t="shared" si="18"/>
        <v>42362.120378738895</v>
      </c>
      <c r="U622" s="26">
        <f t="shared" si="19"/>
        <v>42196.230378738896</v>
      </c>
    </row>
    <row r="623" spans="19:21" ht="14.65" thickBot="1" x14ac:dyDescent="0.5">
      <c r="S623" s="37">
        <f t="shared" si="18"/>
        <v>42785.741582526287</v>
      </c>
      <c r="U623" s="26">
        <f t="shared" si="19"/>
        <v>42619.851582526288</v>
      </c>
    </row>
    <row r="624" spans="19:21" ht="14.65" thickBot="1" x14ac:dyDescent="0.5">
      <c r="S624" s="37">
        <f t="shared" si="18"/>
        <v>43213.598998351554</v>
      </c>
      <c r="U624" s="26">
        <f t="shared" si="19"/>
        <v>43047.708998351554</v>
      </c>
    </row>
    <row r="625" spans="19:21" ht="14.65" thickBot="1" x14ac:dyDescent="0.5">
      <c r="S625" s="37">
        <f t="shared" si="18"/>
        <v>43645.734988335069</v>
      </c>
      <c r="U625" s="26">
        <f t="shared" si="19"/>
        <v>43479.84498833507</v>
      </c>
    </row>
    <row r="626" spans="19:21" ht="14.65" thickBot="1" x14ac:dyDescent="0.5">
      <c r="S626" s="37">
        <f t="shared" si="18"/>
        <v>44082.192338218418</v>
      </c>
      <c r="U626" s="26">
        <f t="shared" si="19"/>
        <v>43916.302338218418</v>
      </c>
    </row>
    <row r="627" spans="19:21" ht="14.65" thickBot="1" x14ac:dyDescent="0.5">
      <c r="S627" s="37">
        <f t="shared" si="18"/>
        <v>44523.014261600605</v>
      </c>
      <c r="U627" s="26">
        <f t="shared" si="19"/>
        <v>44357.124261600606</v>
      </c>
    </row>
    <row r="628" spans="19:21" ht="14.65" thickBot="1" x14ac:dyDescent="0.5">
      <c r="S628" s="37">
        <f t="shared" si="18"/>
        <v>44968.24440421661</v>
      </c>
      <c r="U628" s="26">
        <f t="shared" si="19"/>
        <v>44802.35440421661</v>
      </c>
    </row>
    <row r="629" spans="19:21" ht="14.65" thickBot="1" x14ac:dyDescent="0.5">
      <c r="S629" s="37">
        <f t="shared" si="18"/>
        <v>45417.92684825878</v>
      </c>
      <c r="U629" s="26">
        <f t="shared" si="19"/>
        <v>45252.03684825878</v>
      </c>
    </row>
    <row r="630" spans="19:21" ht="14.65" thickBot="1" x14ac:dyDescent="0.5">
      <c r="S630" s="37">
        <f t="shared" si="18"/>
        <v>45872.106116741365</v>
      </c>
      <c r="U630" s="26">
        <f t="shared" si="19"/>
        <v>45706.216116741365</v>
      </c>
    </row>
    <row r="631" spans="19:21" ht="14.65" thickBot="1" x14ac:dyDescent="0.5">
      <c r="S631" s="37">
        <f t="shared" si="18"/>
        <v>46330.827177908781</v>
      </c>
      <c r="U631" s="26">
        <f t="shared" si="19"/>
        <v>46164.937177908781</v>
      </c>
    </row>
    <row r="632" spans="19:21" ht="14.65" thickBot="1" x14ac:dyDescent="0.5">
      <c r="S632" s="37">
        <f t="shared" si="18"/>
        <v>46794.13544968787</v>
      </c>
      <c r="U632" s="26">
        <f t="shared" si="19"/>
        <v>46628.245449687871</v>
      </c>
    </row>
    <row r="633" spans="19:21" ht="14.65" thickBot="1" x14ac:dyDescent="0.5">
      <c r="S633" s="37">
        <f t="shared" si="18"/>
        <v>47262.076804184748</v>
      </c>
      <c r="U633" s="26">
        <f t="shared" si="19"/>
        <v>47096.186804184748</v>
      </c>
    </row>
    <row r="634" spans="19:21" ht="14.65" thickBot="1" x14ac:dyDescent="0.5">
      <c r="S634" s="37">
        <f t="shared" si="18"/>
        <v>47734.697572226592</v>
      </c>
      <c r="U634" s="26">
        <f t="shared" si="19"/>
        <v>47568.807572226593</v>
      </c>
    </row>
    <row r="635" spans="19:21" ht="14.65" thickBot="1" x14ac:dyDescent="0.5">
      <c r="S635" s="37">
        <f t="shared" si="18"/>
        <v>48212.044547948855</v>
      </c>
      <c r="U635" s="26">
        <f t="shared" si="19"/>
        <v>48046.154547948856</v>
      </c>
    </row>
    <row r="636" spans="19:21" ht="14.65" thickBot="1" x14ac:dyDescent="0.5">
      <c r="S636" s="37">
        <f t="shared" si="18"/>
        <v>48694.164993428341</v>
      </c>
      <c r="U636" s="26">
        <f t="shared" si="19"/>
        <v>48528.274993428342</v>
      </c>
    </row>
    <row r="637" spans="19:21" ht="14.65" thickBot="1" x14ac:dyDescent="0.5">
      <c r="S637" s="37">
        <f t="shared" si="18"/>
        <v>49181.106643362626</v>
      </c>
      <c r="U637" s="26">
        <f t="shared" si="19"/>
        <v>49015.216643362626</v>
      </c>
    </row>
    <row r="638" spans="19:21" ht="14.65" thickBot="1" x14ac:dyDescent="0.5">
      <c r="S638" s="37">
        <f t="shared" si="18"/>
        <v>49672.917709796253</v>
      </c>
      <c r="U638" s="26">
        <f t="shared" si="19"/>
        <v>49507.027709796253</v>
      </c>
    </row>
    <row r="639" spans="19:21" ht="14.65" thickBot="1" x14ac:dyDescent="0.5">
      <c r="S639" s="37">
        <f t="shared" si="18"/>
        <v>50169.646886894217</v>
      </c>
      <c r="U639" s="26">
        <f t="shared" si="19"/>
        <v>50003.756886894218</v>
      </c>
    </row>
    <row r="640" spans="19:21" ht="14.65" thickBot="1" x14ac:dyDescent="0.5">
      <c r="S640" s="37">
        <f t="shared" si="18"/>
        <v>50671.343355763158</v>
      </c>
      <c r="U640" s="26">
        <f t="shared" si="19"/>
        <v>50505.453355763158</v>
      </c>
    </row>
    <row r="641" spans="19:21" ht="14.65" thickBot="1" x14ac:dyDescent="0.5">
      <c r="S641" s="37">
        <f t="shared" si="18"/>
        <v>51178.056789320792</v>
      </c>
      <c r="U641" s="26">
        <f t="shared" si="19"/>
        <v>51012.166789320792</v>
      </c>
    </row>
    <row r="642" spans="19:21" ht="14.65" thickBot="1" x14ac:dyDescent="0.5">
      <c r="S642" s="37">
        <f t="shared" si="18"/>
        <v>51689.837357213997</v>
      </c>
      <c r="U642" s="26">
        <f t="shared" si="19"/>
        <v>51523.947357213998</v>
      </c>
    </row>
    <row r="643" spans="19:21" ht="14.65" thickBot="1" x14ac:dyDescent="0.5">
      <c r="S643" s="37">
        <f t="shared" si="18"/>
        <v>52206.735730786138</v>
      </c>
      <c r="U643" s="26">
        <f t="shared" si="19"/>
        <v>52040.845730786139</v>
      </c>
    </row>
    <row r="644" spans="19:21" ht="14.65" thickBot="1" x14ac:dyDescent="0.5">
      <c r="S644" s="37">
        <f t="shared" si="18"/>
        <v>52728.803088093999</v>
      </c>
      <c r="U644" s="26">
        <f t="shared" si="19"/>
        <v>52562.913088093999</v>
      </c>
    </row>
    <row r="645" spans="19:21" ht="14.65" thickBot="1" x14ac:dyDescent="0.5">
      <c r="S645" s="37">
        <f t="shared" si="18"/>
        <v>53256.091118974939</v>
      </c>
      <c r="U645" s="26">
        <f t="shared" si="19"/>
        <v>53090.201118974939</v>
      </c>
    </row>
    <row r="646" spans="19:21" ht="14.65" thickBot="1" x14ac:dyDescent="0.5">
      <c r="S646" s="37">
        <f t="shared" si="18"/>
        <v>53788.652030164689</v>
      </c>
      <c r="U646" s="26">
        <f t="shared" si="19"/>
        <v>53622.762030164689</v>
      </c>
    </row>
    <row r="647" spans="19:21" ht="14.65" thickBot="1" x14ac:dyDescent="0.5">
      <c r="S647" s="37">
        <f t="shared" si="18"/>
        <v>54326.538550466335</v>
      </c>
      <c r="U647" s="26">
        <f t="shared" si="19"/>
        <v>54160.648550466336</v>
      </c>
    </row>
    <row r="648" spans="19:21" ht="14.65" thickBot="1" x14ac:dyDescent="0.5">
      <c r="S648" s="37">
        <f t="shared" si="18"/>
        <v>54869.803935971002</v>
      </c>
      <c r="U648" s="26">
        <f t="shared" si="19"/>
        <v>54703.913935971003</v>
      </c>
    </row>
    <row r="649" spans="19:21" ht="14.65" thickBot="1" x14ac:dyDescent="0.5">
      <c r="S649" s="37">
        <f t="shared" si="18"/>
        <v>55418.501975330713</v>
      </c>
      <c r="U649" s="26">
        <f t="shared" si="19"/>
        <v>55252.611975330714</v>
      </c>
    </row>
    <row r="650" spans="19:21" ht="14.65" thickBot="1" x14ac:dyDescent="0.5">
      <c r="S650" s="37">
        <f t="shared" si="18"/>
        <v>55972.686995084019</v>
      </c>
      <c r="U650" s="26">
        <f t="shared" si="19"/>
        <v>55806.79699508402</v>
      </c>
    </row>
    <row r="651" spans="19:21" ht="14.65" thickBot="1" x14ac:dyDescent="0.5">
      <c r="S651" s="37">
        <f t="shared" si="18"/>
        <v>56532.413865034861</v>
      </c>
      <c r="U651" s="26">
        <f t="shared" si="19"/>
        <v>56366.523865034862</v>
      </c>
    </row>
    <row r="652" spans="19:21" ht="14.65" thickBot="1" x14ac:dyDescent="0.5">
      <c r="S652" s="37">
        <f t="shared" si="18"/>
        <v>57097.738003685212</v>
      </c>
      <c r="U652" s="26">
        <f t="shared" si="19"/>
        <v>56931.848003685212</v>
      </c>
    </row>
    <row r="653" spans="19:21" ht="14.65" thickBot="1" x14ac:dyDescent="0.5">
      <c r="S653" s="37">
        <f t="shared" si="18"/>
        <v>57668.715383722061</v>
      </c>
      <c r="U653" s="26">
        <f t="shared" si="19"/>
        <v>57502.825383722062</v>
      </c>
    </row>
    <row r="654" spans="19:21" ht="14.65" thickBot="1" x14ac:dyDescent="0.5">
      <c r="S654" s="37">
        <f t="shared" si="18"/>
        <v>58245.402537559283</v>
      </c>
      <c r="U654" s="26">
        <f t="shared" si="19"/>
        <v>58079.512537559283</v>
      </c>
    </row>
    <row r="655" spans="19:21" ht="14.65" thickBot="1" x14ac:dyDescent="0.5">
      <c r="S655" s="37">
        <f t="shared" si="18"/>
        <v>58827.856562934874</v>
      </c>
      <c r="U655" s="26">
        <f t="shared" si="19"/>
        <v>58661.966562934875</v>
      </c>
    </row>
    <row r="656" spans="19:21" ht="14.65" thickBot="1" x14ac:dyDescent="0.5">
      <c r="S656" s="37">
        <f t="shared" si="18"/>
        <v>59416.135128564223</v>
      </c>
      <c r="U656" s="26">
        <f t="shared" si="19"/>
        <v>59250.245128564224</v>
      </c>
    </row>
    <row r="657" spans="19:21" ht="14.65" thickBot="1" x14ac:dyDescent="0.5">
      <c r="S657" s="37">
        <f t="shared" si="18"/>
        <v>60010.296479849865</v>
      </c>
      <c r="U657" s="26">
        <f t="shared" si="19"/>
        <v>59844.406479849866</v>
      </c>
    </row>
    <row r="658" spans="19:21" ht="14.65" thickBot="1" x14ac:dyDescent="0.5">
      <c r="S658" s="37">
        <f t="shared" si="18"/>
        <v>60610.399444648363</v>
      </c>
      <c r="U658" s="26">
        <f t="shared" si="19"/>
        <v>60444.509444648364</v>
      </c>
    </row>
    <row r="659" spans="19:21" ht="14.65" thickBot="1" x14ac:dyDescent="0.5">
      <c r="S659" s="37">
        <f t="shared" si="18"/>
        <v>61216.503439094849</v>
      </c>
      <c r="U659" s="26">
        <f t="shared" si="19"/>
        <v>61050.61343909485</v>
      </c>
    </row>
    <row r="660" spans="19:21" ht="14.65" thickBot="1" x14ac:dyDescent="0.5">
      <c r="S660" s="37">
        <f t="shared" si="18"/>
        <v>61828.668473485799</v>
      </c>
      <c r="U660" s="26">
        <f t="shared" si="19"/>
        <v>61662.7784734858</v>
      </c>
    </row>
    <row r="661" spans="19:21" ht="14.65" thickBot="1" x14ac:dyDescent="0.5">
      <c r="S661" s="37">
        <f t="shared" ref="S661:S724" si="20">S660*(1.01)</f>
        <v>62446.955158220655</v>
      </c>
      <c r="U661" s="26">
        <f t="shared" ref="U661:U724" si="21">IF(S661&lt;$D$8,$D$8-S661-$D$10,-$D$10)+IF(S661&lt;$D$7,-$D$9,S661-$D$7-$D$9)</f>
        <v>62281.065158220656</v>
      </c>
    </row>
    <row r="662" spans="19:21" ht="14.65" thickBot="1" x14ac:dyDescent="0.5">
      <c r="S662" s="37">
        <f t="shared" si="20"/>
        <v>63071.424709802865</v>
      </c>
      <c r="U662" s="26">
        <f t="shared" si="21"/>
        <v>62905.534709802865</v>
      </c>
    </row>
    <row r="663" spans="19:21" ht="14.65" thickBot="1" x14ac:dyDescent="0.5">
      <c r="S663" s="37">
        <f t="shared" si="20"/>
        <v>63702.138956900897</v>
      </c>
      <c r="U663" s="26">
        <f t="shared" si="21"/>
        <v>63536.248956900898</v>
      </c>
    </row>
    <row r="664" spans="19:21" ht="14.65" thickBot="1" x14ac:dyDescent="0.5">
      <c r="S664" s="37">
        <f t="shared" si="20"/>
        <v>64339.160346469907</v>
      </c>
      <c r="U664" s="26">
        <f t="shared" si="21"/>
        <v>64173.270346469908</v>
      </c>
    </row>
    <row r="665" spans="19:21" ht="14.65" thickBot="1" x14ac:dyDescent="0.5">
      <c r="S665" s="37">
        <f t="shared" si="20"/>
        <v>64982.551949934605</v>
      </c>
      <c r="U665" s="26">
        <f t="shared" si="21"/>
        <v>64816.661949934605</v>
      </c>
    </row>
    <row r="666" spans="19:21" ht="14.65" thickBot="1" x14ac:dyDescent="0.5">
      <c r="S666" s="37">
        <f t="shared" si="20"/>
        <v>65632.377469433952</v>
      </c>
      <c r="U666" s="26">
        <f t="shared" si="21"/>
        <v>65466.487469433952</v>
      </c>
    </row>
    <row r="667" spans="19:21" ht="14.65" thickBot="1" x14ac:dyDescent="0.5">
      <c r="S667" s="37">
        <f t="shared" si="20"/>
        <v>66288.701244128286</v>
      </c>
      <c r="U667" s="26">
        <f t="shared" si="21"/>
        <v>66122.811244128286</v>
      </c>
    </row>
    <row r="668" spans="19:21" ht="14.65" thickBot="1" x14ac:dyDescent="0.5">
      <c r="S668" s="37">
        <f t="shared" si="20"/>
        <v>66951.588256569565</v>
      </c>
      <c r="U668" s="26">
        <f t="shared" si="21"/>
        <v>66785.698256569565</v>
      </c>
    </row>
    <row r="669" spans="19:21" ht="14.65" thickBot="1" x14ac:dyDescent="0.5">
      <c r="S669" s="37">
        <f t="shared" si="20"/>
        <v>67621.104139135263</v>
      </c>
      <c r="U669" s="26">
        <f t="shared" si="21"/>
        <v>67455.214139135263</v>
      </c>
    </row>
    <row r="670" spans="19:21" ht="14.65" thickBot="1" x14ac:dyDescent="0.5">
      <c r="S670" s="37">
        <f t="shared" si="20"/>
        <v>68297.31518052661</v>
      </c>
      <c r="U670" s="26">
        <f t="shared" si="21"/>
        <v>68131.42518052661</v>
      </c>
    </row>
    <row r="671" spans="19:21" ht="14.65" thickBot="1" x14ac:dyDescent="0.5">
      <c r="S671" s="37">
        <f t="shared" si="20"/>
        <v>68980.288332331882</v>
      </c>
      <c r="U671" s="26">
        <f t="shared" si="21"/>
        <v>68814.398332331883</v>
      </c>
    </row>
    <row r="672" spans="19:21" ht="14.65" thickBot="1" x14ac:dyDescent="0.5">
      <c r="S672" s="37">
        <f t="shared" si="20"/>
        <v>69670.091215655208</v>
      </c>
      <c r="U672" s="26">
        <f t="shared" si="21"/>
        <v>69504.201215655208</v>
      </c>
    </row>
    <row r="673" spans="19:21" ht="14.65" thickBot="1" x14ac:dyDescent="0.5">
      <c r="S673" s="37">
        <f t="shared" si="20"/>
        <v>70366.792127811757</v>
      </c>
      <c r="U673" s="26">
        <f t="shared" si="21"/>
        <v>70200.902127811758</v>
      </c>
    </row>
    <row r="674" spans="19:21" ht="14.65" thickBot="1" x14ac:dyDescent="0.5">
      <c r="S674" s="37">
        <f t="shared" si="20"/>
        <v>71070.460049089874</v>
      </c>
      <c r="U674" s="26">
        <f t="shared" si="21"/>
        <v>70904.570049089874</v>
      </c>
    </row>
    <row r="675" spans="19:21" ht="14.65" thickBot="1" x14ac:dyDescent="0.5">
      <c r="S675" s="37">
        <f t="shared" si="20"/>
        <v>71781.16464958078</v>
      </c>
      <c r="U675" s="26">
        <f t="shared" si="21"/>
        <v>71615.274649580781</v>
      </c>
    </row>
    <row r="676" spans="19:21" ht="14.65" thickBot="1" x14ac:dyDescent="0.5">
      <c r="S676" s="37">
        <f t="shared" si="20"/>
        <v>72498.976296076595</v>
      </c>
      <c r="U676" s="26">
        <f t="shared" si="21"/>
        <v>72333.086296076595</v>
      </c>
    </row>
    <row r="677" spans="19:21" ht="14.65" thickBot="1" x14ac:dyDescent="0.5">
      <c r="S677" s="37">
        <f t="shared" si="20"/>
        <v>73223.966059037368</v>
      </c>
      <c r="U677" s="26">
        <f t="shared" si="21"/>
        <v>73058.076059037368</v>
      </c>
    </row>
    <row r="678" spans="19:21" ht="14.65" thickBot="1" x14ac:dyDescent="0.5">
      <c r="S678" s="37">
        <f t="shared" si="20"/>
        <v>73956.205719627746</v>
      </c>
      <c r="U678" s="26">
        <f t="shared" si="21"/>
        <v>73790.315719627746</v>
      </c>
    </row>
    <row r="679" spans="19:21" ht="14.65" thickBot="1" x14ac:dyDescent="0.5">
      <c r="S679" s="37">
        <f t="shared" si="20"/>
        <v>74695.767776824025</v>
      </c>
      <c r="U679" s="26">
        <f t="shared" si="21"/>
        <v>74529.877776824025</v>
      </c>
    </row>
    <row r="680" spans="19:21" ht="14.65" thickBot="1" x14ac:dyDescent="0.5">
      <c r="S680" s="37">
        <f t="shared" si="20"/>
        <v>75442.725454592262</v>
      </c>
      <c r="U680" s="26">
        <f t="shared" si="21"/>
        <v>75276.835454592263</v>
      </c>
    </row>
    <row r="681" spans="19:21" ht="14.65" thickBot="1" x14ac:dyDescent="0.5">
      <c r="S681" s="37">
        <f t="shared" si="20"/>
        <v>76197.152709138187</v>
      </c>
      <c r="U681" s="26">
        <f t="shared" si="21"/>
        <v>76031.262709138187</v>
      </c>
    </row>
    <row r="682" spans="19:21" ht="14.65" thickBot="1" x14ac:dyDescent="0.5">
      <c r="S682" s="37">
        <f t="shared" si="20"/>
        <v>76959.124236229574</v>
      </c>
      <c r="U682" s="26">
        <f t="shared" si="21"/>
        <v>76793.234236229575</v>
      </c>
    </row>
    <row r="683" spans="19:21" ht="14.65" thickBot="1" x14ac:dyDescent="0.5">
      <c r="S683" s="37">
        <f t="shared" si="20"/>
        <v>77728.715478591868</v>
      </c>
      <c r="U683" s="26">
        <f t="shared" si="21"/>
        <v>77562.825478591869</v>
      </c>
    </row>
    <row r="684" spans="19:21" ht="14.65" thickBot="1" x14ac:dyDescent="0.5">
      <c r="S684" s="37">
        <f t="shared" si="20"/>
        <v>78506.002633377793</v>
      </c>
      <c r="U684" s="26">
        <f t="shared" si="21"/>
        <v>78340.112633377794</v>
      </c>
    </row>
    <row r="685" spans="19:21" ht="14.65" thickBot="1" x14ac:dyDescent="0.5">
      <c r="S685" s="37">
        <f t="shared" si="20"/>
        <v>79291.062659711577</v>
      </c>
      <c r="U685" s="26">
        <f t="shared" si="21"/>
        <v>79125.172659711578</v>
      </c>
    </row>
    <row r="686" spans="19:21" ht="14.65" thickBot="1" x14ac:dyDescent="0.5">
      <c r="S686" s="37">
        <f t="shared" si="20"/>
        <v>80083.973286308697</v>
      </c>
      <c r="U686" s="26">
        <f t="shared" si="21"/>
        <v>79918.083286308698</v>
      </c>
    </row>
    <row r="687" spans="19:21" ht="14.65" thickBot="1" x14ac:dyDescent="0.5">
      <c r="S687" s="37">
        <f t="shared" si="20"/>
        <v>80884.813019171779</v>
      </c>
      <c r="U687" s="26">
        <f t="shared" si="21"/>
        <v>80718.92301917178</v>
      </c>
    </row>
    <row r="688" spans="19:21" ht="14.65" thickBot="1" x14ac:dyDescent="0.5">
      <c r="S688" s="37">
        <f t="shared" si="20"/>
        <v>81693.661149363499</v>
      </c>
      <c r="U688" s="26">
        <f t="shared" si="21"/>
        <v>81527.7711493635</v>
      </c>
    </row>
    <row r="689" spans="19:21" ht="14.65" thickBot="1" x14ac:dyDescent="0.5">
      <c r="S689" s="37">
        <f t="shared" si="20"/>
        <v>82510.597760857141</v>
      </c>
      <c r="U689" s="26">
        <f t="shared" si="21"/>
        <v>82344.707760857142</v>
      </c>
    </row>
    <row r="690" spans="19:21" ht="14.65" thickBot="1" x14ac:dyDescent="0.5">
      <c r="S690" s="37">
        <f t="shared" si="20"/>
        <v>83335.703738465716</v>
      </c>
      <c r="U690" s="26">
        <f t="shared" si="21"/>
        <v>83169.813738465717</v>
      </c>
    </row>
    <row r="691" spans="19:21" ht="14.65" thickBot="1" x14ac:dyDescent="0.5">
      <c r="S691" s="37">
        <f t="shared" si="20"/>
        <v>84169.060775850376</v>
      </c>
      <c r="U691" s="26">
        <f t="shared" si="21"/>
        <v>84003.170775850376</v>
      </c>
    </row>
    <row r="692" spans="19:21" ht="14.65" thickBot="1" x14ac:dyDescent="0.5">
      <c r="S692" s="37">
        <f t="shared" si="20"/>
        <v>85010.751383608876</v>
      </c>
      <c r="U692" s="26">
        <f t="shared" si="21"/>
        <v>84844.861383608877</v>
      </c>
    </row>
    <row r="693" spans="19:21" ht="14.65" thickBot="1" x14ac:dyDescent="0.5">
      <c r="S693" s="37">
        <f t="shared" si="20"/>
        <v>85860.858897444967</v>
      </c>
      <c r="U693" s="26">
        <f t="shared" si="21"/>
        <v>85694.968897444967</v>
      </c>
    </row>
    <row r="694" spans="19:21" ht="14.65" thickBot="1" x14ac:dyDescent="0.5">
      <c r="S694" s="37">
        <f t="shared" si="20"/>
        <v>86719.467486419424</v>
      </c>
      <c r="U694" s="26">
        <f t="shared" si="21"/>
        <v>86553.577486419425</v>
      </c>
    </row>
    <row r="695" spans="19:21" ht="14.65" thickBot="1" x14ac:dyDescent="0.5">
      <c r="S695" s="37">
        <f t="shared" si="20"/>
        <v>87586.662161283617</v>
      </c>
      <c r="U695" s="26">
        <f t="shared" si="21"/>
        <v>87420.772161283618</v>
      </c>
    </row>
    <row r="696" spans="19:21" ht="14.65" thickBot="1" x14ac:dyDescent="0.5">
      <c r="S696" s="37">
        <f t="shared" si="20"/>
        <v>88462.52878289645</v>
      </c>
      <c r="U696" s="26">
        <f t="shared" si="21"/>
        <v>88296.638782896451</v>
      </c>
    </row>
    <row r="697" spans="19:21" ht="14.65" thickBot="1" x14ac:dyDescent="0.5">
      <c r="S697" s="37">
        <f t="shared" si="20"/>
        <v>89347.154070725417</v>
      </c>
      <c r="U697" s="26">
        <f t="shared" si="21"/>
        <v>89181.264070725418</v>
      </c>
    </row>
    <row r="698" spans="19:21" ht="14.65" thickBot="1" x14ac:dyDescent="0.5">
      <c r="S698" s="37">
        <f t="shared" si="20"/>
        <v>90240.625611432668</v>
      </c>
      <c r="U698" s="26">
        <f t="shared" si="21"/>
        <v>90074.735611432669</v>
      </c>
    </row>
    <row r="699" spans="19:21" ht="14.65" thickBot="1" x14ac:dyDescent="0.5">
      <c r="S699" s="37">
        <f t="shared" si="20"/>
        <v>91143.03186754699</v>
      </c>
      <c r="U699" s="26">
        <f t="shared" si="21"/>
        <v>90977.14186754699</v>
      </c>
    </row>
    <row r="700" spans="19:21" ht="14.65" thickBot="1" x14ac:dyDescent="0.5">
      <c r="S700" s="37">
        <f t="shared" si="20"/>
        <v>92054.462186222459</v>
      </c>
      <c r="U700" s="26">
        <f t="shared" si="21"/>
        <v>91888.57218622246</v>
      </c>
    </row>
    <row r="701" spans="19:21" ht="14.65" thickBot="1" x14ac:dyDescent="0.5">
      <c r="S701" s="37">
        <f t="shared" si="20"/>
        <v>92975.006808084683</v>
      </c>
      <c r="U701" s="26">
        <f t="shared" si="21"/>
        <v>92809.116808084684</v>
      </c>
    </row>
    <row r="702" spans="19:21" ht="14.65" thickBot="1" x14ac:dyDescent="0.5">
      <c r="S702" s="37">
        <f t="shared" si="20"/>
        <v>93904.756876165528</v>
      </c>
      <c r="U702" s="26">
        <f t="shared" si="21"/>
        <v>93738.866876165528</v>
      </c>
    </row>
    <row r="703" spans="19:21" ht="14.65" thickBot="1" x14ac:dyDescent="0.5">
      <c r="S703" s="37">
        <f t="shared" si="20"/>
        <v>94843.804444927184</v>
      </c>
      <c r="U703" s="26">
        <f t="shared" si="21"/>
        <v>94677.914444927184</v>
      </c>
    </row>
    <row r="704" spans="19:21" ht="14.65" thickBot="1" x14ac:dyDescent="0.5">
      <c r="S704" s="37">
        <f t="shared" si="20"/>
        <v>95792.242489376455</v>
      </c>
      <c r="U704" s="26">
        <f t="shared" si="21"/>
        <v>95626.352489376455</v>
      </c>
    </row>
    <row r="705" spans="19:21" ht="14.65" thickBot="1" x14ac:dyDescent="0.5">
      <c r="S705" s="37">
        <f t="shared" si="20"/>
        <v>96750.164914270223</v>
      </c>
      <c r="U705" s="26">
        <f t="shared" si="21"/>
        <v>96584.274914270223</v>
      </c>
    </row>
    <row r="706" spans="19:21" ht="14.65" thickBot="1" x14ac:dyDescent="0.5">
      <c r="S706" s="37">
        <f t="shared" si="20"/>
        <v>97717.666563412931</v>
      </c>
      <c r="U706" s="26">
        <f t="shared" si="21"/>
        <v>97551.776563412932</v>
      </c>
    </row>
    <row r="707" spans="19:21" ht="14.65" thickBot="1" x14ac:dyDescent="0.5">
      <c r="S707" s="37">
        <f t="shared" si="20"/>
        <v>98694.843229047066</v>
      </c>
      <c r="U707" s="26">
        <f t="shared" si="21"/>
        <v>98528.953229047067</v>
      </c>
    </row>
    <row r="708" spans="19:21" ht="14.65" thickBot="1" x14ac:dyDescent="0.5">
      <c r="S708" s="37">
        <f t="shared" si="20"/>
        <v>99681.791661337542</v>
      </c>
      <c r="U708" s="26">
        <f t="shared" si="21"/>
        <v>99515.901661337542</v>
      </c>
    </row>
    <row r="709" spans="19:21" ht="14.65" thickBot="1" x14ac:dyDescent="0.5">
      <c r="S709" s="37">
        <f t="shared" si="20"/>
        <v>100678.60957795092</v>
      </c>
      <c r="U709" s="26">
        <f t="shared" si="21"/>
        <v>100512.71957795092</v>
      </c>
    </row>
    <row r="710" spans="19:21" ht="14.65" thickBot="1" x14ac:dyDescent="0.5">
      <c r="S710" s="37">
        <f t="shared" si="20"/>
        <v>101685.39567373043</v>
      </c>
      <c r="U710" s="26">
        <f t="shared" si="21"/>
        <v>101519.50567373043</v>
      </c>
    </row>
    <row r="711" spans="19:21" ht="14.65" thickBot="1" x14ac:dyDescent="0.5">
      <c r="S711" s="37">
        <f t="shared" si="20"/>
        <v>102702.24963046773</v>
      </c>
      <c r="U711" s="26">
        <f t="shared" si="21"/>
        <v>102536.35963046773</v>
      </c>
    </row>
    <row r="712" spans="19:21" ht="14.65" thickBot="1" x14ac:dyDescent="0.5">
      <c r="S712" s="37">
        <f t="shared" si="20"/>
        <v>103729.27212677241</v>
      </c>
      <c r="U712" s="26">
        <f t="shared" si="21"/>
        <v>103563.38212677241</v>
      </c>
    </row>
    <row r="713" spans="19:21" ht="14.65" thickBot="1" x14ac:dyDescent="0.5">
      <c r="S713" s="37">
        <f t="shared" si="20"/>
        <v>104766.56484804014</v>
      </c>
      <c r="U713" s="26">
        <f t="shared" si="21"/>
        <v>104600.67484804014</v>
      </c>
    </row>
    <row r="714" spans="19:21" ht="14.65" thickBot="1" x14ac:dyDescent="0.5">
      <c r="S714" s="37">
        <f t="shared" si="20"/>
        <v>105814.23049652054</v>
      </c>
      <c r="U714" s="26">
        <f t="shared" si="21"/>
        <v>105648.34049652054</v>
      </c>
    </row>
    <row r="715" spans="19:21" ht="14.65" thickBot="1" x14ac:dyDescent="0.5">
      <c r="S715" s="37">
        <f t="shared" si="20"/>
        <v>106872.37280148575</v>
      </c>
      <c r="U715" s="26">
        <f t="shared" si="21"/>
        <v>106706.48280148575</v>
      </c>
    </row>
    <row r="716" spans="19:21" ht="14.65" thickBot="1" x14ac:dyDescent="0.5">
      <c r="S716" s="37">
        <f t="shared" si="20"/>
        <v>107941.0965295006</v>
      </c>
      <c r="U716" s="26">
        <f t="shared" si="21"/>
        <v>107775.2065295006</v>
      </c>
    </row>
    <row r="717" spans="19:21" ht="14.65" thickBot="1" x14ac:dyDescent="0.5">
      <c r="S717" s="37">
        <f t="shared" si="20"/>
        <v>109020.50749479562</v>
      </c>
      <c r="U717" s="26">
        <f t="shared" si="21"/>
        <v>108854.61749479562</v>
      </c>
    </row>
    <row r="718" spans="19:21" ht="14.65" thickBot="1" x14ac:dyDescent="0.5">
      <c r="S718" s="37">
        <f t="shared" si="20"/>
        <v>110110.71256974357</v>
      </c>
      <c r="U718" s="26">
        <f t="shared" si="21"/>
        <v>109944.82256974357</v>
      </c>
    </row>
    <row r="719" spans="19:21" ht="14.65" thickBot="1" x14ac:dyDescent="0.5">
      <c r="S719" s="37">
        <f t="shared" si="20"/>
        <v>111211.81969544101</v>
      </c>
      <c r="U719" s="26">
        <f t="shared" si="21"/>
        <v>111045.92969544101</v>
      </c>
    </row>
    <row r="720" spans="19:21" ht="14.65" thickBot="1" x14ac:dyDescent="0.5">
      <c r="S720" s="37">
        <f t="shared" si="20"/>
        <v>112323.93789239542</v>
      </c>
      <c r="U720" s="26">
        <f t="shared" si="21"/>
        <v>112158.04789239542</v>
      </c>
    </row>
    <row r="721" spans="19:21" ht="14.65" thickBot="1" x14ac:dyDescent="0.5">
      <c r="S721" s="37">
        <f t="shared" si="20"/>
        <v>113447.17727131938</v>
      </c>
      <c r="U721" s="26">
        <f t="shared" si="21"/>
        <v>113281.28727131938</v>
      </c>
    </row>
    <row r="722" spans="19:21" ht="14.65" thickBot="1" x14ac:dyDescent="0.5">
      <c r="S722" s="37">
        <f t="shared" si="20"/>
        <v>114581.64904403257</v>
      </c>
      <c r="U722" s="26">
        <f t="shared" si="21"/>
        <v>114415.75904403257</v>
      </c>
    </row>
    <row r="723" spans="19:21" ht="14.65" thickBot="1" x14ac:dyDescent="0.5">
      <c r="S723" s="37">
        <f t="shared" si="20"/>
        <v>115727.4655344729</v>
      </c>
      <c r="U723" s="26">
        <f t="shared" si="21"/>
        <v>115561.5755344729</v>
      </c>
    </row>
    <row r="724" spans="19:21" ht="14.65" thickBot="1" x14ac:dyDescent="0.5">
      <c r="S724" s="37">
        <f t="shared" si="20"/>
        <v>116884.74018981763</v>
      </c>
      <c r="U724" s="26">
        <f t="shared" si="21"/>
        <v>116718.85018981763</v>
      </c>
    </row>
    <row r="725" spans="19:21" ht="14.65" thickBot="1" x14ac:dyDescent="0.5">
      <c r="S725" s="37">
        <f t="shared" ref="S725:S788" si="22">S724*(1.01)</f>
        <v>118053.58759171581</v>
      </c>
      <c r="U725" s="26">
        <f t="shared" ref="U725:U788" si="23">IF(S725&lt;$D$8,$D$8-S725-$D$10,-$D$10)+IF(S725&lt;$D$7,-$D$9,S725-$D$7-$D$9)</f>
        <v>117887.69759171581</v>
      </c>
    </row>
    <row r="726" spans="19:21" ht="14.65" thickBot="1" x14ac:dyDescent="0.5">
      <c r="S726" s="37">
        <f t="shared" si="22"/>
        <v>119234.12346763298</v>
      </c>
      <c r="U726" s="26">
        <f t="shared" si="23"/>
        <v>119068.23346763298</v>
      </c>
    </row>
    <row r="727" spans="19:21" ht="14.65" thickBot="1" x14ac:dyDescent="0.5">
      <c r="S727" s="37">
        <f t="shared" si="22"/>
        <v>120426.46470230931</v>
      </c>
      <c r="U727" s="26">
        <f t="shared" si="23"/>
        <v>120260.57470230931</v>
      </c>
    </row>
    <row r="728" spans="19:21" ht="14.65" thickBot="1" x14ac:dyDescent="0.5">
      <c r="S728" s="37">
        <f t="shared" si="22"/>
        <v>121630.72934933241</v>
      </c>
      <c r="U728" s="26">
        <f t="shared" si="23"/>
        <v>121464.83934933241</v>
      </c>
    </row>
    <row r="729" spans="19:21" ht="14.65" thickBot="1" x14ac:dyDescent="0.5">
      <c r="S729" s="37">
        <f t="shared" si="22"/>
        <v>122847.03664282574</v>
      </c>
      <c r="U729" s="26">
        <f t="shared" si="23"/>
        <v>122681.14664282574</v>
      </c>
    </row>
    <row r="730" spans="19:21" ht="14.65" thickBot="1" x14ac:dyDescent="0.5">
      <c r="S730" s="37">
        <f t="shared" si="22"/>
        <v>124075.507009254</v>
      </c>
      <c r="U730" s="26">
        <f t="shared" si="23"/>
        <v>123909.617009254</v>
      </c>
    </row>
    <row r="731" spans="19:21" ht="14.65" thickBot="1" x14ac:dyDescent="0.5">
      <c r="S731" s="37">
        <f t="shared" si="22"/>
        <v>125316.26207934653</v>
      </c>
      <c r="U731" s="26">
        <f t="shared" si="23"/>
        <v>125150.37207934653</v>
      </c>
    </row>
    <row r="732" spans="19:21" ht="14.65" thickBot="1" x14ac:dyDescent="0.5">
      <c r="S732" s="37">
        <f t="shared" si="22"/>
        <v>126569.42470013999</v>
      </c>
      <c r="U732" s="26">
        <f t="shared" si="23"/>
        <v>126403.53470013999</v>
      </c>
    </row>
    <row r="733" spans="19:21" ht="14.65" thickBot="1" x14ac:dyDescent="0.5">
      <c r="S733" s="37">
        <f t="shared" si="22"/>
        <v>127835.1189471414</v>
      </c>
      <c r="U733" s="26">
        <f t="shared" si="23"/>
        <v>127669.2289471414</v>
      </c>
    </row>
    <row r="734" spans="19:21" ht="14.65" thickBot="1" x14ac:dyDescent="0.5">
      <c r="S734" s="37">
        <f t="shared" si="22"/>
        <v>129113.47013661281</v>
      </c>
      <c r="U734" s="26">
        <f t="shared" si="23"/>
        <v>128947.58013661281</v>
      </c>
    </row>
    <row r="735" spans="19:21" ht="14.65" thickBot="1" x14ac:dyDescent="0.5">
      <c r="S735" s="37">
        <f t="shared" si="22"/>
        <v>130404.60483797894</v>
      </c>
      <c r="U735" s="26">
        <f t="shared" si="23"/>
        <v>130238.71483797894</v>
      </c>
    </row>
    <row r="736" spans="19:21" ht="14.65" thickBot="1" x14ac:dyDescent="0.5">
      <c r="S736" s="37">
        <f t="shared" si="22"/>
        <v>131708.65088635872</v>
      </c>
      <c r="U736" s="26">
        <f t="shared" si="23"/>
        <v>131542.76088635874</v>
      </c>
    </row>
    <row r="737" spans="19:21" ht="14.65" thickBot="1" x14ac:dyDescent="0.5">
      <c r="S737" s="37">
        <f t="shared" si="22"/>
        <v>133025.7373952223</v>
      </c>
      <c r="U737" s="26">
        <f t="shared" si="23"/>
        <v>132859.84739522231</v>
      </c>
    </row>
    <row r="738" spans="19:21" ht="14.65" thickBot="1" x14ac:dyDescent="0.5">
      <c r="S738" s="37">
        <f t="shared" si="22"/>
        <v>134355.99476917452</v>
      </c>
      <c r="U738" s="26">
        <f t="shared" si="23"/>
        <v>134190.10476917453</v>
      </c>
    </row>
    <row r="739" spans="19:21" ht="14.65" thickBot="1" x14ac:dyDescent="0.5">
      <c r="S739" s="37">
        <f t="shared" si="22"/>
        <v>135699.55471686626</v>
      </c>
      <c r="U739" s="26">
        <f t="shared" si="23"/>
        <v>135533.66471686627</v>
      </c>
    </row>
    <row r="740" spans="19:21" ht="14.65" thickBot="1" x14ac:dyDescent="0.5">
      <c r="S740" s="37">
        <f t="shared" si="22"/>
        <v>137056.55026403492</v>
      </c>
      <c r="U740" s="26">
        <f t="shared" si="23"/>
        <v>136890.66026403493</v>
      </c>
    </row>
    <row r="741" spans="19:21" ht="14.65" thickBot="1" x14ac:dyDescent="0.5">
      <c r="S741" s="37">
        <f t="shared" si="22"/>
        <v>138427.11576667527</v>
      </c>
      <c r="U741" s="26">
        <f t="shared" si="23"/>
        <v>138261.22576667528</v>
      </c>
    </row>
    <row r="742" spans="19:21" ht="14.65" thickBot="1" x14ac:dyDescent="0.5">
      <c r="S742" s="37">
        <f t="shared" si="22"/>
        <v>139811.38692434202</v>
      </c>
      <c r="U742" s="26">
        <f t="shared" si="23"/>
        <v>139645.49692434203</v>
      </c>
    </row>
    <row r="743" spans="19:21" ht="14.65" thickBot="1" x14ac:dyDescent="0.5">
      <c r="S743" s="37">
        <f t="shared" si="22"/>
        <v>141209.50079358544</v>
      </c>
      <c r="U743" s="26">
        <f t="shared" si="23"/>
        <v>141043.61079358545</v>
      </c>
    </row>
    <row r="744" spans="19:21" ht="14.65" thickBot="1" x14ac:dyDescent="0.5">
      <c r="S744" s="37">
        <f t="shared" si="22"/>
        <v>142621.5958015213</v>
      </c>
      <c r="U744" s="26">
        <f t="shared" si="23"/>
        <v>142455.70580152131</v>
      </c>
    </row>
    <row r="745" spans="19:21" ht="14.65" thickBot="1" x14ac:dyDescent="0.5">
      <c r="S745" s="37">
        <f t="shared" si="22"/>
        <v>144047.8117595365</v>
      </c>
      <c r="U745" s="26">
        <f t="shared" si="23"/>
        <v>143881.92175953652</v>
      </c>
    </row>
    <row r="746" spans="19:21" ht="14.65" thickBot="1" x14ac:dyDescent="0.5">
      <c r="S746" s="37">
        <f t="shared" si="22"/>
        <v>145488.28987713187</v>
      </c>
      <c r="U746" s="26">
        <f t="shared" si="23"/>
        <v>145322.39987713189</v>
      </c>
    </row>
    <row r="747" spans="19:21" ht="14.65" thickBot="1" x14ac:dyDescent="0.5">
      <c r="S747" s="37">
        <f t="shared" si="22"/>
        <v>146943.17277590319</v>
      </c>
      <c r="U747" s="26">
        <f t="shared" si="23"/>
        <v>146777.28277590321</v>
      </c>
    </row>
    <row r="748" spans="19:21" ht="14.65" thickBot="1" x14ac:dyDescent="0.5">
      <c r="S748" s="37">
        <f t="shared" si="22"/>
        <v>148412.60450366224</v>
      </c>
      <c r="U748" s="26">
        <f t="shared" si="23"/>
        <v>148246.71450366225</v>
      </c>
    </row>
    <row r="749" spans="19:21" ht="14.65" thickBot="1" x14ac:dyDescent="0.5">
      <c r="S749" s="37">
        <f t="shared" si="22"/>
        <v>149896.73054869886</v>
      </c>
      <c r="U749" s="26">
        <f t="shared" si="23"/>
        <v>149730.84054869888</v>
      </c>
    </row>
    <row r="750" spans="19:21" ht="14.65" thickBot="1" x14ac:dyDescent="0.5">
      <c r="S750" s="37">
        <f t="shared" si="22"/>
        <v>151395.69785418586</v>
      </c>
      <c r="U750" s="26">
        <f t="shared" si="23"/>
        <v>151229.80785418587</v>
      </c>
    </row>
    <row r="751" spans="19:21" ht="14.65" thickBot="1" x14ac:dyDescent="0.5">
      <c r="S751" s="37">
        <f t="shared" si="22"/>
        <v>152909.65483272771</v>
      </c>
      <c r="U751" s="26">
        <f t="shared" si="23"/>
        <v>152743.76483272773</v>
      </c>
    </row>
    <row r="752" spans="19:21" ht="14.65" thickBot="1" x14ac:dyDescent="0.5">
      <c r="S752" s="37">
        <f t="shared" si="22"/>
        <v>154438.75138105499</v>
      </c>
      <c r="U752" s="26">
        <f t="shared" si="23"/>
        <v>154272.861381055</v>
      </c>
    </row>
    <row r="753" spans="19:21" ht="14.65" thickBot="1" x14ac:dyDescent="0.5">
      <c r="S753" s="37">
        <f t="shared" si="22"/>
        <v>155983.13889486555</v>
      </c>
      <c r="U753" s="26">
        <f t="shared" si="23"/>
        <v>155817.24889486557</v>
      </c>
    </row>
    <row r="754" spans="19:21" ht="14.65" thickBot="1" x14ac:dyDescent="0.5">
      <c r="S754" s="37">
        <f t="shared" si="22"/>
        <v>157542.97028381421</v>
      </c>
      <c r="U754" s="26">
        <f t="shared" si="23"/>
        <v>157377.08028381423</v>
      </c>
    </row>
    <row r="755" spans="19:21" ht="14.65" thickBot="1" x14ac:dyDescent="0.5">
      <c r="S755" s="37">
        <f t="shared" si="22"/>
        <v>159118.39998665237</v>
      </c>
      <c r="U755" s="26">
        <f t="shared" si="23"/>
        <v>158952.50998665238</v>
      </c>
    </row>
    <row r="756" spans="19:21" ht="14.65" thickBot="1" x14ac:dyDescent="0.5">
      <c r="S756" s="37">
        <f t="shared" si="22"/>
        <v>160709.5839865189</v>
      </c>
      <c r="U756" s="26">
        <f t="shared" si="23"/>
        <v>160543.69398651892</v>
      </c>
    </row>
    <row r="757" spans="19:21" ht="14.65" thickBot="1" x14ac:dyDescent="0.5">
      <c r="S757" s="37">
        <f t="shared" si="22"/>
        <v>162316.67982638409</v>
      </c>
      <c r="U757" s="26">
        <f t="shared" si="23"/>
        <v>162150.78982638411</v>
      </c>
    </row>
    <row r="758" spans="19:21" ht="14.65" thickBot="1" x14ac:dyDescent="0.5">
      <c r="S758" s="37">
        <f t="shared" si="22"/>
        <v>163939.84662464794</v>
      </c>
      <c r="U758" s="26">
        <f t="shared" si="23"/>
        <v>163773.95662464795</v>
      </c>
    </row>
    <row r="759" spans="19:21" ht="14.65" thickBot="1" x14ac:dyDescent="0.5">
      <c r="S759" s="37">
        <f t="shared" si="22"/>
        <v>165579.24509089443</v>
      </c>
      <c r="U759" s="26">
        <f t="shared" si="23"/>
        <v>165413.35509089445</v>
      </c>
    </row>
    <row r="760" spans="19:21" ht="14.65" thickBot="1" x14ac:dyDescent="0.5">
      <c r="S760" s="37">
        <f t="shared" si="22"/>
        <v>167235.03754180338</v>
      </c>
      <c r="U760" s="26">
        <f t="shared" si="23"/>
        <v>167069.1475418034</v>
      </c>
    </row>
    <row r="761" spans="19:21" ht="14.65" thickBot="1" x14ac:dyDescent="0.5">
      <c r="S761" s="37">
        <f t="shared" si="22"/>
        <v>168907.38791722141</v>
      </c>
      <c r="U761" s="26">
        <f t="shared" si="23"/>
        <v>168741.49791722142</v>
      </c>
    </row>
    <row r="762" spans="19:21" ht="14.65" thickBot="1" x14ac:dyDescent="0.5">
      <c r="S762" s="37">
        <f t="shared" si="22"/>
        <v>170596.46179639362</v>
      </c>
      <c r="U762" s="26">
        <f t="shared" si="23"/>
        <v>170430.57179639363</v>
      </c>
    </row>
    <row r="763" spans="19:21" ht="14.65" thickBot="1" x14ac:dyDescent="0.5">
      <c r="S763" s="37">
        <f t="shared" si="22"/>
        <v>172302.42641435756</v>
      </c>
      <c r="U763" s="26">
        <f t="shared" si="23"/>
        <v>172136.53641435757</v>
      </c>
    </row>
    <row r="764" spans="19:21" ht="14.65" thickBot="1" x14ac:dyDescent="0.5">
      <c r="S764" s="37">
        <f t="shared" si="22"/>
        <v>174025.45067850113</v>
      </c>
      <c r="U764" s="26">
        <f t="shared" si="23"/>
        <v>173859.56067850115</v>
      </c>
    </row>
    <row r="765" spans="19:21" ht="14.65" thickBot="1" x14ac:dyDescent="0.5">
      <c r="S765" s="37">
        <f t="shared" si="22"/>
        <v>175765.70518528615</v>
      </c>
      <c r="U765" s="26">
        <f t="shared" si="23"/>
        <v>175599.81518528616</v>
      </c>
    </row>
    <row r="766" spans="19:21" ht="14.65" thickBot="1" x14ac:dyDescent="0.5">
      <c r="S766" s="37">
        <f t="shared" si="22"/>
        <v>177523.36223713902</v>
      </c>
      <c r="U766" s="26">
        <f t="shared" si="23"/>
        <v>177357.47223713904</v>
      </c>
    </row>
    <row r="767" spans="19:21" ht="14.65" thickBot="1" x14ac:dyDescent="0.5">
      <c r="S767" s="37">
        <f t="shared" si="22"/>
        <v>179298.59585951042</v>
      </c>
      <c r="U767" s="26">
        <f t="shared" si="23"/>
        <v>179132.70585951043</v>
      </c>
    </row>
    <row r="768" spans="19:21" ht="14.65" thickBot="1" x14ac:dyDescent="0.5">
      <c r="S768" s="37">
        <f t="shared" si="22"/>
        <v>181091.58181810554</v>
      </c>
      <c r="U768" s="26">
        <f t="shared" si="23"/>
        <v>180925.69181810555</v>
      </c>
    </row>
    <row r="769" spans="19:21" ht="14.65" thickBot="1" x14ac:dyDescent="0.5">
      <c r="S769" s="37">
        <f t="shared" si="22"/>
        <v>182902.4976362866</v>
      </c>
      <c r="U769" s="26">
        <f t="shared" si="23"/>
        <v>182736.60763628662</v>
      </c>
    </row>
    <row r="770" spans="19:21" ht="14.65" thickBot="1" x14ac:dyDescent="0.5">
      <c r="S770" s="37">
        <f t="shared" si="22"/>
        <v>184731.52261264948</v>
      </c>
      <c r="U770" s="26">
        <f t="shared" si="23"/>
        <v>184565.6326126495</v>
      </c>
    </row>
    <row r="771" spans="19:21" ht="14.65" thickBot="1" x14ac:dyDescent="0.5">
      <c r="S771" s="37">
        <f t="shared" si="22"/>
        <v>186578.83783877597</v>
      </c>
      <c r="U771" s="26">
        <f t="shared" si="23"/>
        <v>186412.94783877599</v>
      </c>
    </row>
    <row r="772" spans="19:21" ht="14.65" thickBot="1" x14ac:dyDescent="0.5">
      <c r="S772" s="37">
        <f t="shared" si="22"/>
        <v>188444.62621716372</v>
      </c>
      <c r="U772" s="26">
        <f t="shared" si="23"/>
        <v>188278.73621716374</v>
      </c>
    </row>
    <row r="773" spans="19:21" ht="14.65" thickBot="1" x14ac:dyDescent="0.5">
      <c r="S773" s="37">
        <f t="shared" si="22"/>
        <v>190329.07247933536</v>
      </c>
      <c r="U773" s="26">
        <f t="shared" si="23"/>
        <v>190163.18247933537</v>
      </c>
    </row>
    <row r="774" spans="19:21" ht="14.65" thickBot="1" x14ac:dyDescent="0.5">
      <c r="S774" s="37">
        <f t="shared" si="22"/>
        <v>192232.36320412872</v>
      </c>
      <c r="U774" s="26">
        <f t="shared" si="23"/>
        <v>192066.47320412874</v>
      </c>
    </row>
    <row r="775" spans="19:21" ht="14.65" thickBot="1" x14ac:dyDescent="0.5">
      <c r="S775" s="37">
        <f t="shared" si="22"/>
        <v>194154.68683617</v>
      </c>
      <c r="U775" s="26">
        <f t="shared" si="23"/>
        <v>193988.79683617002</v>
      </c>
    </row>
    <row r="776" spans="19:21" ht="14.65" thickBot="1" x14ac:dyDescent="0.5">
      <c r="S776" s="37">
        <f t="shared" si="22"/>
        <v>196096.23370453171</v>
      </c>
      <c r="U776" s="26">
        <f t="shared" si="23"/>
        <v>195930.34370453173</v>
      </c>
    </row>
    <row r="777" spans="19:21" ht="14.65" thickBot="1" x14ac:dyDescent="0.5">
      <c r="S777" s="37">
        <f t="shared" si="22"/>
        <v>198057.19604157703</v>
      </c>
      <c r="U777" s="26">
        <f t="shared" si="23"/>
        <v>197891.30604157705</v>
      </c>
    </row>
    <row r="778" spans="19:21" ht="14.65" thickBot="1" x14ac:dyDescent="0.5">
      <c r="S778" s="37">
        <f t="shared" si="22"/>
        <v>200037.76800199281</v>
      </c>
      <c r="U778" s="26">
        <f t="shared" si="23"/>
        <v>199871.87800199282</v>
      </c>
    </row>
    <row r="779" spans="19:21" ht="14.65" thickBot="1" x14ac:dyDescent="0.5">
      <c r="S779" s="37">
        <f t="shared" si="22"/>
        <v>202038.14568201275</v>
      </c>
      <c r="U779" s="26">
        <f t="shared" si="23"/>
        <v>201872.25568201276</v>
      </c>
    </row>
    <row r="780" spans="19:21" ht="14.65" thickBot="1" x14ac:dyDescent="0.5">
      <c r="S780" s="37">
        <f t="shared" si="22"/>
        <v>204058.52713883287</v>
      </c>
      <c r="U780" s="26">
        <f t="shared" si="23"/>
        <v>203892.63713883288</v>
      </c>
    </row>
    <row r="781" spans="19:21" ht="14.65" thickBot="1" x14ac:dyDescent="0.5">
      <c r="S781" s="37">
        <f t="shared" si="22"/>
        <v>206099.11241022119</v>
      </c>
      <c r="U781" s="26">
        <f t="shared" si="23"/>
        <v>205933.22241022121</v>
      </c>
    </row>
    <row r="782" spans="19:21" ht="14.65" thickBot="1" x14ac:dyDescent="0.5">
      <c r="S782" s="37">
        <f t="shared" si="22"/>
        <v>208160.1035343234</v>
      </c>
      <c r="U782" s="26">
        <f t="shared" si="23"/>
        <v>207994.21353432341</v>
      </c>
    </row>
    <row r="783" spans="19:21" ht="14.65" thickBot="1" x14ac:dyDescent="0.5">
      <c r="S783" s="37">
        <f t="shared" si="22"/>
        <v>210241.70456966665</v>
      </c>
      <c r="U783" s="26">
        <f t="shared" si="23"/>
        <v>210075.81456966666</v>
      </c>
    </row>
    <row r="784" spans="19:21" ht="14.65" thickBot="1" x14ac:dyDescent="0.5">
      <c r="S784" s="37">
        <f t="shared" si="22"/>
        <v>212344.12161536331</v>
      </c>
      <c r="U784" s="26">
        <f t="shared" si="23"/>
        <v>212178.23161536333</v>
      </c>
    </row>
    <row r="785" spans="19:21" ht="14.65" thickBot="1" x14ac:dyDescent="0.5">
      <c r="S785" s="37">
        <f t="shared" si="22"/>
        <v>214467.56283151696</v>
      </c>
      <c r="U785" s="26">
        <f t="shared" si="23"/>
        <v>214301.67283151697</v>
      </c>
    </row>
    <row r="786" spans="19:21" ht="14.65" thickBot="1" x14ac:dyDescent="0.5">
      <c r="S786" s="37">
        <f t="shared" si="22"/>
        <v>216612.23845983212</v>
      </c>
      <c r="U786" s="26">
        <f t="shared" si="23"/>
        <v>216446.34845983214</v>
      </c>
    </row>
    <row r="787" spans="19:21" ht="14.65" thickBot="1" x14ac:dyDescent="0.5">
      <c r="S787" s="37">
        <f t="shared" si="22"/>
        <v>218778.36084443046</v>
      </c>
      <c r="U787" s="26">
        <f t="shared" si="23"/>
        <v>218612.47084443047</v>
      </c>
    </row>
    <row r="788" spans="19:21" ht="14.65" thickBot="1" x14ac:dyDescent="0.5">
      <c r="S788" s="37">
        <f t="shared" si="22"/>
        <v>220966.14445287475</v>
      </c>
      <c r="U788" s="26">
        <f t="shared" si="23"/>
        <v>220800.25445287477</v>
      </c>
    </row>
    <row r="789" spans="19:21" ht="14.65" thickBot="1" x14ac:dyDescent="0.5">
      <c r="S789" s="37">
        <f t="shared" ref="S789:S852" si="24">S788*(1.01)</f>
        <v>223175.80589740351</v>
      </c>
      <c r="U789" s="26">
        <f t="shared" ref="U789:U852" si="25">IF(S789&lt;$D$8,$D$8-S789-$D$10,-$D$10)+IF(S789&lt;$D$7,-$D$9,S789-$D$7-$D$9)</f>
        <v>223009.91589740352</v>
      </c>
    </row>
    <row r="790" spans="19:21" ht="14.65" thickBot="1" x14ac:dyDescent="0.5">
      <c r="S790" s="37">
        <f t="shared" si="24"/>
        <v>225407.56395637753</v>
      </c>
      <c r="U790" s="26">
        <f t="shared" si="25"/>
        <v>225241.67395637755</v>
      </c>
    </row>
    <row r="791" spans="19:21" ht="14.65" thickBot="1" x14ac:dyDescent="0.5">
      <c r="S791" s="37">
        <f t="shared" si="24"/>
        <v>227661.63959594132</v>
      </c>
      <c r="U791" s="26">
        <f t="shared" si="25"/>
        <v>227495.74959594134</v>
      </c>
    </row>
    <row r="792" spans="19:21" ht="14.65" thickBot="1" x14ac:dyDescent="0.5">
      <c r="S792" s="37">
        <f t="shared" si="24"/>
        <v>229938.25599190075</v>
      </c>
      <c r="U792" s="26">
        <f t="shared" si="25"/>
        <v>229772.36599190076</v>
      </c>
    </row>
    <row r="793" spans="19:21" ht="14.65" thickBot="1" x14ac:dyDescent="0.5">
      <c r="S793" s="37">
        <f t="shared" si="24"/>
        <v>232237.63855181975</v>
      </c>
      <c r="U793" s="26">
        <f t="shared" si="25"/>
        <v>232071.74855181976</v>
      </c>
    </row>
    <row r="794" spans="19:21" ht="14.65" thickBot="1" x14ac:dyDescent="0.5">
      <c r="S794" s="37">
        <f t="shared" si="24"/>
        <v>234560.01493733795</v>
      </c>
      <c r="U794" s="26">
        <f t="shared" si="25"/>
        <v>234394.12493733797</v>
      </c>
    </row>
    <row r="795" spans="19:21" ht="14.65" thickBot="1" x14ac:dyDescent="0.5">
      <c r="S795" s="37">
        <f t="shared" si="24"/>
        <v>236905.61508671133</v>
      </c>
      <c r="U795" s="26">
        <f t="shared" si="25"/>
        <v>236739.72508671135</v>
      </c>
    </row>
    <row r="796" spans="19:21" ht="14.65" thickBot="1" x14ac:dyDescent="0.5">
      <c r="S796" s="37">
        <f t="shared" si="24"/>
        <v>239274.67123757844</v>
      </c>
      <c r="U796" s="26">
        <f t="shared" si="25"/>
        <v>239108.78123757846</v>
      </c>
    </row>
    <row r="797" spans="19:21" ht="14.65" thickBot="1" x14ac:dyDescent="0.5">
      <c r="S797" s="37">
        <f t="shared" si="24"/>
        <v>241667.41794995422</v>
      </c>
      <c r="U797" s="26">
        <f t="shared" si="25"/>
        <v>241501.52794995424</v>
      </c>
    </row>
    <row r="798" spans="19:21" ht="14.65" thickBot="1" x14ac:dyDescent="0.5">
      <c r="S798" s="37">
        <f t="shared" si="24"/>
        <v>244084.09212945375</v>
      </c>
      <c r="U798" s="26">
        <f t="shared" si="25"/>
        <v>243918.20212945377</v>
      </c>
    </row>
    <row r="799" spans="19:21" ht="14.65" thickBot="1" x14ac:dyDescent="0.5">
      <c r="S799" s="37">
        <f t="shared" si="24"/>
        <v>246524.93305074828</v>
      </c>
      <c r="U799" s="26">
        <f t="shared" si="25"/>
        <v>246359.0430507483</v>
      </c>
    </row>
    <row r="800" spans="19:21" ht="14.65" thickBot="1" x14ac:dyDescent="0.5">
      <c r="S800" s="37">
        <f t="shared" si="24"/>
        <v>248990.18238125576</v>
      </c>
      <c r="U800" s="26">
        <f t="shared" si="25"/>
        <v>248824.29238125577</v>
      </c>
    </row>
    <row r="801" spans="19:21" ht="14.65" thickBot="1" x14ac:dyDescent="0.5">
      <c r="S801" s="37">
        <f t="shared" si="24"/>
        <v>251480.08420506833</v>
      </c>
      <c r="U801" s="26">
        <f t="shared" si="25"/>
        <v>251314.19420506834</v>
      </c>
    </row>
    <row r="802" spans="19:21" ht="14.65" thickBot="1" x14ac:dyDescent="0.5">
      <c r="S802" s="37">
        <f t="shared" si="24"/>
        <v>253994.88504711902</v>
      </c>
      <c r="U802" s="26">
        <f t="shared" si="25"/>
        <v>253828.99504711904</v>
      </c>
    </row>
    <row r="803" spans="19:21" ht="14.65" thickBot="1" x14ac:dyDescent="0.5">
      <c r="S803" s="37">
        <f t="shared" si="24"/>
        <v>256534.83389759023</v>
      </c>
      <c r="U803" s="26">
        <f t="shared" si="25"/>
        <v>256368.94389759024</v>
      </c>
    </row>
    <row r="804" spans="19:21" ht="14.65" thickBot="1" x14ac:dyDescent="0.5">
      <c r="S804" s="37">
        <f t="shared" si="24"/>
        <v>259100.18223656612</v>
      </c>
      <c r="U804" s="26">
        <f t="shared" si="25"/>
        <v>258934.29223656614</v>
      </c>
    </row>
    <row r="805" spans="19:21" ht="14.65" thickBot="1" x14ac:dyDescent="0.5">
      <c r="S805" s="37">
        <f t="shared" si="24"/>
        <v>261691.18405893177</v>
      </c>
      <c r="U805" s="26">
        <f t="shared" si="25"/>
        <v>261525.29405893179</v>
      </c>
    </row>
    <row r="806" spans="19:21" ht="14.65" thickBot="1" x14ac:dyDescent="0.5">
      <c r="S806" s="37">
        <f t="shared" si="24"/>
        <v>264308.09589952108</v>
      </c>
      <c r="U806" s="26">
        <f t="shared" si="25"/>
        <v>264142.20589952107</v>
      </c>
    </row>
    <row r="807" spans="19:21" ht="14.65" thickBot="1" x14ac:dyDescent="0.5">
      <c r="S807" s="37">
        <f t="shared" si="24"/>
        <v>266951.17685851629</v>
      </c>
      <c r="U807" s="26">
        <f t="shared" si="25"/>
        <v>266785.28685851628</v>
      </c>
    </row>
    <row r="808" spans="19:21" ht="14.65" thickBot="1" x14ac:dyDescent="0.5">
      <c r="S808" s="37">
        <f t="shared" si="24"/>
        <v>269620.68862710148</v>
      </c>
      <c r="U808" s="26">
        <f t="shared" si="25"/>
        <v>269454.79862710147</v>
      </c>
    </row>
    <row r="809" spans="19:21" ht="14.65" thickBot="1" x14ac:dyDescent="0.5">
      <c r="S809" s="37">
        <f t="shared" si="24"/>
        <v>272316.8955133725</v>
      </c>
      <c r="U809" s="26">
        <f t="shared" si="25"/>
        <v>272151.00551337248</v>
      </c>
    </row>
    <row r="810" spans="19:21" ht="14.65" thickBot="1" x14ac:dyDescent="0.5">
      <c r="S810" s="37">
        <f t="shared" si="24"/>
        <v>275040.0644685062</v>
      </c>
      <c r="U810" s="26">
        <f t="shared" si="25"/>
        <v>274874.17446850619</v>
      </c>
    </row>
    <row r="811" spans="19:21" ht="14.65" thickBot="1" x14ac:dyDescent="0.5">
      <c r="S811" s="37">
        <f t="shared" si="24"/>
        <v>277790.46511319128</v>
      </c>
      <c r="U811" s="26">
        <f t="shared" si="25"/>
        <v>277624.57511319127</v>
      </c>
    </row>
    <row r="812" spans="19:21" ht="14.65" thickBot="1" x14ac:dyDescent="0.5">
      <c r="S812" s="37">
        <f t="shared" si="24"/>
        <v>280568.36976432317</v>
      </c>
      <c r="U812" s="26">
        <f t="shared" si="25"/>
        <v>280402.47976432316</v>
      </c>
    </row>
    <row r="813" spans="19:21" ht="14.65" thickBot="1" x14ac:dyDescent="0.5">
      <c r="S813" s="37">
        <f t="shared" si="24"/>
        <v>283374.0534619664</v>
      </c>
      <c r="U813" s="26">
        <f t="shared" si="25"/>
        <v>283208.16346196638</v>
      </c>
    </row>
    <row r="814" spans="19:21" ht="14.65" thickBot="1" x14ac:dyDescent="0.5">
      <c r="S814" s="37">
        <f t="shared" si="24"/>
        <v>286207.79399658606</v>
      </c>
      <c r="U814" s="26">
        <f t="shared" si="25"/>
        <v>286041.90399658604</v>
      </c>
    </row>
    <row r="815" spans="19:21" ht="14.65" thickBot="1" x14ac:dyDescent="0.5">
      <c r="S815" s="37">
        <f t="shared" si="24"/>
        <v>289069.87193655194</v>
      </c>
      <c r="U815" s="26">
        <f t="shared" si="25"/>
        <v>288903.98193655192</v>
      </c>
    </row>
    <row r="816" spans="19:21" ht="14.65" thickBot="1" x14ac:dyDescent="0.5">
      <c r="S816" s="37">
        <f t="shared" si="24"/>
        <v>291960.57065591746</v>
      </c>
      <c r="U816" s="26">
        <f t="shared" si="25"/>
        <v>291794.68065591744</v>
      </c>
    </row>
    <row r="817" spans="19:21" ht="14.65" thickBot="1" x14ac:dyDescent="0.5">
      <c r="S817" s="37">
        <f t="shared" si="24"/>
        <v>294880.17636247666</v>
      </c>
      <c r="U817" s="26">
        <f t="shared" si="25"/>
        <v>294714.28636247665</v>
      </c>
    </row>
    <row r="818" spans="19:21" ht="14.65" thickBot="1" x14ac:dyDescent="0.5">
      <c r="S818" s="37">
        <f t="shared" si="24"/>
        <v>297828.97812610143</v>
      </c>
      <c r="U818" s="26">
        <f t="shared" si="25"/>
        <v>297663.08812610141</v>
      </c>
    </row>
    <row r="819" spans="19:21" ht="14.65" thickBot="1" x14ac:dyDescent="0.5">
      <c r="S819" s="37">
        <f t="shared" si="24"/>
        <v>300807.26790736243</v>
      </c>
      <c r="U819" s="26">
        <f t="shared" si="25"/>
        <v>300641.37790736242</v>
      </c>
    </row>
    <row r="820" spans="19:21" ht="14.65" thickBot="1" x14ac:dyDescent="0.5">
      <c r="S820" s="37">
        <f t="shared" si="24"/>
        <v>303815.34058643604</v>
      </c>
      <c r="U820" s="26">
        <f t="shared" si="25"/>
        <v>303649.45058643603</v>
      </c>
    </row>
    <row r="821" spans="19:21" ht="14.65" thickBot="1" x14ac:dyDescent="0.5">
      <c r="S821" s="37">
        <f t="shared" si="24"/>
        <v>306853.49399230041</v>
      </c>
      <c r="U821" s="26">
        <f t="shared" si="25"/>
        <v>306687.6039923004</v>
      </c>
    </row>
    <row r="822" spans="19:21" ht="14.65" thickBot="1" x14ac:dyDescent="0.5">
      <c r="S822" s="37">
        <f t="shared" si="24"/>
        <v>309922.02893222345</v>
      </c>
      <c r="U822" s="26">
        <f t="shared" si="25"/>
        <v>309756.13893222343</v>
      </c>
    </row>
    <row r="823" spans="19:21" ht="14.65" thickBot="1" x14ac:dyDescent="0.5">
      <c r="S823" s="37">
        <f t="shared" si="24"/>
        <v>313021.2492215457</v>
      </c>
      <c r="U823" s="26">
        <f t="shared" si="25"/>
        <v>312855.35922154569</v>
      </c>
    </row>
    <row r="824" spans="19:21" ht="14.65" thickBot="1" x14ac:dyDescent="0.5">
      <c r="S824" s="37">
        <f t="shared" si="24"/>
        <v>316151.46171376115</v>
      </c>
      <c r="U824" s="26">
        <f t="shared" si="25"/>
        <v>315985.57171376114</v>
      </c>
    </row>
    <row r="825" spans="19:21" ht="14.65" thickBot="1" x14ac:dyDescent="0.5">
      <c r="S825" s="37">
        <f t="shared" si="24"/>
        <v>319312.97633089876</v>
      </c>
      <c r="U825" s="26">
        <f t="shared" si="25"/>
        <v>319147.08633089875</v>
      </c>
    </row>
    <row r="826" spans="19:21" ht="14.65" thickBot="1" x14ac:dyDescent="0.5">
      <c r="S826" s="37">
        <f t="shared" si="24"/>
        <v>322506.10609420773</v>
      </c>
      <c r="U826" s="26">
        <f t="shared" si="25"/>
        <v>322340.21609420772</v>
      </c>
    </row>
    <row r="827" spans="19:21" ht="14.65" thickBot="1" x14ac:dyDescent="0.5">
      <c r="S827" s="37">
        <f t="shared" si="24"/>
        <v>325731.1671551498</v>
      </c>
      <c r="U827" s="26">
        <f t="shared" si="25"/>
        <v>325565.27715514979</v>
      </c>
    </row>
    <row r="828" spans="19:21" ht="14.65" thickBot="1" x14ac:dyDescent="0.5">
      <c r="S828" s="37">
        <f t="shared" si="24"/>
        <v>328988.47882670129</v>
      </c>
      <c r="U828" s="26">
        <f t="shared" si="25"/>
        <v>328822.58882670128</v>
      </c>
    </row>
    <row r="829" spans="19:21" ht="14.65" thickBot="1" x14ac:dyDescent="0.5">
      <c r="S829" s="37">
        <f t="shared" si="24"/>
        <v>332278.36361496832</v>
      </c>
      <c r="U829" s="26">
        <f t="shared" si="25"/>
        <v>332112.4736149683</v>
      </c>
    </row>
    <row r="830" spans="19:21" ht="14.65" thickBot="1" x14ac:dyDescent="0.5">
      <c r="S830" s="37">
        <f t="shared" si="24"/>
        <v>335601.14725111797</v>
      </c>
      <c r="U830" s="26">
        <f t="shared" si="25"/>
        <v>335435.25725111796</v>
      </c>
    </row>
    <row r="831" spans="19:21" ht="14.65" thickBot="1" x14ac:dyDescent="0.5">
      <c r="S831" s="37">
        <f t="shared" si="24"/>
        <v>338957.15872362914</v>
      </c>
      <c r="U831" s="26">
        <f t="shared" si="25"/>
        <v>338791.26872362912</v>
      </c>
    </row>
    <row r="832" spans="19:21" ht="14.65" thickBot="1" x14ac:dyDescent="0.5">
      <c r="S832" s="37">
        <f t="shared" si="24"/>
        <v>342346.73031086545</v>
      </c>
      <c r="U832" s="26">
        <f t="shared" si="25"/>
        <v>342180.84031086543</v>
      </c>
    </row>
    <row r="833" spans="19:21" ht="14.65" thickBot="1" x14ac:dyDescent="0.5">
      <c r="S833" s="37">
        <f t="shared" si="24"/>
        <v>345770.1976139741</v>
      </c>
      <c r="U833" s="26">
        <f t="shared" si="25"/>
        <v>345604.30761397409</v>
      </c>
    </row>
    <row r="834" spans="19:21" ht="14.65" thickBot="1" x14ac:dyDescent="0.5">
      <c r="S834" s="37">
        <f t="shared" si="24"/>
        <v>349227.89959011384</v>
      </c>
      <c r="U834" s="26">
        <f t="shared" si="25"/>
        <v>349062.00959011383</v>
      </c>
    </row>
    <row r="835" spans="19:21" ht="14.65" thickBot="1" x14ac:dyDescent="0.5">
      <c r="S835" s="37">
        <f t="shared" si="24"/>
        <v>352720.17858601495</v>
      </c>
      <c r="U835" s="26">
        <f t="shared" si="25"/>
        <v>352554.28858601494</v>
      </c>
    </row>
    <row r="836" spans="19:21" ht="14.65" thickBot="1" x14ac:dyDescent="0.5">
      <c r="S836" s="37">
        <f t="shared" si="24"/>
        <v>356247.38037187513</v>
      </c>
      <c r="U836" s="26">
        <f t="shared" si="25"/>
        <v>356081.49037187512</v>
      </c>
    </row>
    <row r="837" spans="19:21" ht="14.65" thickBot="1" x14ac:dyDescent="0.5">
      <c r="S837" s="37">
        <f t="shared" si="24"/>
        <v>359809.85417559388</v>
      </c>
      <c r="U837" s="26">
        <f t="shared" si="25"/>
        <v>359643.96417559386</v>
      </c>
    </row>
    <row r="838" spans="19:21" ht="14.65" thickBot="1" x14ac:dyDescent="0.5">
      <c r="S838" s="37">
        <f t="shared" si="24"/>
        <v>363407.95271734981</v>
      </c>
      <c r="U838" s="26">
        <f t="shared" si="25"/>
        <v>363242.06271734979</v>
      </c>
    </row>
    <row r="839" spans="19:21" ht="14.65" thickBot="1" x14ac:dyDescent="0.5">
      <c r="S839" s="37">
        <f t="shared" si="24"/>
        <v>367042.03224452329</v>
      </c>
      <c r="U839" s="26">
        <f t="shared" si="25"/>
        <v>366876.14224452327</v>
      </c>
    </row>
    <row r="840" spans="19:21" ht="14.65" thickBot="1" x14ac:dyDescent="0.5">
      <c r="S840" s="37">
        <f t="shared" si="24"/>
        <v>370712.45256696851</v>
      </c>
      <c r="U840" s="26">
        <f t="shared" si="25"/>
        <v>370546.5625669685</v>
      </c>
    </row>
    <row r="841" spans="19:21" ht="14.65" thickBot="1" x14ac:dyDescent="0.5">
      <c r="S841" s="37">
        <f t="shared" si="24"/>
        <v>374419.57709263818</v>
      </c>
      <c r="U841" s="26">
        <f t="shared" si="25"/>
        <v>374253.68709263817</v>
      </c>
    </row>
    <row r="842" spans="19:21" ht="14.65" thickBot="1" x14ac:dyDescent="0.5">
      <c r="S842" s="37">
        <f t="shared" si="24"/>
        <v>378163.77286356455</v>
      </c>
      <c r="U842" s="26">
        <f t="shared" si="25"/>
        <v>377997.88286356453</v>
      </c>
    </row>
    <row r="843" spans="19:21" ht="14.65" thickBot="1" x14ac:dyDescent="0.5">
      <c r="S843" s="37">
        <f t="shared" si="24"/>
        <v>381945.41059220018</v>
      </c>
      <c r="U843" s="26">
        <f t="shared" si="25"/>
        <v>381779.52059220016</v>
      </c>
    </row>
    <row r="844" spans="19:21" ht="14.65" thickBot="1" x14ac:dyDescent="0.5">
      <c r="S844" s="37">
        <f t="shared" si="24"/>
        <v>385764.8646981222</v>
      </c>
      <c r="U844" s="26">
        <f t="shared" si="25"/>
        <v>385598.97469812218</v>
      </c>
    </row>
    <row r="845" spans="19:21" ht="14.65" thickBot="1" x14ac:dyDescent="0.5">
      <c r="S845" s="37">
        <f t="shared" si="24"/>
        <v>389622.51334510342</v>
      </c>
      <c r="U845" s="26">
        <f t="shared" si="25"/>
        <v>389456.62334510341</v>
      </c>
    </row>
    <row r="846" spans="19:21" ht="14.65" thickBot="1" x14ac:dyDescent="0.5">
      <c r="S846" s="37">
        <f t="shared" si="24"/>
        <v>393518.73847855447</v>
      </c>
      <c r="U846" s="26">
        <f t="shared" si="25"/>
        <v>393352.84847855446</v>
      </c>
    </row>
    <row r="847" spans="19:21" ht="14.65" thickBot="1" x14ac:dyDescent="0.5">
      <c r="S847" s="37">
        <f t="shared" si="24"/>
        <v>397453.92586334003</v>
      </c>
      <c r="U847" s="26">
        <f t="shared" si="25"/>
        <v>397288.03586334002</v>
      </c>
    </row>
    <row r="848" spans="19:21" ht="14.65" thickBot="1" x14ac:dyDescent="0.5">
      <c r="S848" s="37">
        <f t="shared" si="24"/>
        <v>401428.46512197342</v>
      </c>
      <c r="U848" s="26">
        <f t="shared" si="25"/>
        <v>401262.57512197341</v>
      </c>
    </row>
    <row r="849" spans="19:21" ht="14.65" thickBot="1" x14ac:dyDescent="0.5">
      <c r="S849" s="37">
        <f t="shared" si="24"/>
        <v>405442.74977319315</v>
      </c>
      <c r="U849" s="26">
        <f t="shared" si="25"/>
        <v>405276.85977319314</v>
      </c>
    </row>
    <row r="850" spans="19:21" ht="14.65" thickBot="1" x14ac:dyDescent="0.5">
      <c r="S850" s="37">
        <f t="shared" si="24"/>
        <v>409497.17727092508</v>
      </c>
      <c r="U850" s="26">
        <f t="shared" si="25"/>
        <v>409331.28727092507</v>
      </c>
    </row>
    <row r="851" spans="19:21" ht="14.65" thickBot="1" x14ac:dyDescent="0.5">
      <c r="S851" s="37">
        <f t="shared" si="24"/>
        <v>413592.14904363436</v>
      </c>
      <c r="U851" s="26">
        <f t="shared" si="25"/>
        <v>413426.25904363435</v>
      </c>
    </row>
    <row r="852" spans="19:21" ht="14.65" thickBot="1" x14ac:dyDescent="0.5">
      <c r="S852" s="37">
        <f t="shared" si="24"/>
        <v>417728.07053407072</v>
      </c>
      <c r="U852" s="26">
        <f t="shared" si="25"/>
        <v>417562.18053407071</v>
      </c>
    </row>
    <row r="853" spans="19:21" ht="14.65" thickBot="1" x14ac:dyDescent="0.5">
      <c r="S853" s="37">
        <f t="shared" ref="S853:S916" si="26">S852*(1.01)</f>
        <v>421905.35123941145</v>
      </c>
      <c r="U853" s="26">
        <f t="shared" ref="U853:U916" si="27">IF(S853&lt;$D$8,$D$8-S853-$D$10,-$D$10)+IF(S853&lt;$D$7,-$D$9,S853-$D$7-$D$9)</f>
        <v>421739.46123941144</v>
      </c>
    </row>
    <row r="854" spans="19:21" ht="14.65" thickBot="1" x14ac:dyDescent="0.5">
      <c r="S854" s="37">
        <f t="shared" si="26"/>
        <v>426124.40475180559</v>
      </c>
      <c r="U854" s="26">
        <f t="shared" si="27"/>
        <v>425958.51475180557</v>
      </c>
    </row>
    <row r="855" spans="19:21" ht="14.65" thickBot="1" x14ac:dyDescent="0.5">
      <c r="S855" s="37">
        <f t="shared" si="26"/>
        <v>430385.64879932365</v>
      </c>
      <c r="U855" s="26">
        <f t="shared" si="27"/>
        <v>430219.75879932364</v>
      </c>
    </row>
    <row r="856" spans="19:21" ht="14.65" thickBot="1" x14ac:dyDescent="0.5">
      <c r="S856" s="37">
        <f t="shared" si="26"/>
        <v>434689.50528731692</v>
      </c>
      <c r="U856" s="26">
        <f t="shared" si="27"/>
        <v>434523.6152873169</v>
      </c>
    </row>
    <row r="857" spans="19:21" ht="14.65" thickBot="1" x14ac:dyDescent="0.5">
      <c r="S857" s="37">
        <f t="shared" si="26"/>
        <v>439036.4003401901</v>
      </c>
      <c r="U857" s="26">
        <f t="shared" si="27"/>
        <v>438870.51034019009</v>
      </c>
    </row>
    <row r="858" spans="19:21" ht="14.65" thickBot="1" x14ac:dyDescent="0.5">
      <c r="S858" s="37">
        <f t="shared" si="26"/>
        <v>443426.76434359199</v>
      </c>
      <c r="U858" s="26">
        <f t="shared" si="27"/>
        <v>443260.87434359198</v>
      </c>
    </row>
    <row r="859" spans="19:21" ht="14.65" thickBot="1" x14ac:dyDescent="0.5">
      <c r="S859" s="37">
        <f t="shared" si="26"/>
        <v>447861.03198702791</v>
      </c>
      <c r="U859" s="26">
        <f t="shared" si="27"/>
        <v>447695.14198702789</v>
      </c>
    </row>
    <row r="860" spans="19:21" ht="14.65" thickBot="1" x14ac:dyDescent="0.5">
      <c r="S860" s="37">
        <f t="shared" si="26"/>
        <v>452339.6423068982</v>
      </c>
      <c r="U860" s="26">
        <f t="shared" si="27"/>
        <v>452173.75230689818</v>
      </c>
    </row>
    <row r="861" spans="19:21" ht="14.65" thickBot="1" x14ac:dyDescent="0.5">
      <c r="S861" s="37">
        <f t="shared" si="26"/>
        <v>456863.0387299672</v>
      </c>
      <c r="U861" s="26">
        <f t="shared" si="27"/>
        <v>456697.14872996719</v>
      </c>
    </row>
    <row r="862" spans="19:21" ht="14.65" thickBot="1" x14ac:dyDescent="0.5">
      <c r="S862" s="37">
        <f t="shared" si="26"/>
        <v>461431.66911726689</v>
      </c>
      <c r="U862" s="26">
        <f t="shared" si="27"/>
        <v>461265.77911726688</v>
      </c>
    </row>
    <row r="863" spans="19:21" ht="14.65" thickBot="1" x14ac:dyDescent="0.5">
      <c r="S863" s="37">
        <f t="shared" si="26"/>
        <v>466045.98580843955</v>
      </c>
      <c r="U863" s="26">
        <f t="shared" si="27"/>
        <v>465880.09580843954</v>
      </c>
    </row>
    <row r="864" spans="19:21" ht="14.65" thickBot="1" x14ac:dyDescent="0.5">
      <c r="S864" s="37">
        <f t="shared" si="26"/>
        <v>470706.44566652394</v>
      </c>
      <c r="U864" s="26">
        <f t="shared" si="27"/>
        <v>470540.55566652393</v>
      </c>
    </row>
    <row r="865" spans="19:21" ht="14.65" thickBot="1" x14ac:dyDescent="0.5">
      <c r="S865" s="37">
        <f t="shared" si="26"/>
        <v>475413.51012318919</v>
      </c>
      <c r="U865" s="26">
        <f t="shared" si="27"/>
        <v>475247.62012318918</v>
      </c>
    </row>
    <row r="866" spans="19:21" ht="14.65" thickBot="1" x14ac:dyDescent="0.5">
      <c r="S866" s="37">
        <f t="shared" si="26"/>
        <v>480167.64522442111</v>
      </c>
      <c r="U866" s="26">
        <f t="shared" si="27"/>
        <v>480001.7552244211</v>
      </c>
    </row>
    <row r="867" spans="19:21" ht="14.65" thickBot="1" x14ac:dyDescent="0.5">
      <c r="S867" s="37">
        <f t="shared" si="26"/>
        <v>484969.32167666533</v>
      </c>
      <c r="U867" s="26">
        <f t="shared" si="27"/>
        <v>484803.43167666532</v>
      </c>
    </row>
    <row r="868" spans="19:21" ht="14.65" thickBot="1" x14ac:dyDescent="0.5">
      <c r="S868" s="37">
        <f t="shared" si="26"/>
        <v>489819.01489343197</v>
      </c>
      <c r="U868" s="26">
        <f t="shared" si="27"/>
        <v>489653.12489343196</v>
      </c>
    </row>
    <row r="869" spans="19:21" ht="14.65" thickBot="1" x14ac:dyDescent="0.5">
      <c r="S869" s="37">
        <f t="shared" si="26"/>
        <v>494717.20504236629</v>
      </c>
      <c r="U869" s="26">
        <f t="shared" si="27"/>
        <v>494551.31504236627</v>
      </c>
    </row>
    <row r="870" spans="19:21" ht="14.65" thickBot="1" x14ac:dyDescent="0.5">
      <c r="S870" s="37">
        <f t="shared" si="26"/>
        <v>499664.37709278997</v>
      </c>
      <c r="U870" s="26">
        <f t="shared" si="27"/>
        <v>499498.48709278996</v>
      </c>
    </row>
    <row r="871" spans="19:21" ht="14.65" thickBot="1" x14ac:dyDescent="0.5">
      <c r="S871" s="37">
        <f t="shared" si="26"/>
        <v>504661.02086371789</v>
      </c>
      <c r="U871" s="26">
        <f t="shared" si="27"/>
        <v>504495.13086371787</v>
      </c>
    </row>
    <row r="872" spans="19:21" ht="14.65" thickBot="1" x14ac:dyDescent="0.5">
      <c r="S872" s="37">
        <f t="shared" si="26"/>
        <v>509707.63107235509</v>
      </c>
      <c r="U872" s="26">
        <f t="shared" si="27"/>
        <v>509541.74107235507</v>
      </c>
    </row>
    <row r="873" spans="19:21" ht="14.65" thickBot="1" x14ac:dyDescent="0.5">
      <c r="S873" s="37">
        <f t="shared" si="26"/>
        <v>514804.70738307864</v>
      </c>
      <c r="U873" s="26">
        <f t="shared" si="27"/>
        <v>514638.81738307863</v>
      </c>
    </row>
    <row r="874" spans="19:21" ht="14.65" thickBot="1" x14ac:dyDescent="0.5">
      <c r="S874" s="37">
        <f t="shared" si="26"/>
        <v>519952.75445690943</v>
      </c>
      <c r="U874" s="26">
        <f t="shared" si="27"/>
        <v>519786.86445690942</v>
      </c>
    </row>
    <row r="875" spans="19:21" ht="14.65" thickBot="1" x14ac:dyDescent="0.5">
      <c r="S875" s="37">
        <f t="shared" si="26"/>
        <v>525152.28200147848</v>
      </c>
      <c r="U875" s="26">
        <f t="shared" si="27"/>
        <v>524986.39200147847</v>
      </c>
    </row>
    <row r="876" spans="19:21" ht="14.65" thickBot="1" x14ac:dyDescent="0.5">
      <c r="S876" s="37">
        <f t="shared" si="26"/>
        <v>530403.80482149322</v>
      </c>
      <c r="U876" s="26">
        <f t="shared" si="27"/>
        <v>530237.91482149321</v>
      </c>
    </row>
    <row r="877" spans="19:21" ht="14.65" thickBot="1" x14ac:dyDescent="0.5">
      <c r="S877" s="37">
        <f t="shared" si="26"/>
        <v>535707.8428697082</v>
      </c>
      <c r="U877" s="26">
        <f t="shared" si="27"/>
        <v>535541.95286970818</v>
      </c>
    </row>
    <row r="878" spans="19:21" ht="14.65" thickBot="1" x14ac:dyDescent="0.5">
      <c r="S878" s="37">
        <f t="shared" si="26"/>
        <v>541064.92129840527</v>
      </c>
      <c r="U878" s="26">
        <f t="shared" si="27"/>
        <v>540899.03129840526</v>
      </c>
    </row>
    <row r="879" spans="19:21" ht="14.65" thickBot="1" x14ac:dyDescent="0.5">
      <c r="S879" s="37">
        <f t="shared" si="26"/>
        <v>546475.57051138929</v>
      </c>
      <c r="U879" s="26">
        <f t="shared" si="27"/>
        <v>546309.68051138928</v>
      </c>
    </row>
    <row r="880" spans="19:21" ht="14.65" thickBot="1" x14ac:dyDescent="0.5">
      <c r="S880" s="37">
        <f t="shared" si="26"/>
        <v>551940.32621650316</v>
      </c>
      <c r="U880" s="26">
        <f t="shared" si="27"/>
        <v>551774.43621650315</v>
      </c>
    </row>
    <row r="881" spans="19:21" ht="14.65" thickBot="1" x14ac:dyDescent="0.5">
      <c r="S881" s="37">
        <f t="shared" si="26"/>
        <v>557459.72947866819</v>
      </c>
      <c r="U881" s="26">
        <f t="shared" si="27"/>
        <v>557293.83947866817</v>
      </c>
    </row>
    <row r="882" spans="19:21" ht="14.65" thickBot="1" x14ac:dyDescent="0.5">
      <c r="S882" s="37">
        <f t="shared" si="26"/>
        <v>563034.3267734549</v>
      </c>
      <c r="U882" s="26">
        <f t="shared" si="27"/>
        <v>562868.43677345489</v>
      </c>
    </row>
    <row r="883" spans="19:21" ht="14.65" thickBot="1" x14ac:dyDescent="0.5">
      <c r="S883" s="37">
        <f t="shared" si="26"/>
        <v>568664.67004118941</v>
      </c>
      <c r="U883" s="26">
        <f t="shared" si="27"/>
        <v>568498.7800411894</v>
      </c>
    </row>
    <row r="884" spans="19:21" ht="14.65" thickBot="1" x14ac:dyDescent="0.5">
      <c r="S884" s="37">
        <f t="shared" si="26"/>
        <v>574351.31674160133</v>
      </c>
      <c r="U884" s="26">
        <f t="shared" si="27"/>
        <v>574185.42674160132</v>
      </c>
    </row>
    <row r="885" spans="19:21" ht="14.65" thickBot="1" x14ac:dyDescent="0.5">
      <c r="S885" s="37">
        <f t="shared" si="26"/>
        <v>580094.82990901731</v>
      </c>
      <c r="U885" s="26">
        <f t="shared" si="27"/>
        <v>579928.9399090173</v>
      </c>
    </row>
    <row r="886" spans="19:21" ht="14.65" thickBot="1" x14ac:dyDescent="0.5">
      <c r="S886" s="37">
        <f t="shared" si="26"/>
        <v>585895.77820810745</v>
      </c>
      <c r="U886" s="26">
        <f t="shared" si="27"/>
        <v>585729.88820810744</v>
      </c>
    </row>
    <row r="887" spans="19:21" ht="14.65" thickBot="1" x14ac:dyDescent="0.5">
      <c r="S887" s="37">
        <f t="shared" si="26"/>
        <v>591754.73599018855</v>
      </c>
      <c r="U887" s="26">
        <f t="shared" si="27"/>
        <v>591588.84599018854</v>
      </c>
    </row>
    <row r="888" spans="19:21" ht="14.65" thickBot="1" x14ac:dyDescent="0.5">
      <c r="S888" s="37">
        <f t="shared" si="26"/>
        <v>597672.2833500905</v>
      </c>
      <c r="U888" s="26">
        <f t="shared" si="27"/>
        <v>597506.39335009048</v>
      </c>
    </row>
    <row r="889" spans="19:21" ht="14.65" thickBot="1" x14ac:dyDescent="0.5">
      <c r="S889" s="37">
        <f t="shared" si="26"/>
        <v>603649.00618359144</v>
      </c>
      <c r="U889" s="26">
        <f t="shared" si="27"/>
        <v>603483.11618359142</v>
      </c>
    </row>
    <row r="890" spans="19:21" ht="14.65" thickBot="1" x14ac:dyDescent="0.5">
      <c r="S890" s="37">
        <f t="shared" si="26"/>
        <v>609685.49624542741</v>
      </c>
      <c r="U890" s="26">
        <f t="shared" si="27"/>
        <v>609519.60624542739</v>
      </c>
    </row>
    <row r="891" spans="19:21" ht="14.65" thickBot="1" x14ac:dyDescent="0.5">
      <c r="S891" s="37">
        <f t="shared" si="26"/>
        <v>615782.3512078817</v>
      </c>
      <c r="U891" s="26">
        <f t="shared" si="27"/>
        <v>615616.46120788169</v>
      </c>
    </row>
    <row r="892" spans="19:21" ht="14.65" thickBot="1" x14ac:dyDescent="0.5">
      <c r="S892" s="37">
        <f t="shared" si="26"/>
        <v>621940.17471996055</v>
      </c>
      <c r="U892" s="26">
        <f t="shared" si="27"/>
        <v>621774.28471996053</v>
      </c>
    </row>
    <row r="893" spans="19:21" ht="14.65" thickBot="1" x14ac:dyDescent="0.5">
      <c r="S893" s="37">
        <f t="shared" si="26"/>
        <v>628159.57646716014</v>
      </c>
      <c r="U893" s="26">
        <f t="shared" si="27"/>
        <v>627993.68646716012</v>
      </c>
    </row>
    <row r="894" spans="19:21" ht="14.65" thickBot="1" x14ac:dyDescent="0.5">
      <c r="S894" s="37">
        <f t="shared" si="26"/>
        <v>634441.1722318317</v>
      </c>
      <c r="U894" s="26">
        <f t="shared" si="27"/>
        <v>634275.28223183169</v>
      </c>
    </row>
    <row r="895" spans="19:21" ht="14.65" thickBot="1" x14ac:dyDescent="0.5">
      <c r="S895" s="37">
        <f t="shared" si="26"/>
        <v>640785.58395414997</v>
      </c>
      <c r="U895" s="26">
        <f t="shared" si="27"/>
        <v>640619.69395414996</v>
      </c>
    </row>
    <row r="896" spans="19:21" ht="14.65" thickBot="1" x14ac:dyDescent="0.5">
      <c r="S896" s="37">
        <f t="shared" si="26"/>
        <v>647193.4397936915</v>
      </c>
      <c r="U896" s="26">
        <f t="shared" si="27"/>
        <v>647027.54979369149</v>
      </c>
    </row>
    <row r="897" spans="19:21" ht="14.65" thickBot="1" x14ac:dyDescent="0.5">
      <c r="S897" s="37">
        <f t="shared" si="26"/>
        <v>653665.37419162842</v>
      </c>
      <c r="U897" s="26">
        <f t="shared" si="27"/>
        <v>653499.48419162841</v>
      </c>
    </row>
    <row r="898" spans="19:21" ht="14.65" thickBot="1" x14ac:dyDescent="0.5">
      <c r="S898" s="37">
        <f t="shared" si="26"/>
        <v>660202.02793354471</v>
      </c>
      <c r="U898" s="26">
        <f t="shared" si="27"/>
        <v>660036.1379335447</v>
      </c>
    </row>
    <row r="899" spans="19:21" ht="14.65" thickBot="1" x14ac:dyDescent="0.5">
      <c r="S899" s="37">
        <f t="shared" si="26"/>
        <v>666804.04821288015</v>
      </c>
      <c r="U899" s="26">
        <f t="shared" si="27"/>
        <v>666638.15821288014</v>
      </c>
    </row>
    <row r="900" spans="19:21" ht="14.65" thickBot="1" x14ac:dyDescent="0.5">
      <c r="S900" s="37">
        <f t="shared" si="26"/>
        <v>673472.08869500901</v>
      </c>
      <c r="U900" s="26">
        <f t="shared" si="27"/>
        <v>673306.19869500899</v>
      </c>
    </row>
    <row r="901" spans="19:21" ht="14.65" thickBot="1" x14ac:dyDescent="0.5">
      <c r="S901" s="37">
        <f t="shared" si="26"/>
        <v>680206.80958195915</v>
      </c>
      <c r="U901" s="26">
        <f t="shared" si="27"/>
        <v>680040.91958195914</v>
      </c>
    </row>
    <row r="902" spans="19:21" ht="14.65" thickBot="1" x14ac:dyDescent="0.5">
      <c r="S902" s="37">
        <f t="shared" si="26"/>
        <v>687008.87767777871</v>
      </c>
      <c r="U902" s="26">
        <f t="shared" si="27"/>
        <v>686842.9876777787</v>
      </c>
    </row>
    <row r="903" spans="19:21" ht="14.65" thickBot="1" x14ac:dyDescent="0.5">
      <c r="S903" s="37">
        <f t="shared" si="26"/>
        <v>693878.96645455656</v>
      </c>
      <c r="U903" s="26">
        <f t="shared" si="27"/>
        <v>693713.07645455655</v>
      </c>
    </row>
    <row r="904" spans="19:21" ht="14.65" thickBot="1" x14ac:dyDescent="0.5">
      <c r="S904" s="37">
        <f t="shared" si="26"/>
        <v>700817.75611910212</v>
      </c>
      <c r="U904" s="26">
        <f t="shared" si="27"/>
        <v>700651.86611910211</v>
      </c>
    </row>
    <row r="905" spans="19:21" ht="14.65" thickBot="1" x14ac:dyDescent="0.5">
      <c r="S905" s="37">
        <f t="shared" si="26"/>
        <v>707825.93368029315</v>
      </c>
      <c r="U905" s="26">
        <f t="shared" si="27"/>
        <v>707660.04368029314</v>
      </c>
    </row>
    <row r="906" spans="19:21" ht="14.65" thickBot="1" x14ac:dyDescent="0.5">
      <c r="S906" s="37">
        <f t="shared" si="26"/>
        <v>714904.19301709614</v>
      </c>
      <c r="U906" s="26">
        <f t="shared" si="27"/>
        <v>714738.30301709613</v>
      </c>
    </row>
    <row r="907" spans="19:21" ht="14.65" thickBot="1" x14ac:dyDescent="0.5">
      <c r="S907" s="37">
        <f t="shared" si="26"/>
        <v>722053.2349472671</v>
      </c>
      <c r="U907" s="26">
        <f t="shared" si="27"/>
        <v>721887.34494726709</v>
      </c>
    </row>
    <row r="908" spans="19:21" ht="14.65" thickBot="1" x14ac:dyDescent="0.5">
      <c r="S908" s="37">
        <f t="shared" si="26"/>
        <v>729273.76729673974</v>
      </c>
      <c r="U908" s="26">
        <f t="shared" si="27"/>
        <v>729107.87729673972</v>
      </c>
    </row>
    <row r="909" spans="19:21" ht="14.65" thickBot="1" x14ac:dyDescent="0.5">
      <c r="S909" s="37">
        <f t="shared" si="26"/>
        <v>736566.50496970711</v>
      </c>
      <c r="U909" s="26">
        <f t="shared" si="27"/>
        <v>736400.61496970709</v>
      </c>
    </row>
    <row r="910" spans="19:21" ht="14.65" thickBot="1" x14ac:dyDescent="0.5">
      <c r="S910" s="37">
        <f t="shared" si="26"/>
        <v>743932.17001940415</v>
      </c>
      <c r="U910" s="26">
        <f t="shared" si="27"/>
        <v>743766.28001940413</v>
      </c>
    </row>
    <row r="911" spans="19:21" ht="14.65" thickBot="1" x14ac:dyDescent="0.5">
      <c r="S911" s="37">
        <f t="shared" si="26"/>
        <v>751371.49171959818</v>
      </c>
      <c r="U911" s="26">
        <f t="shared" si="27"/>
        <v>751205.60171959817</v>
      </c>
    </row>
    <row r="912" spans="19:21" ht="14.65" thickBot="1" x14ac:dyDescent="0.5">
      <c r="S912" s="37">
        <f t="shared" si="26"/>
        <v>758885.20663679414</v>
      </c>
      <c r="U912" s="26">
        <f t="shared" si="27"/>
        <v>758719.31663679413</v>
      </c>
    </row>
    <row r="913" spans="19:21" ht="14.65" thickBot="1" x14ac:dyDescent="0.5">
      <c r="S913" s="37">
        <f t="shared" si="26"/>
        <v>766474.05870316213</v>
      </c>
      <c r="U913" s="26">
        <f t="shared" si="27"/>
        <v>766308.16870316211</v>
      </c>
    </row>
    <row r="914" spans="19:21" ht="14.65" thickBot="1" x14ac:dyDescent="0.5">
      <c r="S914" s="37">
        <f t="shared" si="26"/>
        <v>774138.79929019371</v>
      </c>
      <c r="U914" s="26">
        <f t="shared" si="27"/>
        <v>773972.9092901937</v>
      </c>
    </row>
    <row r="915" spans="19:21" ht="14.65" thickBot="1" x14ac:dyDescent="0.5">
      <c r="S915" s="37">
        <f t="shared" si="26"/>
        <v>781880.18728309567</v>
      </c>
      <c r="U915" s="26">
        <f t="shared" si="27"/>
        <v>781714.29728309566</v>
      </c>
    </row>
    <row r="916" spans="19:21" ht="14.65" thickBot="1" x14ac:dyDescent="0.5">
      <c r="S916" s="37">
        <f t="shared" si="26"/>
        <v>789698.98915592663</v>
      </c>
      <c r="U916" s="26">
        <f t="shared" si="27"/>
        <v>789533.09915592661</v>
      </c>
    </row>
    <row r="917" spans="19:21" ht="14.65" thickBot="1" x14ac:dyDescent="0.5">
      <c r="S917" s="37">
        <f t="shared" ref="S917:S980" si="28">S916*(1.01)</f>
        <v>797595.97904748586</v>
      </c>
      <c r="U917" s="26">
        <f t="shared" ref="U917:U980" si="29">IF(S917&lt;$D$8,$D$8-S917-$D$10,-$D$10)+IF(S917&lt;$D$7,-$D$9,S917-$D$7-$D$9)</f>
        <v>797430.08904748585</v>
      </c>
    </row>
    <row r="918" spans="19:21" ht="14.65" thickBot="1" x14ac:dyDescent="0.5">
      <c r="S918" s="37">
        <f t="shared" si="28"/>
        <v>805571.93883796071</v>
      </c>
      <c r="U918" s="26">
        <f t="shared" si="29"/>
        <v>805406.0488379607</v>
      </c>
    </row>
    <row r="919" spans="19:21" ht="14.65" thickBot="1" x14ac:dyDescent="0.5">
      <c r="S919" s="37">
        <f t="shared" si="28"/>
        <v>813627.65822634031</v>
      </c>
      <c r="U919" s="26">
        <f t="shared" si="29"/>
        <v>813461.7682263403</v>
      </c>
    </row>
    <row r="920" spans="19:21" ht="14.65" thickBot="1" x14ac:dyDescent="0.5">
      <c r="S920" s="37">
        <f t="shared" si="28"/>
        <v>821763.93480860372</v>
      </c>
      <c r="U920" s="26">
        <f t="shared" si="29"/>
        <v>821598.04480860371</v>
      </c>
    </row>
    <row r="921" spans="19:21" ht="14.65" thickBot="1" x14ac:dyDescent="0.5">
      <c r="S921" s="37">
        <f t="shared" si="28"/>
        <v>829981.57415668981</v>
      </c>
      <c r="U921" s="26">
        <f t="shared" si="29"/>
        <v>829815.68415668979</v>
      </c>
    </row>
    <row r="922" spans="19:21" ht="14.65" thickBot="1" x14ac:dyDescent="0.5">
      <c r="S922" s="37">
        <f t="shared" si="28"/>
        <v>838281.38989825675</v>
      </c>
      <c r="U922" s="26">
        <f t="shared" si="29"/>
        <v>838115.49989825673</v>
      </c>
    </row>
    <row r="923" spans="19:21" ht="14.65" thickBot="1" x14ac:dyDescent="0.5">
      <c r="S923" s="37">
        <f t="shared" si="28"/>
        <v>846664.20379723934</v>
      </c>
      <c r="U923" s="26">
        <f t="shared" si="29"/>
        <v>846498.31379723933</v>
      </c>
    </row>
    <row r="924" spans="19:21" ht="14.65" thickBot="1" x14ac:dyDescent="0.5">
      <c r="S924" s="37">
        <f t="shared" si="28"/>
        <v>855130.8458352118</v>
      </c>
      <c r="U924" s="26">
        <f t="shared" si="29"/>
        <v>854964.95583521179</v>
      </c>
    </row>
    <row r="925" spans="19:21" ht="14.65" thickBot="1" x14ac:dyDescent="0.5">
      <c r="S925" s="37">
        <f t="shared" si="28"/>
        <v>863682.15429356392</v>
      </c>
      <c r="U925" s="26">
        <f t="shared" si="29"/>
        <v>863516.2642935639</v>
      </c>
    </row>
    <row r="926" spans="19:21" ht="14.65" thickBot="1" x14ac:dyDescent="0.5">
      <c r="S926" s="37">
        <f t="shared" si="28"/>
        <v>872318.97583649959</v>
      </c>
      <c r="U926" s="26">
        <f t="shared" si="29"/>
        <v>872153.08583649958</v>
      </c>
    </row>
    <row r="927" spans="19:21" ht="14.65" thickBot="1" x14ac:dyDescent="0.5">
      <c r="S927" s="37">
        <f t="shared" si="28"/>
        <v>881042.16559486464</v>
      </c>
      <c r="U927" s="26">
        <f t="shared" si="29"/>
        <v>880876.27559486462</v>
      </c>
    </row>
    <row r="928" spans="19:21" ht="14.65" thickBot="1" x14ac:dyDescent="0.5">
      <c r="S928" s="37">
        <f t="shared" si="28"/>
        <v>889852.58725081326</v>
      </c>
      <c r="U928" s="26">
        <f t="shared" si="29"/>
        <v>889686.69725081325</v>
      </c>
    </row>
    <row r="929" spans="19:21" ht="14.65" thickBot="1" x14ac:dyDescent="0.5">
      <c r="S929" s="37">
        <f t="shared" si="28"/>
        <v>898751.11312332144</v>
      </c>
      <c r="U929" s="26">
        <f t="shared" si="29"/>
        <v>898585.22312332143</v>
      </c>
    </row>
    <row r="930" spans="19:21" ht="14.65" thickBot="1" x14ac:dyDescent="0.5">
      <c r="S930" s="37">
        <f t="shared" si="28"/>
        <v>907738.62425455463</v>
      </c>
      <c r="U930" s="26">
        <f t="shared" si="29"/>
        <v>907572.73425455461</v>
      </c>
    </row>
    <row r="931" spans="19:21" ht="14.65" thickBot="1" x14ac:dyDescent="0.5">
      <c r="S931" s="37">
        <f t="shared" si="28"/>
        <v>916816.01049710019</v>
      </c>
      <c r="U931" s="26">
        <f t="shared" si="29"/>
        <v>916650.12049710017</v>
      </c>
    </row>
    <row r="932" spans="19:21" ht="14.65" thickBot="1" x14ac:dyDescent="0.5">
      <c r="S932" s="37">
        <f t="shared" si="28"/>
        <v>925984.17060207122</v>
      </c>
      <c r="U932" s="26">
        <f t="shared" si="29"/>
        <v>925818.2806020712</v>
      </c>
    </row>
    <row r="933" spans="19:21" ht="14.65" thickBot="1" x14ac:dyDescent="0.5">
      <c r="S933" s="37">
        <f t="shared" si="28"/>
        <v>935244.01230809197</v>
      </c>
      <c r="U933" s="26">
        <f t="shared" si="29"/>
        <v>935078.12230809196</v>
      </c>
    </row>
    <row r="934" spans="19:21" ht="14.65" thickBot="1" x14ac:dyDescent="0.5">
      <c r="S934" s="37">
        <f t="shared" si="28"/>
        <v>944596.45243117295</v>
      </c>
      <c r="U934" s="26">
        <f t="shared" si="29"/>
        <v>944430.56243117293</v>
      </c>
    </row>
    <row r="935" spans="19:21" ht="14.65" thickBot="1" x14ac:dyDescent="0.5">
      <c r="S935" s="37">
        <f t="shared" si="28"/>
        <v>954042.41695548466</v>
      </c>
      <c r="U935" s="26">
        <f t="shared" si="29"/>
        <v>953876.52695548465</v>
      </c>
    </row>
    <row r="936" spans="19:21" ht="14.65" thickBot="1" x14ac:dyDescent="0.5">
      <c r="S936" s="37">
        <f t="shared" si="28"/>
        <v>963582.8411250395</v>
      </c>
      <c r="U936" s="26">
        <f t="shared" si="29"/>
        <v>963416.95112503949</v>
      </c>
    </row>
    <row r="937" spans="19:21" ht="14.65" thickBot="1" x14ac:dyDescent="0.5">
      <c r="S937" s="37">
        <f t="shared" si="28"/>
        <v>973218.66953628988</v>
      </c>
      <c r="U937" s="26">
        <f t="shared" si="29"/>
        <v>973052.77953628986</v>
      </c>
    </row>
    <row r="938" spans="19:21" ht="14.65" thickBot="1" x14ac:dyDescent="0.5">
      <c r="S938" s="37">
        <f t="shared" si="28"/>
        <v>982950.85623165278</v>
      </c>
      <c r="U938" s="26">
        <f t="shared" si="29"/>
        <v>982784.96623165277</v>
      </c>
    </row>
    <row r="939" spans="19:21" ht="14.65" thickBot="1" x14ac:dyDescent="0.5">
      <c r="S939" s="37">
        <f t="shared" si="28"/>
        <v>992780.36479396932</v>
      </c>
      <c r="U939" s="26">
        <f t="shared" si="29"/>
        <v>992614.4747939693</v>
      </c>
    </row>
    <row r="940" spans="19:21" ht="14.65" thickBot="1" x14ac:dyDescent="0.5">
      <c r="S940" s="37">
        <f t="shared" si="28"/>
        <v>1002708.168441909</v>
      </c>
      <c r="U940" s="26">
        <f t="shared" si="29"/>
        <v>1002542.278441909</v>
      </c>
    </row>
    <row r="941" spans="19:21" ht="14.65" thickBot="1" x14ac:dyDescent="0.5">
      <c r="S941" s="37">
        <f t="shared" si="28"/>
        <v>1012735.2501263281</v>
      </c>
      <c r="U941" s="26">
        <f t="shared" si="29"/>
        <v>1012569.3601263281</v>
      </c>
    </row>
    <row r="942" spans="19:21" ht="14.65" thickBot="1" x14ac:dyDescent="0.5">
      <c r="S942" s="37">
        <f t="shared" si="28"/>
        <v>1022862.6026275913</v>
      </c>
      <c r="U942" s="26">
        <f t="shared" si="29"/>
        <v>1022696.7126275913</v>
      </c>
    </row>
    <row r="943" spans="19:21" ht="14.65" thickBot="1" x14ac:dyDescent="0.5">
      <c r="S943" s="37">
        <f t="shared" si="28"/>
        <v>1033091.2286538673</v>
      </c>
      <c r="U943" s="26">
        <f t="shared" si="29"/>
        <v>1032925.3386538672</v>
      </c>
    </row>
    <row r="944" spans="19:21" ht="14.65" thickBot="1" x14ac:dyDescent="0.5">
      <c r="S944" s="37">
        <f t="shared" si="28"/>
        <v>1043422.1409404059</v>
      </c>
      <c r="U944" s="26">
        <f t="shared" si="29"/>
        <v>1043256.2509404059</v>
      </c>
    </row>
    <row r="945" spans="19:21" ht="14.65" thickBot="1" x14ac:dyDescent="0.5">
      <c r="S945" s="37">
        <f t="shared" si="28"/>
        <v>1053856.3623498101</v>
      </c>
      <c r="U945" s="26">
        <f t="shared" si="29"/>
        <v>1053690.4723498099</v>
      </c>
    </row>
    <row r="946" spans="19:21" ht="14.65" thickBot="1" x14ac:dyDescent="0.5">
      <c r="S946" s="37">
        <f t="shared" si="28"/>
        <v>1064394.9259733083</v>
      </c>
      <c r="U946" s="26">
        <f t="shared" si="29"/>
        <v>1064229.0359733081</v>
      </c>
    </row>
    <row r="947" spans="19:21" ht="14.65" thickBot="1" x14ac:dyDescent="0.5">
      <c r="S947" s="37">
        <f t="shared" si="28"/>
        <v>1075038.8752330414</v>
      </c>
      <c r="U947" s="26">
        <f t="shared" si="29"/>
        <v>1074872.9852330412</v>
      </c>
    </row>
    <row r="948" spans="19:21" ht="14.65" thickBot="1" x14ac:dyDescent="0.5">
      <c r="S948" s="37">
        <f t="shared" si="28"/>
        <v>1085789.2639853717</v>
      </c>
      <c r="U948" s="26">
        <f t="shared" si="29"/>
        <v>1085623.3739853716</v>
      </c>
    </row>
    <row r="949" spans="19:21" ht="14.65" thickBot="1" x14ac:dyDescent="0.5">
      <c r="S949" s="37">
        <f t="shared" si="28"/>
        <v>1096647.1566252254</v>
      </c>
      <c r="U949" s="26">
        <f t="shared" si="29"/>
        <v>1096481.2666252253</v>
      </c>
    </row>
    <row r="950" spans="19:21" ht="14.65" thickBot="1" x14ac:dyDescent="0.5">
      <c r="S950" s="37">
        <f t="shared" si="28"/>
        <v>1107613.6281914776</v>
      </c>
      <c r="U950" s="26">
        <f t="shared" si="29"/>
        <v>1107447.7381914775</v>
      </c>
    </row>
    <row r="951" spans="19:21" ht="14.65" thickBot="1" x14ac:dyDescent="0.5">
      <c r="S951" s="37">
        <f t="shared" si="28"/>
        <v>1118689.7644733924</v>
      </c>
      <c r="U951" s="26">
        <f t="shared" si="29"/>
        <v>1118523.8744733923</v>
      </c>
    </row>
    <row r="952" spans="19:21" ht="14.65" thickBot="1" x14ac:dyDescent="0.5">
      <c r="S952" s="37">
        <f t="shared" si="28"/>
        <v>1129876.6621181264</v>
      </c>
      <c r="U952" s="26">
        <f t="shared" si="29"/>
        <v>1129710.7721181263</v>
      </c>
    </row>
    <row r="953" spans="19:21" ht="14.65" thickBot="1" x14ac:dyDescent="0.5">
      <c r="S953" s="37">
        <f t="shared" si="28"/>
        <v>1141175.4287393077</v>
      </c>
      <c r="U953" s="26">
        <f t="shared" si="29"/>
        <v>1141009.5387393076</v>
      </c>
    </row>
    <row r="954" spans="19:21" ht="14.65" thickBot="1" x14ac:dyDescent="0.5">
      <c r="S954" s="37">
        <f t="shared" si="28"/>
        <v>1152587.1830267007</v>
      </c>
      <c r="U954" s="26">
        <f t="shared" si="29"/>
        <v>1152421.2930267006</v>
      </c>
    </row>
    <row r="955" spans="19:21" ht="14.65" thickBot="1" x14ac:dyDescent="0.5">
      <c r="S955" s="37">
        <f t="shared" si="28"/>
        <v>1164113.0548569679</v>
      </c>
      <c r="U955" s="26">
        <f t="shared" si="29"/>
        <v>1163947.1648569677</v>
      </c>
    </row>
    <row r="956" spans="19:21" ht="14.65" thickBot="1" x14ac:dyDescent="0.5">
      <c r="S956" s="37">
        <f t="shared" si="28"/>
        <v>1175754.1854055375</v>
      </c>
      <c r="U956" s="26">
        <f t="shared" si="29"/>
        <v>1175588.2954055374</v>
      </c>
    </row>
    <row r="957" spans="19:21" ht="14.65" thickBot="1" x14ac:dyDescent="0.5">
      <c r="S957" s="37">
        <f t="shared" si="28"/>
        <v>1187511.7272595929</v>
      </c>
      <c r="U957" s="26">
        <f t="shared" si="29"/>
        <v>1187345.8372595927</v>
      </c>
    </row>
    <row r="958" spans="19:21" ht="14.65" thickBot="1" x14ac:dyDescent="0.5">
      <c r="S958" s="37">
        <f t="shared" si="28"/>
        <v>1199386.8445321887</v>
      </c>
      <c r="U958" s="26">
        <f t="shared" si="29"/>
        <v>1199220.9545321886</v>
      </c>
    </row>
    <row r="959" spans="19:21" ht="14.65" thickBot="1" x14ac:dyDescent="0.5">
      <c r="S959" s="37">
        <f t="shared" si="28"/>
        <v>1211380.7129775106</v>
      </c>
      <c r="U959" s="26">
        <f t="shared" si="29"/>
        <v>1211214.8229775105</v>
      </c>
    </row>
    <row r="960" spans="19:21" ht="14.65" thickBot="1" x14ac:dyDescent="0.5">
      <c r="S960" s="37">
        <f t="shared" si="28"/>
        <v>1223494.5201072858</v>
      </c>
      <c r="U960" s="26">
        <f t="shared" si="29"/>
        <v>1223328.6301072857</v>
      </c>
    </row>
    <row r="961" spans="19:21" ht="14.65" thickBot="1" x14ac:dyDescent="0.5">
      <c r="S961" s="37">
        <f t="shared" si="28"/>
        <v>1235729.4653083587</v>
      </c>
      <c r="U961" s="26">
        <f t="shared" si="29"/>
        <v>1235563.5753083585</v>
      </c>
    </row>
    <row r="962" spans="19:21" ht="14.65" thickBot="1" x14ac:dyDescent="0.5">
      <c r="S962" s="37">
        <f t="shared" si="28"/>
        <v>1248086.7599614423</v>
      </c>
      <c r="U962" s="26">
        <f t="shared" si="29"/>
        <v>1247920.8699614422</v>
      </c>
    </row>
    <row r="963" spans="19:21" ht="14.65" thickBot="1" x14ac:dyDescent="0.5">
      <c r="S963" s="37">
        <f t="shared" si="28"/>
        <v>1260567.6275610568</v>
      </c>
      <c r="U963" s="26">
        <f t="shared" si="29"/>
        <v>1260401.7375610566</v>
      </c>
    </row>
    <row r="964" spans="19:21" ht="14.65" thickBot="1" x14ac:dyDescent="0.5">
      <c r="S964" s="37">
        <f t="shared" si="28"/>
        <v>1273173.3038366674</v>
      </c>
      <c r="U964" s="26">
        <f t="shared" si="29"/>
        <v>1273007.4138366673</v>
      </c>
    </row>
    <row r="965" spans="19:21" ht="14.65" thickBot="1" x14ac:dyDescent="0.5">
      <c r="S965" s="37">
        <f t="shared" si="28"/>
        <v>1285905.0368750342</v>
      </c>
      <c r="U965" s="26">
        <f t="shared" si="29"/>
        <v>1285739.1468750341</v>
      </c>
    </row>
    <row r="966" spans="19:21" ht="14.65" thickBot="1" x14ac:dyDescent="0.5">
      <c r="S966" s="37">
        <f t="shared" si="28"/>
        <v>1298764.0872437847</v>
      </c>
      <c r="U966" s="26">
        <f t="shared" si="29"/>
        <v>1298598.1972437846</v>
      </c>
    </row>
    <row r="967" spans="19:21" ht="14.65" thickBot="1" x14ac:dyDescent="0.5">
      <c r="S967" s="37">
        <f t="shared" si="28"/>
        <v>1311751.7281162227</v>
      </c>
      <c r="U967" s="26">
        <f t="shared" si="29"/>
        <v>1311585.8381162225</v>
      </c>
    </row>
    <row r="968" spans="19:21" ht="14.65" thickBot="1" x14ac:dyDescent="0.5">
      <c r="S968" s="37">
        <f t="shared" si="28"/>
        <v>1324869.245397385</v>
      </c>
      <c r="U968" s="26">
        <f t="shared" si="29"/>
        <v>1324703.3553973848</v>
      </c>
    </row>
    <row r="969" spans="19:21" ht="14.65" thickBot="1" x14ac:dyDescent="0.5">
      <c r="S969" s="37">
        <f t="shared" si="28"/>
        <v>1338117.9378513589</v>
      </c>
      <c r="U969" s="26">
        <f t="shared" si="29"/>
        <v>1337952.0478513588</v>
      </c>
    </row>
    <row r="970" spans="19:21" ht="14.65" thickBot="1" x14ac:dyDescent="0.5">
      <c r="S970" s="37">
        <f t="shared" si="28"/>
        <v>1351499.1172298726</v>
      </c>
      <c r="U970" s="26">
        <f t="shared" si="29"/>
        <v>1351333.2272298725</v>
      </c>
    </row>
    <row r="971" spans="19:21" ht="14.65" thickBot="1" x14ac:dyDescent="0.5">
      <c r="S971" s="37">
        <f t="shared" si="28"/>
        <v>1365014.1084021714</v>
      </c>
      <c r="U971" s="26">
        <f t="shared" si="29"/>
        <v>1364848.2184021713</v>
      </c>
    </row>
    <row r="972" spans="19:21" ht="14.65" thickBot="1" x14ac:dyDescent="0.5">
      <c r="S972" s="37">
        <f t="shared" si="28"/>
        <v>1378664.2494861931</v>
      </c>
      <c r="U972" s="26">
        <f t="shared" si="29"/>
        <v>1378498.3594861929</v>
      </c>
    </row>
    <row r="973" spans="19:21" ht="14.65" thickBot="1" x14ac:dyDescent="0.5">
      <c r="S973" s="37">
        <f t="shared" si="28"/>
        <v>1392450.891981055</v>
      </c>
      <c r="U973" s="26">
        <f t="shared" si="29"/>
        <v>1392285.0019810549</v>
      </c>
    </row>
    <row r="974" spans="19:21" ht="14.65" thickBot="1" x14ac:dyDescent="0.5">
      <c r="S974" s="37">
        <f t="shared" si="28"/>
        <v>1406375.4009008657</v>
      </c>
      <c r="U974" s="26">
        <f t="shared" si="29"/>
        <v>1406209.5109008655</v>
      </c>
    </row>
    <row r="975" spans="19:21" ht="14.65" thickBot="1" x14ac:dyDescent="0.5">
      <c r="S975" s="37">
        <f t="shared" si="28"/>
        <v>1420439.1549098743</v>
      </c>
      <c r="U975" s="26">
        <f t="shared" si="29"/>
        <v>1420273.2649098742</v>
      </c>
    </row>
    <row r="976" spans="19:21" ht="14.65" thickBot="1" x14ac:dyDescent="0.5">
      <c r="S976" s="37">
        <f t="shared" si="28"/>
        <v>1434643.5464589731</v>
      </c>
      <c r="U976" s="26">
        <f t="shared" si="29"/>
        <v>1434477.656458973</v>
      </c>
    </row>
    <row r="977" spans="19:21" ht="14.65" thickBot="1" x14ac:dyDescent="0.5">
      <c r="S977" s="37">
        <f t="shared" si="28"/>
        <v>1448989.9819235629</v>
      </c>
      <c r="U977" s="26">
        <f t="shared" si="29"/>
        <v>1448824.0919235628</v>
      </c>
    </row>
    <row r="978" spans="19:21" ht="14.65" thickBot="1" x14ac:dyDescent="0.5">
      <c r="S978" s="37">
        <f t="shared" si="28"/>
        <v>1463479.8817427985</v>
      </c>
      <c r="U978" s="26">
        <f t="shared" si="29"/>
        <v>1463313.9917427984</v>
      </c>
    </row>
    <row r="979" spans="19:21" ht="14.65" thickBot="1" x14ac:dyDescent="0.5">
      <c r="S979" s="37">
        <f t="shared" si="28"/>
        <v>1478114.6805602266</v>
      </c>
      <c r="U979" s="26">
        <f t="shared" si="29"/>
        <v>1477948.7905602264</v>
      </c>
    </row>
    <row r="980" spans="19:21" ht="14.65" thickBot="1" x14ac:dyDescent="0.5">
      <c r="S980" s="37">
        <f t="shared" si="28"/>
        <v>1492895.8273658289</v>
      </c>
      <c r="U980" s="26">
        <f t="shared" si="29"/>
        <v>1492729.9373658288</v>
      </c>
    </row>
    <row r="981" spans="19:21" ht="14.65" thickBot="1" x14ac:dyDescent="0.5">
      <c r="S981" s="37">
        <f t="shared" ref="S981:S1034" si="30">S980*(1.01)</f>
        <v>1507824.7856394872</v>
      </c>
      <c r="U981" s="26">
        <f t="shared" ref="U981:U1034" si="31">IF(S981&lt;$D$8,$D$8-S981-$D$10,-$D$10)+IF(S981&lt;$D$7,-$D$9,S981-$D$7-$D$9)</f>
        <v>1507658.8956394871</v>
      </c>
    </row>
    <row r="982" spans="19:21" ht="14.65" thickBot="1" x14ac:dyDescent="0.5">
      <c r="S982" s="37">
        <f t="shared" si="30"/>
        <v>1522903.0334958821</v>
      </c>
      <c r="U982" s="26">
        <f t="shared" si="31"/>
        <v>1522737.1434958819</v>
      </c>
    </row>
    <row r="983" spans="19:21" ht="14.65" thickBot="1" x14ac:dyDescent="0.5">
      <c r="S983" s="37">
        <f t="shared" si="30"/>
        <v>1538132.0638308409</v>
      </c>
      <c r="U983" s="26">
        <f t="shared" si="31"/>
        <v>1537966.1738308407</v>
      </c>
    </row>
    <row r="984" spans="19:21" ht="14.65" thickBot="1" x14ac:dyDescent="0.5">
      <c r="S984" s="37">
        <f t="shared" si="30"/>
        <v>1553513.3844691494</v>
      </c>
      <c r="U984" s="26">
        <f t="shared" si="31"/>
        <v>1553347.4944691493</v>
      </c>
    </row>
    <row r="985" spans="19:21" ht="14.65" thickBot="1" x14ac:dyDescent="0.5">
      <c r="S985" s="37">
        <f t="shared" si="30"/>
        <v>1569048.518313841</v>
      </c>
      <c r="U985" s="26">
        <f t="shared" si="31"/>
        <v>1568882.6283138408</v>
      </c>
    </row>
    <row r="986" spans="19:21" ht="14.65" thickBot="1" x14ac:dyDescent="0.5">
      <c r="S986" s="37">
        <f t="shared" si="30"/>
        <v>1584739.0034969794</v>
      </c>
      <c r="U986" s="26">
        <f t="shared" si="31"/>
        <v>1584573.1134969792</v>
      </c>
    </row>
    <row r="987" spans="19:21" ht="14.65" thickBot="1" x14ac:dyDescent="0.5">
      <c r="S987" s="37">
        <f t="shared" si="30"/>
        <v>1600586.3935319493</v>
      </c>
      <c r="U987" s="26">
        <f t="shared" si="31"/>
        <v>1600420.5035319491</v>
      </c>
    </row>
    <row r="988" spans="19:21" ht="14.65" thickBot="1" x14ac:dyDescent="0.5">
      <c r="S988" s="37">
        <f t="shared" si="30"/>
        <v>1616592.2574672687</v>
      </c>
      <c r="U988" s="26">
        <f t="shared" si="31"/>
        <v>1616426.3674672686</v>
      </c>
    </row>
    <row r="989" spans="19:21" ht="14.65" thickBot="1" x14ac:dyDescent="0.5">
      <c r="S989" s="37">
        <f t="shared" si="30"/>
        <v>1632758.1800419413</v>
      </c>
      <c r="U989" s="26">
        <f t="shared" si="31"/>
        <v>1632592.2900419412</v>
      </c>
    </row>
    <row r="990" spans="19:21" ht="14.65" thickBot="1" x14ac:dyDescent="0.5">
      <c r="S990" s="37">
        <f t="shared" si="30"/>
        <v>1649085.7618423607</v>
      </c>
      <c r="U990" s="26">
        <f t="shared" si="31"/>
        <v>1648919.8718423606</v>
      </c>
    </row>
    <row r="991" spans="19:21" ht="14.65" thickBot="1" x14ac:dyDescent="0.5">
      <c r="S991" s="37">
        <f t="shared" si="30"/>
        <v>1665576.6194607844</v>
      </c>
      <c r="U991" s="26">
        <f t="shared" si="31"/>
        <v>1665410.7294607842</v>
      </c>
    </row>
    <row r="992" spans="19:21" ht="14.65" thickBot="1" x14ac:dyDescent="0.5">
      <c r="S992" s="37">
        <f t="shared" si="30"/>
        <v>1682232.3856553922</v>
      </c>
      <c r="U992" s="26">
        <f t="shared" si="31"/>
        <v>1682066.4956553921</v>
      </c>
    </row>
    <row r="993" spans="19:21" ht="14.65" thickBot="1" x14ac:dyDescent="0.5">
      <c r="S993" s="37">
        <f t="shared" si="30"/>
        <v>1699054.7095119462</v>
      </c>
      <c r="U993" s="26">
        <f t="shared" si="31"/>
        <v>1698888.8195119461</v>
      </c>
    </row>
    <row r="994" spans="19:21" ht="14.65" thickBot="1" x14ac:dyDescent="0.5">
      <c r="S994" s="37">
        <f t="shared" si="30"/>
        <v>1716045.2566070657</v>
      </c>
      <c r="U994" s="26">
        <f t="shared" si="31"/>
        <v>1715879.3666070655</v>
      </c>
    </row>
    <row r="995" spans="19:21" ht="14.65" thickBot="1" x14ac:dyDescent="0.5">
      <c r="S995" s="37">
        <f t="shared" si="30"/>
        <v>1733205.7091731364</v>
      </c>
      <c r="U995" s="26">
        <f t="shared" si="31"/>
        <v>1733039.8191731363</v>
      </c>
    </row>
    <row r="996" spans="19:21" ht="14.65" thickBot="1" x14ac:dyDescent="0.5">
      <c r="S996" s="37">
        <f t="shared" si="30"/>
        <v>1750537.7662648677</v>
      </c>
      <c r="U996" s="26">
        <f t="shared" si="31"/>
        <v>1750371.8762648676</v>
      </c>
    </row>
    <row r="997" spans="19:21" ht="14.65" thickBot="1" x14ac:dyDescent="0.5">
      <c r="S997" s="37">
        <f t="shared" si="30"/>
        <v>1768043.1439275164</v>
      </c>
      <c r="U997" s="26">
        <f t="shared" si="31"/>
        <v>1767877.2539275163</v>
      </c>
    </row>
    <row r="998" spans="19:21" ht="14.65" thickBot="1" x14ac:dyDescent="0.5">
      <c r="S998" s="37">
        <f t="shared" si="30"/>
        <v>1785723.5753667916</v>
      </c>
      <c r="U998" s="26">
        <f t="shared" si="31"/>
        <v>1785557.6853667914</v>
      </c>
    </row>
    <row r="999" spans="19:21" ht="14.65" thickBot="1" x14ac:dyDescent="0.5">
      <c r="S999" s="37">
        <f t="shared" si="30"/>
        <v>1803580.8111204596</v>
      </c>
      <c r="U999" s="26">
        <f t="shared" si="31"/>
        <v>1803414.9211204594</v>
      </c>
    </row>
    <row r="1000" spans="19:21" ht="14.65" thickBot="1" x14ac:dyDescent="0.5">
      <c r="S1000" s="37">
        <f t="shared" si="30"/>
        <v>1821616.6192316641</v>
      </c>
      <c r="U1000" s="26">
        <f t="shared" si="31"/>
        <v>1821450.729231664</v>
      </c>
    </row>
    <row r="1001" spans="19:21" ht="14.65" thickBot="1" x14ac:dyDescent="0.5">
      <c r="S1001" s="37">
        <f t="shared" si="30"/>
        <v>1839832.7854239808</v>
      </c>
      <c r="U1001" s="26">
        <f t="shared" si="31"/>
        <v>1839666.8954239807</v>
      </c>
    </row>
    <row r="1002" spans="19:21" ht="14.65" thickBot="1" x14ac:dyDescent="0.5">
      <c r="S1002" s="37">
        <f t="shared" si="30"/>
        <v>1858231.1132782206</v>
      </c>
      <c r="U1002" s="26">
        <f t="shared" si="31"/>
        <v>1858065.2232782205</v>
      </c>
    </row>
    <row r="1003" spans="19:21" ht="14.65" thickBot="1" x14ac:dyDescent="0.5">
      <c r="S1003" s="37">
        <f t="shared" si="30"/>
        <v>1876813.4244110028</v>
      </c>
      <c r="U1003" s="26">
        <f t="shared" si="31"/>
        <v>1876647.5344110026</v>
      </c>
    </row>
    <row r="1004" spans="19:21" ht="14.65" thickBot="1" x14ac:dyDescent="0.5">
      <c r="S1004" s="37">
        <f t="shared" si="30"/>
        <v>1895581.5586551127</v>
      </c>
      <c r="U1004" s="26">
        <f t="shared" si="31"/>
        <v>1895415.6686551126</v>
      </c>
    </row>
    <row r="1005" spans="19:21" ht="14.65" thickBot="1" x14ac:dyDescent="0.5">
      <c r="S1005" s="37">
        <f t="shared" si="30"/>
        <v>1914537.3742416638</v>
      </c>
      <c r="U1005" s="26">
        <f t="shared" si="31"/>
        <v>1914371.4842416637</v>
      </c>
    </row>
    <row r="1006" spans="19:21" ht="14.65" thickBot="1" x14ac:dyDescent="0.5">
      <c r="S1006" s="37">
        <f t="shared" si="30"/>
        <v>1933682.7479840806</v>
      </c>
      <c r="U1006" s="26">
        <f t="shared" si="31"/>
        <v>1933516.8579840804</v>
      </c>
    </row>
    <row r="1007" spans="19:21" ht="14.65" thickBot="1" x14ac:dyDescent="0.5">
      <c r="S1007" s="37">
        <f t="shared" si="30"/>
        <v>1953019.5754639213</v>
      </c>
      <c r="U1007" s="26">
        <f t="shared" si="31"/>
        <v>1952853.6854639212</v>
      </c>
    </row>
    <row r="1008" spans="19:21" ht="14.65" thickBot="1" x14ac:dyDescent="0.5">
      <c r="S1008" s="37">
        <f t="shared" si="30"/>
        <v>1972549.7712185606</v>
      </c>
      <c r="U1008" s="26">
        <f t="shared" si="31"/>
        <v>1972383.8812185605</v>
      </c>
    </row>
    <row r="1009" spans="19:21" ht="14.65" thickBot="1" x14ac:dyDescent="0.5">
      <c r="S1009" s="37">
        <f t="shared" si="30"/>
        <v>1992275.2689307462</v>
      </c>
      <c r="U1009" s="26">
        <f t="shared" si="31"/>
        <v>1992109.3789307461</v>
      </c>
    </row>
    <row r="1010" spans="19:21" ht="14.65" thickBot="1" x14ac:dyDescent="0.5">
      <c r="S1010" s="37">
        <f t="shared" si="30"/>
        <v>2012198.0216200538</v>
      </c>
      <c r="U1010" s="26">
        <f t="shared" si="31"/>
        <v>2012032.1316200537</v>
      </c>
    </row>
    <row r="1011" spans="19:21" ht="14.65" thickBot="1" x14ac:dyDescent="0.5">
      <c r="S1011" s="37">
        <f t="shared" si="30"/>
        <v>2032320.0018362543</v>
      </c>
      <c r="U1011" s="26">
        <f t="shared" si="31"/>
        <v>2032154.1118362541</v>
      </c>
    </row>
    <row r="1012" spans="19:21" ht="14.65" thickBot="1" x14ac:dyDescent="0.5">
      <c r="S1012" s="37">
        <f t="shared" si="30"/>
        <v>2052643.2018546169</v>
      </c>
      <c r="U1012" s="26">
        <f t="shared" si="31"/>
        <v>2052477.3118546167</v>
      </c>
    </row>
    <row r="1013" spans="19:21" ht="14.65" thickBot="1" x14ac:dyDescent="0.5">
      <c r="S1013" s="37">
        <f t="shared" si="30"/>
        <v>2073169.633873163</v>
      </c>
      <c r="U1013" s="26">
        <f t="shared" si="31"/>
        <v>2073003.7438731629</v>
      </c>
    </row>
    <row r="1014" spans="19:21" ht="14.65" thickBot="1" x14ac:dyDescent="0.5">
      <c r="S1014" s="37">
        <f t="shared" si="30"/>
        <v>2093901.3302118946</v>
      </c>
      <c r="U1014" s="26">
        <f t="shared" si="31"/>
        <v>2093735.4402118945</v>
      </c>
    </row>
    <row r="1015" spans="19:21" ht="14.65" thickBot="1" x14ac:dyDescent="0.5">
      <c r="S1015" s="37">
        <f t="shared" si="30"/>
        <v>2114840.3435140136</v>
      </c>
      <c r="U1015" s="26">
        <f t="shared" si="31"/>
        <v>2114674.4535140134</v>
      </c>
    </row>
    <row r="1016" spans="19:21" ht="14.65" thickBot="1" x14ac:dyDescent="0.5">
      <c r="S1016" s="37">
        <f t="shared" si="30"/>
        <v>2135988.746949154</v>
      </c>
      <c r="U1016" s="26">
        <f t="shared" si="31"/>
        <v>2135822.8569491538</v>
      </c>
    </row>
    <row r="1017" spans="19:21" ht="14.65" thickBot="1" x14ac:dyDescent="0.5">
      <c r="S1017" s="37">
        <f t="shared" si="30"/>
        <v>2157348.6344186454</v>
      </c>
      <c r="U1017" s="26">
        <f t="shared" si="31"/>
        <v>2157182.7444186453</v>
      </c>
    </row>
    <row r="1018" spans="19:21" ht="14.65" thickBot="1" x14ac:dyDescent="0.5">
      <c r="S1018" s="37">
        <f t="shared" si="30"/>
        <v>2178922.120762832</v>
      </c>
      <c r="U1018" s="26">
        <f t="shared" si="31"/>
        <v>2178756.2307628319</v>
      </c>
    </row>
    <row r="1019" spans="19:21" ht="14.65" thickBot="1" x14ac:dyDescent="0.5">
      <c r="S1019" s="37">
        <f t="shared" si="30"/>
        <v>2200711.3419704605</v>
      </c>
      <c r="U1019" s="26">
        <f t="shared" si="31"/>
        <v>2200545.4519704604</v>
      </c>
    </row>
    <row r="1020" spans="19:21" ht="14.65" thickBot="1" x14ac:dyDescent="0.5">
      <c r="S1020" s="37">
        <f t="shared" si="30"/>
        <v>2222718.4553901651</v>
      </c>
      <c r="U1020" s="26">
        <f t="shared" si="31"/>
        <v>2222552.565390165</v>
      </c>
    </row>
    <row r="1021" spans="19:21" ht="14.65" thickBot="1" x14ac:dyDescent="0.5">
      <c r="S1021" s="37">
        <f t="shared" si="30"/>
        <v>2244945.6399440668</v>
      </c>
      <c r="U1021" s="26">
        <f t="shared" si="31"/>
        <v>2244779.7499440666</v>
      </c>
    </row>
    <row r="1022" spans="19:21" ht="14.65" thickBot="1" x14ac:dyDescent="0.5">
      <c r="S1022" s="37">
        <f t="shared" si="30"/>
        <v>2267395.0963435075</v>
      </c>
      <c r="U1022" s="26">
        <f t="shared" si="31"/>
        <v>2267229.2063435074</v>
      </c>
    </row>
    <row r="1023" spans="19:21" ht="14.65" thickBot="1" x14ac:dyDescent="0.5">
      <c r="S1023" s="37">
        <f t="shared" si="30"/>
        <v>2290069.0473069428</v>
      </c>
      <c r="U1023" s="26">
        <f t="shared" si="31"/>
        <v>2289903.1573069426</v>
      </c>
    </row>
    <row r="1024" spans="19:21" ht="14.65" thickBot="1" x14ac:dyDescent="0.5">
      <c r="S1024" s="37">
        <f t="shared" si="30"/>
        <v>2312969.7377800122</v>
      </c>
      <c r="U1024" s="26">
        <f t="shared" si="31"/>
        <v>2312803.8477800121</v>
      </c>
    </row>
    <row r="1025" spans="19:21" ht="14.65" thickBot="1" x14ac:dyDescent="0.5">
      <c r="S1025" s="37">
        <f t="shared" si="30"/>
        <v>2336099.4351578122</v>
      </c>
      <c r="U1025" s="26">
        <f t="shared" si="31"/>
        <v>2335933.5451578121</v>
      </c>
    </row>
    <row r="1026" spans="19:21" ht="14.65" thickBot="1" x14ac:dyDescent="0.5">
      <c r="S1026" s="37">
        <f t="shared" si="30"/>
        <v>2359460.4295093901</v>
      </c>
      <c r="U1026" s="26">
        <f t="shared" si="31"/>
        <v>2359294.53950939</v>
      </c>
    </row>
    <row r="1027" spans="19:21" ht="14.65" thickBot="1" x14ac:dyDescent="0.5">
      <c r="S1027" s="37">
        <f t="shared" si="30"/>
        <v>2383055.0338044842</v>
      </c>
      <c r="U1027" s="26">
        <f t="shared" si="31"/>
        <v>2382889.143804484</v>
      </c>
    </row>
    <row r="1028" spans="19:21" ht="14.65" thickBot="1" x14ac:dyDescent="0.5">
      <c r="S1028" s="37">
        <f t="shared" si="30"/>
        <v>2406885.5841425289</v>
      </c>
      <c r="U1028" s="26">
        <f t="shared" si="31"/>
        <v>2406719.6941425288</v>
      </c>
    </row>
    <row r="1029" spans="19:21" ht="14.65" thickBot="1" x14ac:dyDescent="0.5">
      <c r="S1029" s="37">
        <f t="shared" si="30"/>
        <v>2430954.4399839542</v>
      </c>
      <c r="U1029" s="26">
        <f t="shared" si="31"/>
        <v>2430788.5499839541</v>
      </c>
    </row>
    <row r="1030" spans="19:21" ht="14.65" thickBot="1" x14ac:dyDescent="0.5">
      <c r="S1030" s="37">
        <f t="shared" si="30"/>
        <v>2455263.9843837935</v>
      </c>
      <c r="U1030" s="26">
        <f t="shared" si="31"/>
        <v>2455098.0943837934</v>
      </c>
    </row>
    <row r="1031" spans="19:21" ht="14.65" thickBot="1" x14ac:dyDescent="0.5">
      <c r="S1031" s="37">
        <f t="shared" si="30"/>
        <v>2479816.6242276314</v>
      </c>
      <c r="U1031" s="26">
        <f t="shared" si="31"/>
        <v>2479650.7342276312</v>
      </c>
    </row>
    <row r="1032" spans="19:21" ht="14.65" thickBot="1" x14ac:dyDescent="0.5">
      <c r="S1032" s="37">
        <f t="shared" si="30"/>
        <v>2504614.7904699077</v>
      </c>
      <c r="U1032" s="26">
        <f t="shared" si="31"/>
        <v>2504448.9004699076</v>
      </c>
    </row>
    <row r="1033" spans="19:21" ht="14.65" thickBot="1" x14ac:dyDescent="0.5">
      <c r="S1033" s="37">
        <f t="shared" si="30"/>
        <v>2529660.9383746069</v>
      </c>
      <c r="U1033" s="26">
        <f t="shared" si="31"/>
        <v>2529495.0483746068</v>
      </c>
    </row>
    <row r="1034" spans="19:21" ht="14.65" thickBot="1" x14ac:dyDescent="0.5">
      <c r="S1034" s="37">
        <f t="shared" si="30"/>
        <v>2554957.5477583529</v>
      </c>
      <c r="U1034" s="26">
        <f t="shared" si="31"/>
        <v>2554791.6577583528</v>
      </c>
    </row>
  </sheetData>
  <conditionalFormatting sqref="D14">
    <cfRule type="cellIs" dxfId="11" priority="3" operator="greaterThan">
      <formula>0</formula>
    </cfRule>
    <cfRule type="cellIs" dxfId="10" priority="4" operator="lessThan">
      <formula>0</formula>
    </cfRule>
  </conditionalFormatting>
  <conditionalFormatting sqref="U19:U1034">
    <cfRule type="cellIs" dxfId="9" priority="1" operator="greaterThan">
      <formula>0</formula>
    </cfRule>
    <cfRule type="cellIs" dxfId="8" priority="2" operator="lessThan">
      <formula>0</formula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8F991-C952-432D-94B1-943DDB627E59}">
  <dimension ref="A1:U1032"/>
  <sheetViews>
    <sheetView zoomScaleNormal="100" workbookViewId="0">
      <selection activeCell="S17" sqref="S17:S18"/>
    </sheetView>
  </sheetViews>
  <sheetFormatPr defaultColWidth="9.1328125" defaultRowHeight="14.25" x14ac:dyDescent="0.45"/>
  <cols>
    <col min="1" max="1" width="12.1328125" style="1" customWidth="1"/>
    <col min="2" max="2" width="1.59765625" style="1" customWidth="1"/>
    <col min="3" max="7" width="33.3984375" style="1" customWidth="1"/>
    <col min="8" max="8" width="42.3984375" style="1" customWidth="1"/>
    <col min="9" max="10" width="9.1328125" style="1"/>
    <col min="11" max="11" width="13.3984375" style="1" customWidth="1"/>
    <col min="12" max="12" width="20" style="1" customWidth="1"/>
    <col min="13" max="14" width="11.86328125" style="1" customWidth="1"/>
    <col min="15" max="16384" width="9.1328125" style="1"/>
  </cols>
  <sheetData>
    <row r="1" spans="1:19" ht="18" x14ac:dyDescent="0.55000000000000004">
      <c r="A1" s="28" t="s">
        <v>86</v>
      </c>
    </row>
    <row r="2" spans="1:19" x14ac:dyDescent="0.45">
      <c r="C2" s="20"/>
      <c r="E2" s="20" t="s">
        <v>90</v>
      </c>
    </row>
    <row r="3" spans="1:19" ht="14.65" thickBot="1" x14ac:dyDescent="0.5">
      <c r="E3" s="20" t="s">
        <v>104</v>
      </c>
    </row>
    <row r="4" spans="1:19" ht="30.75" customHeight="1" x14ac:dyDescent="0.45">
      <c r="C4" s="6" t="s">
        <v>30</v>
      </c>
      <c r="D4" s="7" t="s">
        <v>15</v>
      </c>
      <c r="E4" s="7" t="s">
        <v>31</v>
      </c>
      <c r="F4" s="7" t="s">
        <v>35</v>
      </c>
      <c r="G4" s="7" t="s">
        <v>34</v>
      </c>
      <c r="H4" s="8" t="s">
        <v>78</v>
      </c>
      <c r="J4" s="4"/>
    </row>
    <row r="5" spans="1:19" ht="30.75" customHeight="1" thickBot="1" x14ac:dyDescent="0.5">
      <c r="C5" s="11" t="s">
        <v>14</v>
      </c>
      <c r="D5" s="9" t="s">
        <v>32</v>
      </c>
      <c r="E5" s="9" t="s">
        <v>88</v>
      </c>
      <c r="F5" s="9" t="s">
        <v>37</v>
      </c>
      <c r="G5" s="9" t="s">
        <v>87</v>
      </c>
      <c r="H5" s="10" t="s">
        <v>89</v>
      </c>
      <c r="J5" s="4"/>
    </row>
    <row r="6" spans="1:19" ht="30.75" customHeight="1" thickBot="1" x14ac:dyDescent="0.5">
      <c r="E6" s="4">
        <f>D8-D7-D9</f>
        <v>-15</v>
      </c>
    </row>
    <row r="7" spans="1:19" ht="18" customHeight="1" x14ac:dyDescent="0.45">
      <c r="C7" s="6" t="s">
        <v>56</v>
      </c>
      <c r="D7" s="31">
        <v>100</v>
      </c>
      <c r="E7" s="4"/>
    </row>
    <row r="8" spans="1:19" x14ac:dyDescent="0.45">
      <c r="C8" s="29" t="s">
        <v>80</v>
      </c>
      <c r="D8" s="22">
        <v>90</v>
      </c>
    </row>
    <row r="9" spans="1:19" x14ac:dyDescent="0.45">
      <c r="C9" s="29" t="s">
        <v>66</v>
      </c>
      <c r="D9" s="22">
        <v>5</v>
      </c>
    </row>
    <row r="10" spans="1:19" x14ac:dyDescent="0.45">
      <c r="C10" s="29" t="s">
        <v>28</v>
      </c>
      <c r="D10" s="22">
        <v>60</v>
      </c>
    </row>
    <row r="11" spans="1:19" x14ac:dyDescent="0.45">
      <c r="C11" s="29" t="s">
        <v>27</v>
      </c>
      <c r="D11" s="24">
        <f>D7+D9</f>
        <v>105</v>
      </c>
    </row>
    <row r="12" spans="1:19" ht="14.65" thickBot="1" x14ac:dyDescent="0.5">
      <c r="C12" s="30" t="s">
        <v>29</v>
      </c>
      <c r="D12" s="26">
        <f>IF(D10&lt;D8,D8-D7-D9,D10-D7-D9)</f>
        <v>-15</v>
      </c>
    </row>
    <row r="16" spans="1:19" x14ac:dyDescent="0.45">
      <c r="S16" s="1" t="s">
        <v>25</v>
      </c>
    </row>
    <row r="17" spans="19:21" ht="14.65" thickBot="1" x14ac:dyDescent="0.5">
      <c r="S17" s="37">
        <f>ROUND((D7-(0.3*D7)),0)</f>
        <v>70</v>
      </c>
      <c r="U17" s="26">
        <f>IF(S17&lt;$D$8,$D$8-$D$7-$D$9,S17-$D$7-$D$9)</f>
        <v>-15</v>
      </c>
    </row>
    <row r="18" spans="19:21" ht="14.65" thickBot="1" x14ac:dyDescent="0.5">
      <c r="S18" s="37">
        <f>S17*(1.01)</f>
        <v>70.7</v>
      </c>
      <c r="U18" s="26">
        <f t="shared" ref="U18:U81" si="0">IF(S18&lt;$D$8,$D$8-$D$7-$D$9,S18-$D$7-$D$9)</f>
        <v>-15</v>
      </c>
    </row>
    <row r="19" spans="19:21" ht="14.65" thickBot="1" x14ac:dyDescent="0.5">
      <c r="S19" s="37">
        <f t="shared" ref="S19:S82" si="1">S18*(1.01)</f>
        <v>71.406999999999996</v>
      </c>
      <c r="U19" s="26">
        <f t="shared" si="0"/>
        <v>-15</v>
      </c>
    </row>
    <row r="20" spans="19:21" ht="14.65" thickBot="1" x14ac:dyDescent="0.5">
      <c r="S20" s="37">
        <f t="shared" si="1"/>
        <v>72.121070000000003</v>
      </c>
      <c r="U20" s="26">
        <f t="shared" si="0"/>
        <v>-15</v>
      </c>
    </row>
    <row r="21" spans="19:21" ht="14.65" thickBot="1" x14ac:dyDescent="0.5">
      <c r="S21" s="37">
        <f t="shared" si="1"/>
        <v>72.842280700000003</v>
      </c>
      <c r="U21" s="26">
        <f t="shared" si="0"/>
        <v>-15</v>
      </c>
    </row>
    <row r="22" spans="19:21" ht="14.65" thickBot="1" x14ac:dyDescent="0.5">
      <c r="S22" s="37">
        <f t="shared" si="1"/>
        <v>73.570703507000005</v>
      </c>
      <c r="U22" s="26">
        <f t="shared" si="0"/>
        <v>-15</v>
      </c>
    </row>
    <row r="23" spans="19:21" ht="14.65" thickBot="1" x14ac:dyDescent="0.5">
      <c r="S23" s="37">
        <f t="shared" si="1"/>
        <v>74.306410542070012</v>
      </c>
      <c r="U23" s="26">
        <f t="shared" si="0"/>
        <v>-15</v>
      </c>
    </row>
    <row r="24" spans="19:21" ht="14.65" thickBot="1" x14ac:dyDescent="0.5">
      <c r="S24" s="37">
        <f t="shared" si="1"/>
        <v>75.049474647490712</v>
      </c>
      <c r="U24" s="26">
        <f t="shared" si="0"/>
        <v>-15</v>
      </c>
    </row>
    <row r="25" spans="19:21" ht="14.65" thickBot="1" x14ac:dyDescent="0.5">
      <c r="S25" s="37">
        <f>S24*(1.01)</f>
        <v>75.799969393965625</v>
      </c>
      <c r="U25" s="26">
        <f t="shared" si="0"/>
        <v>-15</v>
      </c>
    </row>
    <row r="26" spans="19:21" ht="14.65" thickBot="1" x14ac:dyDescent="0.5">
      <c r="S26" s="37">
        <f t="shared" si="1"/>
        <v>76.557969087905278</v>
      </c>
      <c r="U26" s="26">
        <f t="shared" si="0"/>
        <v>-15</v>
      </c>
    </row>
    <row r="27" spans="19:21" ht="14.65" thickBot="1" x14ac:dyDescent="0.5">
      <c r="S27" s="37">
        <f t="shared" si="1"/>
        <v>77.323548778784328</v>
      </c>
      <c r="U27" s="26">
        <f t="shared" si="0"/>
        <v>-15</v>
      </c>
    </row>
    <row r="28" spans="19:21" ht="14.65" thickBot="1" x14ac:dyDescent="0.5">
      <c r="S28" s="37">
        <f t="shared" si="1"/>
        <v>78.096784266572172</v>
      </c>
      <c r="U28" s="26">
        <f t="shared" si="0"/>
        <v>-15</v>
      </c>
    </row>
    <row r="29" spans="19:21" ht="14.65" thickBot="1" x14ac:dyDescent="0.5">
      <c r="S29" s="37">
        <f t="shared" si="1"/>
        <v>78.877752109237889</v>
      </c>
      <c r="U29" s="26">
        <f t="shared" si="0"/>
        <v>-15</v>
      </c>
    </row>
    <row r="30" spans="19:21" ht="14.65" thickBot="1" x14ac:dyDescent="0.5">
      <c r="S30" s="37">
        <f t="shared" si="1"/>
        <v>79.666529630330274</v>
      </c>
      <c r="U30" s="26">
        <f t="shared" si="0"/>
        <v>-15</v>
      </c>
    </row>
    <row r="31" spans="19:21" ht="14.65" thickBot="1" x14ac:dyDescent="0.5">
      <c r="S31" s="37">
        <f>S30*(1.01)</f>
        <v>80.463194926633577</v>
      </c>
      <c r="U31" s="26">
        <f t="shared" si="0"/>
        <v>-15</v>
      </c>
    </row>
    <row r="32" spans="19:21" ht="14.65" thickBot="1" x14ac:dyDescent="0.5">
      <c r="S32" s="37">
        <f t="shared" si="1"/>
        <v>81.267826875899914</v>
      </c>
      <c r="U32" s="26">
        <f t="shared" si="0"/>
        <v>-15</v>
      </c>
    </row>
    <row r="33" spans="19:21" ht="14.65" thickBot="1" x14ac:dyDescent="0.5">
      <c r="S33" s="37">
        <f t="shared" si="1"/>
        <v>82.080505144658915</v>
      </c>
      <c r="U33" s="26">
        <f t="shared" si="0"/>
        <v>-15</v>
      </c>
    </row>
    <row r="34" spans="19:21" ht="14.65" thickBot="1" x14ac:dyDescent="0.5">
      <c r="S34" s="37">
        <f t="shared" si="1"/>
        <v>82.901310196105499</v>
      </c>
      <c r="U34" s="26">
        <f t="shared" si="0"/>
        <v>-15</v>
      </c>
    </row>
    <row r="35" spans="19:21" ht="14.65" thickBot="1" x14ac:dyDescent="0.5">
      <c r="S35" s="37">
        <f t="shared" si="1"/>
        <v>83.730323298066551</v>
      </c>
      <c r="U35" s="26">
        <f t="shared" si="0"/>
        <v>-15</v>
      </c>
    </row>
    <row r="36" spans="19:21" ht="14.65" thickBot="1" x14ac:dyDescent="0.5">
      <c r="S36" s="37">
        <f t="shared" si="1"/>
        <v>84.567626531047225</v>
      </c>
      <c r="U36" s="26">
        <f t="shared" si="0"/>
        <v>-15</v>
      </c>
    </row>
    <row r="37" spans="19:21" ht="14.65" thickBot="1" x14ac:dyDescent="0.5">
      <c r="S37" s="37">
        <f t="shared" si="1"/>
        <v>85.413302796357698</v>
      </c>
      <c r="U37" s="26">
        <f t="shared" si="0"/>
        <v>-15</v>
      </c>
    </row>
    <row r="38" spans="19:21" ht="14.65" thickBot="1" x14ac:dyDescent="0.5">
      <c r="S38" s="37">
        <f t="shared" si="1"/>
        <v>86.267435824321282</v>
      </c>
      <c r="U38" s="26">
        <f t="shared" si="0"/>
        <v>-15</v>
      </c>
    </row>
    <row r="39" spans="19:21" ht="14.65" thickBot="1" x14ac:dyDescent="0.5">
      <c r="S39" s="37">
        <f t="shared" si="1"/>
        <v>87.130110182564493</v>
      </c>
      <c r="U39" s="26">
        <f t="shared" si="0"/>
        <v>-15</v>
      </c>
    </row>
    <row r="40" spans="19:21" ht="14.65" thickBot="1" x14ac:dyDescent="0.5">
      <c r="S40" s="37">
        <f t="shared" si="1"/>
        <v>88.001411284390144</v>
      </c>
      <c r="U40" s="26">
        <f t="shared" si="0"/>
        <v>-15</v>
      </c>
    </row>
    <row r="41" spans="19:21" ht="14.65" thickBot="1" x14ac:dyDescent="0.5">
      <c r="S41" s="37">
        <f t="shared" si="1"/>
        <v>88.88142539723404</v>
      </c>
      <c r="U41" s="26">
        <f t="shared" si="0"/>
        <v>-15</v>
      </c>
    </row>
    <row r="42" spans="19:21" ht="14.65" thickBot="1" x14ac:dyDescent="0.5">
      <c r="S42" s="37">
        <f t="shared" si="1"/>
        <v>89.770239651206381</v>
      </c>
      <c r="U42" s="26">
        <f t="shared" si="0"/>
        <v>-15</v>
      </c>
    </row>
    <row r="43" spans="19:21" ht="14.65" thickBot="1" x14ac:dyDescent="0.5">
      <c r="S43" s="37">
        <f t="shared" si="1"/>
        <v>90.667942047718441</v>
      </c>
      <c r="U43" s="26">
        <f>IF(S43&lt;$D$8,$D$8-$D$7-$D$9,S43-$D$7-$D$9)</f>
        <v>-14.332057952281559</v>
      </c>
    </row>
    <row r="44" spans="19:21" ht="14.65" thickBot="1" x14ac:dyDescent="0.5">
      <c r="S44" s="37">
        <f t="shared" si="1"/>
        <v>91.57462146819563</v>
      </c>
      <c r="U44" s="26">
        <f t="shared" si="0"/>
        <v>-13.42537853180437</v>
      </c>
    </row>
    <row r="45" spans="19:21" ht="14.65" thickBot="1" x14ac:dyDescent="0.5">
      <c r="S45" s="37">
        <f t="shared" si="1"/>
        <v>92.49036768287759</v>
      </c>
      <c r="U45" s="26">
        <f t="shared" si="0"/>
        <v>-12.50963231712241</v>
      </c>
    </row>
    <row r="46" spans="19:21" ht="14.65" thickBot="1" x14ac:dyDescent="0.5">
      <c r="S46" s="37">
        <f t="shared" si="1"/>
        <v>93.415271359706367</v>
      </c>
      <c r="U46" s="26">
        <f t="shared" si="0"/>
        <v>-11.584728640293633</v>
      </c>
    </row>
    <row r="47" spans="19:21" ht="14.65" thickBot="1" x14ac:dyDescent="0.5">
      <c r="S47" s="37">
        <f t="shared" si="1"/>
        <v>94.349424073303425</v>
      </c>
      <c r="U47" s="26">
        <f t="shared" si="0"/>
        <v>-10.650575926696575</v>
      </c>
    </row>
    <row r="48" spans="19:21" ht="14.65" thickBot="1" x14ac:dyDescent="0.5">
      <c r="S48" s="37">
        <f t="shared" si="1"/>
        <v>95.292918314036456</v>
      </c>
      <c r="U48" s="26">
        <f t="shared" si="0"/>
        <v>-9.7070816859635443</v>
      </c>
    </row>
    <row r="49" spans="19:21" ht="14.65" thickBot="1" x14ac:dyDescent="0.5">
      <c r="S49" s="37">
        <f t="shared" si="1"/>
        <v>96.245847497176825</v>
      </c>
      <c r="U49" s="26">
        <f t="shared" si="0"/>
        <v>-8.7541525028231746</v>
      </c>
    </row>
    <row r="50" spans="19:21" ht="14.65" thickBot="1" x14ac:dyDescent="0.5">
      <c r="S50" s="37">
        <f t="shared" si="1"/>
        <v>97.208305972148594</v>
      </c>
      <c r="U50" s="26">
        <f t="shared" si="0"/>
        <v>-7.7916940278514062</v>
      </c>
    </row>
    <row r="51" spans="19:21" ht="14.65" thickBot="1" x14ac:dyDescent="0.5">
      <c r="S51" s="37">
        <f t="shared" si="1"/>
        <v>98.180389031870078</v>
      </c>
      <c r="U51" s="26">
        <f t="shared" si="0"/>
        <v>-6.819610968129922</v>
      </c>
    </row>
    <row r="52" spans="19:21" ht="14.65" thickBot="1" x14ac:dyDescent="0.5">
      <c r="S52" s="37">
        <f t="shared" si="1"/>
        <v>99.16219292218878</v>
      </c>
      <c r="U52" s="26">
        <f t="shared" si="0"/>
        <v>-5.8378070778112203</v>
      </c>
    </row>
    <row r="53" spans="19:21" ht="14.65" thickBot="1" x14ac:dyDescent="0.5">
      <c r="S53" s="37">
        <f t="shared" si="1"/>
        <v>100.15381485141067</v>
      </c>
      <c r="U53" s="26">
        <f t="shared" si="0"/>
        <v>-4.8461851485893277</v>
      </c>
    </row>
    <row r="54" spans="19:21" ht="14.65" thickBot="1" x14ac:dyDescent="0.5">
      <c r="S54" s="37">
        <f t="shared" si="1"/>
        <v>101.15535299992477</v>
      </c>
      <c r="U54" s="26">
        <f t="shared" si="0"/>
        <v>-3.8446470000752271</v>
      </c>
    </row>
    <row r="55" spans="19:21" ht="14.65" thickBot="1" x14ac:dyDescent="0.5">
      <c r="S55" s="37">
        <f t="shared" si="1"/>
        <v>102.16690652992402</v>
      </c>
      <c r="U55" s="26">
        <f t="shared" si="0"/>
        <v>-2.8330934700759798</v>
      </c>
    </row>
    <row r="56" spans="19:21" ht="14.65" thickBot="1" x14ac:dyDescent="0.5">
      <c r="S56" s="37">
        <f t="shared" si="1"/>
        <v>103.18857559522326</v>
      </c>
      <c r="U56" s="26">
        <f t="shared" si="0"/>
        <v>-1.8114244047767443</v>
      </c>
    </row>
    <row r="57" spans="19:21" ht="14.65" thickBot="1" x14ac:dyDescent="0.5">
      <c r="S57" s="37">
        <f t="shared" si="1"/>
        <v>104.22046135117549</v>
      </c>
      <c r="U57" s="26">
        <f t="shared" si="0"/>
        <v>-0.77953864882451285</v>
      </c>
    </row>
    <row r="58" spans="19:21" ht="14.65" thickBot="1" x14ac:dyDescent="0.5">
      <c r="S58" s="37">
        <f t="shared" si="1"/>
        <v>105.26266596468724</v>
      </c>
      <c r="U58" s="26">
        <f t="shared" si="0"/>
        <v>0.26266596468724401</v>
      </c>
    </row>
    <row r="59" spans="19:21" ht="14.65" thickBot="1" x14ac:dyDescent="0.5">
      <c r="S59" s="37">
        <f t="shared" si="1"/>
        <v>106.31529262433412</v>
      </c>
      <c r="U59" s="26">
        <f t="shared" si="0"/>
        <v>1.3152926243341199</v>
      </c>
    </row>
    <row r="60" spans="19:21" ht="14.65" thickBot="1" x14ac:dyDescent="0.5">
      <c r="S60" s="37">
        <f t="shared" si="1"/>
        <v>107.37844555057747</v>
      </c>
      <c r="U60" s="26">
        <f t="shared" si="0"/>
        <v>2.3784455505774673</v>
      </c>
    </row>
    <row r="61" spans="19:21" ht="14.65" thickBot="1" x14ac:dyDescent="0.5">
      <c r="S61" s="37">
        <f t="shared" si="1"/>
        <v>108.45223000608324</v>
      </c>
      <c r="U61" s="26">
        <f t="shared" si="0"/>
        <v>3.4522300060832407</v>
      </c>
    </row>
    <row r="62" spans="19:21" ht="14.65" thickBot="1" x14ac:dyDescent="0.5">
      <c r="S62" s="37">
        <f t="shared" si="1"/>
        <v>109.53675230614408</v>
      </c>
      <c r="U62" s="26">
        <f t="shared" si="0"/>
        <v>4.5367523061440806</v>
      </c>
    </row>
    <row r="63" spans="19:21" ht="14.65" thickBot="1" x14ac:dyDescent="0.5">
      <c r="S63" s="37">
        <f t="shared" si="1"/>
        <v>110.63211982920552</v>
      </c>
      <c r="U63" s="26">
        <f t="shared" si="0"/>
        <v>5.6321198292055215</v>
      </c>
    </row>
    <row r="64" spans="19:21" ht="14.65" thickBot="1" x14ac:dyDescent="0.5">
      <c r="S64" s="37">
        <f t="shared" si="1"/>
        <v>111.73844102749757</v>
      </c>
      <c r="U64" s="26">
        <f t="shared" si="0"/>
        <v>6.7384410274975721</v>
      </c>
    </row>
    <row r="65" spans="19:21" ht="14.65" thickBot="1" x14ac:dyDescent="0.5">
      <c r="S65" s="37">
        <f t="shared" si="1"/>
        <v>112.85582543777255</v>
      </c>
      <c r="U65" s="26">
        <f t="shared" si="0"/>
        <v>7.8558254377725518</v>
      </c>
    </row>
    <row r="66" spans="19:21" ht="14.65" thickBot="1" x14ac:dyDescent="0.5">
      <c r="S66" s="37">
        <f t="shared" si="1"/>
        <v>113.98438369215027</v>
      </c>
      <c r="U66" s="26">
        <f t="shared" si="0"/>
        <v>8.9843836921502742</v>
      </c>
    </row>
    <row r="67" spans="19:21" ht="14.65" thickBot="1" x14ac:dyDescent="0.5">
      <c r="S67" s="37">
        <f t="shared" si="1"/>
        <v>115.12422752907177</v>
      </c>
      <c r="U67" s="26">
        <f t="shared" si="0"/>
        <v>10.124227529071774</v>
      </c>
    </row>
    <row r="68" spans="19:21" ht="14.65" thickBot="1" x14ac:dyDescent="0.5">
      <c r="S68" s="37">
        <f t="shared" si="1"/>
        <v>116.27546980436249</v>
      </c>
      <c r="U68" s="26">
        <f t="shared" si="0"/>
        <v>11.275469804362487</v>
      </c>
    </row>
    <row r="69" spans="19:21" ht="14.65" thickBot="1" x14ac:dyDescent="0.5">
      <c r="S69" s="37">
        <f t="shared" si="1"/>
        <v>117.43822450240611</v>
      </c>
      <c r="U69" s="26">
        <f t="shared" si="0"/>
        <v>12.438224502406115</v>
      </c>
    </row>
    <row r="70" spans="19:21" ht="14.65" thickBot="1" x14ac:dyDescent="0.5">
      <c r="S70" s="37">
        <f t="shared" si="1"/>
        <v>118.61260674743018</v>
      </c>
      <c r="U70" s="26">
        <f t="shared" si="0"/>
        <v>13.612606747430178</v>
      </c>
    </row>
    <row r="71" spans="19:21" ht="14.65" thickBot="1" x14ac:dyDescent="0.5">
      <c r="S71" s="37">
        <f t="shared" si="1"/>
        <v>119.79873281490448</v>
      </c>
      <c r="U71" s="26">
        <f t="shared" si="0"/>
        <v>14.798732814904483</v>
      </c>
    </row>
    <row r="72" spans="19:21" ht="14.65" thickBot="1" x14ac:dyDescent="0.5">
      <c r="S72" s="37">
        <f t="shared" si="1"/>
        <v>120.99672014305352</v>
      </c>
      <c r="U72" s="26">
        <f t="shared" si="0"/>
        <v>15.996720143053523</v>
      </c>
    </row>
    <row r="73" spans="19:21" ht="14.65" thickBot="1" x14ac:dyDescent="0.5">
      <c r="S73" s="37">
        <f t="shared" si="1"/>
        <v>122.20668734448405</v>
      </c>
      <c r="U73" s="26">
        <f t="shared" si="0"/>
        <v>17.206687344484052</v>
      </c>
    </row>
    <row r="74" spans="19:21" ht="14.65" thickBot="1" x14ac:dyDescent="0.5">
      <c r="S74" s="37">
        <f t="shared" si="1"/>
        <v>123.4287542179289</v>
      </c>
      <c r="U74" s="26">
        <f t="shared" si="0"/>
        <v>18.428754217928898</v>
      </c>
    </row>
    <row r="75" spans="19:21" ht="14.65" thickBot="1" x14ac:dyDescent="0.5">
      <c r="S75" s="37">
        <f t="shared" si="1"/>
        <v>124.66304176010819</v>
      </c>
      <c r="U75" s="26">
        <f t="shared" si="0"/>
        <v>19.663041760108186</v>
      </c>
    </row>
    <row r="76" spans="19:21" ht="14.65" thickBot="1" x14ac:dyDescent="0.5">
      <c r="S76" s="37">
        <f t="shared" si="1"/>
        <v>125.90967217770927</v>
      </c>
      <c r="U76" s="26">
        <f t="shared" si="0"/>
        <v>20.909672177709268</v>
      </c>
    </row>
    <row r="77" spans="19:21" ht="14.65" thickBot="1" x14ac:dyDescent="0.5">
      <c r="S77" s="37">
        <f t="shared" si="1"/>
        <v>127.16876889948637</v>
      </c>
      <c r="U77" s="26">
        <f t="shared" si="0"/>
        <v>22.168768899486366</v>
      </c>
    </row>
    <row r="78" spans="19:21" ht="14.65" thickBot="1" x14ac:dyDescent="0.5">
      <c r="S78" s="37">
        <f t="shared" si="1"/>
        <v>128.44045658848123</v>
      </c>
      <c r="U78" s="26">
        <f t="shared" si="0"/>
        <v>23.440456588481226</v>
      </c>
    </row>
    <row r="79" spans="19:21" ht="14.65" thickBot="1" x14ac:dyDescent="0.5">
      <c r="S79" s="37">
        <f t="shared" si="1"/>
        <v>129.72486115436604</v>
      </c>
      <c r="U79" s="26">
        <f t="shared" si="0"/>
        <v>24.724861154366039</v>
      </c>
    </row>
    <row r="80" spans="19:21" ht="14.65" thickBot="1" x14ac:dyDescent="0.5">
      <c r="S80" s="37">
        <f t="shared" si="1"/>
        <v>131.0221097659097</v>
      </c>
      <c r="U80" s="26">
        <f t="shared" si="0"/>
        <v>26.022109765909704</v>
      </c>
    </row>
    <row r="81" spans="19:21" ht="14.65" thickBot="1" x14ac:dyDescent="0.5">
      <c r="S81" s="37">
        <f t="shared" si="1"/>
        <v>132.33233086356881</v>
      </c>
      <c r="U81" s="26">
        <f t="shared" si="0"/>
        <v>27.332330863568814</v>
      </c>
    </row>
    <row r="82" spans="19:21" ht="14.65" thickBot="1" x14ac:dyDescent="0.5">
      <c r="S82" s="37">
        <f t="shared" si="1"/>
        <v>133.65565417220449</v>
      </c>
      <c r="U82" s="26">
        <f t="shared" ref="U82:U145" si="2">IF(S82&lt;$D$8,$D$8-$D$7-$D$9,S82-$D$7-$D$9)</f>
        <v>28.655654172204493</v>
      </c>
    </row>
    <row r="83" spans="19:21" ht="14.65" thickBot="1" x14ac:dyDescent="0.5">
      <c r="S83" s="37">
        <f t="shared" ref="S83:S146" si="3">S82*(1.01)</f>
        <v>134.99221071392654</v>
      </c>
      <c r="U83" s="26">
        <f t="shared" si="2"/>
        <v>29.992210713926539</v>
      </c>
    </row>
    <row r="84" spans="19:21" ht="14.65" thickBot="1" x14ac:dyDescent="0.5">
      <c r="S84" s="37">
        <f t="shared" si="3"/>
        <v>136.3421328210658</v>
      </c>
      <c r="U84" s="26">
        <f t="shared" si="2"/>
        <v>31.342132821065803</v>
      </c>
    </row>
    <row r="85" spans="19:21" ht="14.65" thickBot="1" x14ac:dyDescent="0.5">
      <c r="S85" s="37">
        <f t="shared" si="3"/>
        <v>137.70555414927645</v>
      </c>
      <c r="U85" s="26">
        <f t="shared" si="2"/>
        <v>32.705554149276452</v>
      </c>
    </row>
    <row r="86" spans="19:21" ht="14.65" thickBot="1" x14ac:dyDescent="0.5">
      <c r="S86" s="37">
        <f t="shared" si="3"/>
        <v>139.08260969076923</v>
      </c>
      <c r="U86" s="26">
        <f t="shared" si="2"/>
        <v>34.082609690769232</v>
      </c>
    </row>
    <row r="87" spans="19:21" ht="14.65" thickBot="1" x14ac:dyDescent="0.5">
      <c r="S87" s="37">
        <f t="shared" si="3"/>
        <v>140.47343578767692</v>
      </c>
      <c r="U87" s="26">
        <f t="shared" si="2"/>
        <v>35.47343578767692</v>
      </c>
    </row>
    <row r="88" spans="19:21" ht="14.65" thickBot="1" x14ac:dyDescent="0.5">
      <c r="S88" s="37">
        <f t="shared" si="3"/>
        <v>141.8781701455537</v>
      </c>
      <c r="U88" s="26">
        <f t="shared" si="2"/>
        <v>36.878170145553696</v>
      </c>
    </row>
    <row r="89" spans="19:21" ht="14.65" thickBot="1" x14ac:dyDescent="0.5">
      <c r="S89" s="37">
        <f t="shared" si="3"/>
        <v>143.29695184700924</v>
      </c>
      <c r="U89" s="26">
        <f t="shared" si="2"/>
        <v>38.29695184700924</v>
      </c>
    </row>
    <row r="90" spans="19:21" ht="14.65" thickBot="1" x14ac:dyDescent="0.5">
      <c r="S90" s="37">
        <f t="shared" si="3"/>
        <v>144.72992136547933</v>
      </c>
      <c r="U90" s="26">
        <f t="shared" si="2"/>
        <v>39.729921365479328</v>
      </c>
    </row>
    <row r="91" spans="19:21" ht="14.65" thickBot="1" x14ac:dyDescent="0.5">
      <c r="S91" s="37">
        <f t="shared" si="3"/>
        <v>146.17722057913412</v>
      </c>
      <c r="U91" s="26">
        <f t="shared" si="2"/>
        <v>41.177220579134115</v>
      </c>
    </row>
    <row r="92" spans="19:21" ht="14.65" thickBot="1" x14ac:dyDescent="0.5">
      <c r="S92" s="37">
        <f t="shared" si="3"/>
        <v>147.63899278492545</v>
      </c>
      <c r="U92" s="26">
        <f t="shared" si="2"/>
        <v>42.638992784925449</v>
      </c>
    </row>
    <row r="93" spans="19:21" ht="14.65" thickBot="1" x14ac:dyDescent="0.5">
      <c r="S93" s="37">
        <f t="shared" si="3"/>
        <v>149.1153827127747</v>
      </c>
      <c r="U93" s="26">
        <f t="shared" si="2"/>
        <v>44.115382712774704</v>
      </c>
    </row>
    <row r="94" spans="19:21" ht="14.65" thickBot="1" x14ac:dyDescent="0.5">
      <c r="S94" s="37">
        <f t="shared" si="3"/>
        <v>150.60653653990246</v>
      </c>
      <c r="U94" s="26">
        <f t="shared" si="2"/>
        <v>45.606536539902464</v>
      </c>
    </row>
    <row r="95" spans="19:21" ht="14.65" thickBot="1" x14ac:dyDescent="0.5">
      <c r="S95" s="37">
        <f t="shared" si="3"/>
        <v>152.11260190530149</v>
      </c>
      <c r="U95" s="26">
        <f t="shared" si="2"/>
        <v>47.112601905301489</v>
      </c>
    </row>
    <row r="96" spans="19:21" ht="14.65" thickBot="1" x14ac:dyDescent="0.5">
      <c r="S96" s="37">
        <f t="shared" si="3"/>
        <v>153.6337279243545</v>
      </c>
      <c r="U96" s="26">
        <f t="shared" si="2"/>
        <v>48.633727924354503</v>
      </c>
    </row>
    <row r="97" spans="19:21" ht="14.65" thickBot="1" x14ac:dyDescent="0.5">
      <c r="S97" s="37">
        <f t="shared" si="3"/>
        <v>155.17006520359806</v>
      </c>
      <c r="U97" s="26">
        <f t="shared" si="2"/>
        <v>50.170065203598057</v>
      </c>
    </row>
    <row r="98" spans="19:21" ht="14.65" thickBot="1" x14ac:dyDescent="0.5">
      <c r="S98" s="37">
        <f t="shared" si="3"/>
        <v>156.72176585563403</v>
      </c>
      <c r="U98" s="26">
        <f t="shared" si="2"/>
        <v>51.721765855634033</v>
      </c>
    </row>
    <row r="99" spans="19:21" ht="14.65" thickBot="1" x14ac:dyDescent="0.5">
      <c r="S99" s="37">
        <f t="shared" si="3"/>
        <v>158.28898351419036</v>
      </c>
      <c r="U99" s="26">
        <f t="shared" si="2"/>
        <v>53.288983514190363</v>
      </c>
    </row>
    <row r="100" spans="19:21" ht="14.65" thickBot="1" x14ac:dyDescent="0.5">
      <c r="S100" s="37">
        <f t="shared" si="3"/>
        <v>159.87187334933228</v>
      </c>
      <c r="U100" s="26">
        <f t="shared" si="2"/>
        <v>54.871873349332276</v>
      </c>
    </row>
    <row r="101" spans="19:21" ht="14.65" thickBot="1" x14ac:dyDescent="0.5">
      <c r="S101" s="37">
        <f t="shared" si="3"/>
        <v>161.47059208282559</v>
      </c>
      <c r="U101" s="26">
        <f t="shared" si="2"/>
        <v>56.47059208282559</v>
      </c>
    </row>
    <row r="102" spans="19:21" ht="14.65" thickBot="1" x14ac:dyDescent="0.5">
      <c r="S102" s="37">
        <f t="shared" si="3"/>
        <v>163.08529800365386</v>
      </c>
      <c r="U102" s="26">
        <f t="shared" si="2"/>
        <v>58.085298003653861</v>
      </c>
    </row>
    <row r="103" spans="19:21" ht="14.65" thickBot="1" x14ac:dyDescent="0.5">
      <c r="S103" s="37">
        <f t="shared" si="3"/>
        <v>164.7161509836904</v>
      </c>
      <c r="U103" s="26">
        <f t="shared" si="2"/>
        <v>59.716150983690397</v>
      </c>
    </row>
    <row r="104" spans="19:21" ht="14.65" thickBot="1" x14ac:dyDescent="0.5">
      <c r="S104" s="37">
        <f t="shared" si="3"/>
        <v>166.3633124935273</v>
      </c>
      <c r="U104" s="26">
        <f t="shared" si="2"/>
        <v>61.363312493527303</v>
      </c>
    </row>
    <row r="105" spans="19:21" ht="14.65" thickBot="1" x14ac:dyDescent="0.5">
      <c r="S105" s="37">
        <f t="shared" si="3"/>
        <v>168.02694561846258</v>
      </c>
      <c r="U105" s="26">
        <f t="shared" si="2"/>
        <v>63.026945618462577</v>
      </c>
    </row>
    <row r="106" spans="19:21" ht="14.65" thickBot="1" x14ac:dyDescent="0.5">
      <c r="S106" s="37">
        <f t="shared" si="3"/>
        <v>169.70721507464719</v>
      </c>
      <c r="U106" s="26">
        <f t="shared" si="2"/>
        <v>64.707215074647195</v>
      </c>
    </row>
    <row r="107" spans="19:21" ht="14.65" thickBot="1" x14ac:dyDescent="0.5">
      <c r="S107" s="37">
        <f t="shared" si="3"/>
        <v>171.40428722539366</v>
      </c>
      <c r="U107" s="26">
        <f t="shared" si="2"/>
        <v>66.404287225393659</v>
      </c>
    </row>
    <row r="108" spans="19:21" ht="14.65" thickBot="1" x14ac:dyDescent="0.5">
      <c r="S108" s="37">
        <f t="shared" si="3"/>
        <v>173.1183300976476</v>
      </c>
      <c r="U108" s="26">
        <f t="shared" si="2"/>
        <v>68.1183300976476</v>
      </c>
    </row>
    <row r="109" spans="19:21" ht="14.65" thickBot="1" x14ac:dyDescent="0.5">
      <c r="S109" s="37">
        <f t="shared" si="3"/>
        <v>174.84951339862408</v>
      </c>
      <c r="U109" s="26">
        <f t="shared" si="2"/>
        <v>69.849513398624083</v>
      </c>
    </row>
    <row r="110" spans="19:21" ht="14.65" thickBot="1" x14ac:dyDescent="0.5">
      <c r="S110" s="37">
        <f t="shared" si="3"/>
        <v>176.59800853261032</v>
      </c>
      <c r="U110" s="26">
        <f t="shared" si="2"/>
        <v>71.598008532610322</v>
      </c>
    </row>
    <row r="111" spans="19:21" ht="14.65" thickBot="1" x14ac:dyDescent="0.5">
      <c r="S111" s="37">
        <f t="shared" si="3"/>
        <v>178.36398861793643</v>
      </c>
      <c r="U111" s="26">
        <f t="shared" si="2"/>
        <v>73.363988617936428</v>
      </c>
    </row>
    <row r="112" spans="19:21" ht="14.65" thickBot="1" x14ac:dyDescent="0.5">
      <c r="S112" s="37">
        <f t="shared" si="3"/>
        <v>180.1476285041158</v>
      </c>
      <c r="U112" s="26">
        <f t="shared" si="2"/>
        <v>75.147628504115801</v>
      </c>
    </row>
    <row r="113" spans="19:21" ht="14.65" thickBot="1" x14ac:dyDescent="0.5">
      <c r="S113" s="37">
        <f t="shared" si="3"/>
        <v>181.94910478915696</v>
      </c>
      <c r="U113" s="26">
        <f t="shared" si="2"/>
        <v>76.949104789156962</v>
      </c>
    </row>
    <row r="114" spans="19:21" ht="14.65" thickBot="1" x14ac:dyDescent="0.5">
      <c r="S114" s="37">
        <f t="shared" si="3"/>
        <v>183.76859583704854</v>
      </c>
      <c r="U114" s="26">
        <f t="shared" si="2"/>
        <v>78.768595837048537</v>
      </c>
    </row>
    <row r="115" spans="19:21" ht="14.65" thickBot="1" x14ac:dyDescent="0.5">
      <c r="S115" s="37">
        <f t="shared" si="3"/>
        <v>185.60628179541902</v>
      </c>
      <c r="U115" s="26">
        <f t="shared" si="2"/>
        <v>80.606281795419022</v>
      </c>
    </row>
    <row r="116" spans="19:21" ht="14.65" thickBot="1" x14ac:dyDescent="0.5">
      <c r="S116" s="37">
        <f t="shared" si="3"/>
        <v>187.4623446133732</v>
      </c>
      <c r="U116" s="26">
        <f t="shared" si="2"/>
        <v>82.462344613373205</v>
      </c>
    </row>
    <row r="117" spans="19:21" ht="14.65" thickBot="1" x14ac:dyDescent="0.5">
      <c r="S117" s="37">
        <f t="shared" si="3"/>
        <v>189.33696805950694</v>
      </c>
      <c r="U117" s="26">
        <f t="shared" si="2"/>
        <v>84.336968059506944</v>
      </c>
    </row>
    <row r="118" spans="19:21" ht="14.65" thickBot="1" x14ac:dyDescent="0.5">
      <c r="S118" s="37">
        <f t="shared" si="3"/>
        <v>191.23033774010202</v>
      </c>
      <c r="U118" s="26">
        <f t="shared" si="2"/>
        <v>86.230337740102016</v>
      </c>
    </row>
    <row r="119" spans="19:21" ht="14.65" thickBot="1" x14ac:dyDescent="0.5">
      <c r="S119" s="37">
        <f t="shared" si="3"/>
        <v>193.14264111750305</v>
      </c>
      <c r="U119" s="26">
        <f t="shared" si="2"/>
        <v>88.142641117503047</v>
      </c>
    </row>
    <row r="120" spans="19:21" ht="14.65" thickBot="1" x14ac:dyDescent="0.5">
      <c r="S120" s="37">
        <f t="shared" si="3"/>
        <v>195.07406752867809</v>
      </c>
      <c r="U120" s="26">
        <f t="shared" si="2"/>
        <v>90.074067528678086</v>
      </c>
    </row>
    <row r="121" spans="19:21" ht="14.65" thickBot="1" x14ac:dyDescent="0.5">
      <c r="S121" s="37">
        <f t="shared" si="3"/>
        <v>197.02480820396488</v>
      </c>
      <c r="U121" s="26">
        <f t="shared" si="2"/>
        <v>92.024808203964881</v>
      </c>
    </row>
    <row r="122" spans="19:21" ht="14.65" thickBot="1" x14ac:dyDescent="0.5">
      <c r="S122" s="37">
        <f t="shared" si="3"/>
        <v>198.99505628600454</v>
      </c>
      <c r="U122" s="26">
        <f t="shared" si="2"/>
        <v>93.995056286004541</v>
      </c>
    </row>
    <row r="123" spans="19:21" ht="14.65" thickBot="1" x14ac:dyDescent="0.5">
      <c r="S123" s="37">
        <f t="shared" si="3"/>
        <v>200.9850068488646</v>
      </c>
      <c r="U123" s="26">
        <f t="shared" si="2"/>
        <v>95.9850068488646</v>
      </c>
    </row>
    <row r="124" spans="19:21" ht="14.65" thickBot="1" x14ac:dyDescent="0.5">
      <c r="S124" s="37">
        <f t="shared" si="3"/>
        <v>202.99485691735325</v>
      </c>
      <c r="U124" s="26">
        <f t="shared" si="2"/>
        <v>97.994856917353246</v>
      </c>
    </row>
    <row r="125" spans="19:21" ht="14.65" thickBot="1" x14ac:dyDescent="0.5">
      <c r="S125" s="37">
        <f t="shared" si="3"/>
        <v>205.02480548652679</v>
      </c>
      <c r="U125" s="26">
        <f t="shared" si="2"/>
        <v>100.02480548652679</v>
      </c>
    </row>
    <row r="126" spans="19:21" ht="14.65" thickBot="1" x14ac:dyDescent="0.5">
      <c r="S126" s="37">
        <f t="shared" si="3"/>
        <v>207.07505354139207</v>
      </c>
      <c r="U126" s="26">
        <f t="shared" si="2"/>
        <v>102.07505354139207</v>
      </c>
    </row>
    <row r="127" spans="19:21" ht="14.65" thickBot="1" x14ac:dyDescent="0.5">
      <c r="S127" s="37">
        <f t="shared" si="3"/>
        <v>209.145804076806</v>
      </c>
      <c r="U127" s="26">
        <f t="shared" si="2"/>
        <v>104.145804076806</v>
      </c>
    </row>
    <row r="128" spans="19:21" ht="14.65" thickBot="1" x14ac:dyDescent="0.5">
      <c r="S128" s="37">
        <f t="shared" si="3"/>
        <v>211.23726211757406</v>
      </c>
      <c r="U128" s="26">
        <f t="shared" si="2"/>
        <v>106.23726211757406</v>
      </c>
    </row>
    <row r="129" spans="19:21" ht="14.65" thickBot="1" x14ac:dyDescent="0.5">
      <c r="S129" s="37">
        <f t="shared" si="3"/>
        <v>213.34963473874981</v>
      </c>
      <c r="U129" s="26">
        <f t="shared" si="2"/>
        <v>108.34963473874981</v>
      </c>
    </row>
    <row r="130" spans="19:21" ht="14.65" thickBot="1" x14ac:dyDescent="0.5">
      <c r="S130" s="37">
        <f t="shared" si="3"/>
        <v>215.48313108613732</v>
      </c>
      <c r="U130" s="26">
        <f t="shared" si="2"/>
        <v>110.48313108613732</v>
      </c>
    </row>
    <row r="131" spans="19:21" ht="14.65" thickBot="1" x14ac:dyDescent="0.5">
      <c r="S131" s="37">
        <f t="shared" si="3"/>
        <v>217.63796239699869</v>
      </c>
      <c r="U131" s="26">
        <f t="shared" si="2"/>
        <v>112.63796239699869</v>
      </c>
    </row>
    <row r="132" spans="19:21" ht="14.65" thickBot="1" x14ac:dyDescent="0.5">
      <c r="S132" s="37">
        <f t="shared" si="3"/>
        <v>219.81434202096867</v>
      </c>
      <c r="U132" s="26">
        <f t="shared" si="2"/>
        <v>114.81434202096867</v>
      </c>
    </row>
    <row r="133" spans="19:21" ht="14.65" thickBot="1" x14ac:dyDescent="0.5">
      <c r="S133" s="37">
        <f t="shared" si="3"/>
        <v>222.01248544117834</v>
      </c>
      <c r="U133" s="26">
        <f t="shared" si="2"/>
        <v>117.01248544117834</v>
      </c>
    </row>
    <row r="134" spans="19:21" ht="14.65" thickBot="1" x14ac:dyDescent="0.5">
      <c r="S134" s="37">
        <f t="shared" si="3"/>
        <v>224.23261029559012</v>
      </c>
      <c r="U134" s="26">
        <f t="shared" si="2"/>
        <v>119.23261029559012</v>
      </c>
    </row>
    <row r="135" spans="19:21" ht="14.65" thickBot="1" x14ac:dyDescent="0.5">
      <c r="S135" s="37">
        <f t="shared" si="3"/>
        <v>226.47493639854602</v>
      </c>
      <c r="U135" s="26">
        <f t="shared" si="2"/>
        <v>121.47493639854602</v>
      </c>
    </row>
    <row r="136" spans="19:21" ht="14.65" thickBot="1" x14ac:dyDescent="0.5">
      <c r="S136" s="37">
        <f t="shared" si="3"/>
        <v>228.73968576253148</v>
      </c>
      <c r="U136" s="26">
        <f t="shared" si="2"/>
        <v>123.73968576253148</v>
      </c>
    </row>
    <row r="137" spans="19:21" ht="14.65" thickBot="1" x14ac:dyDescent="0.5">
      <c r="S137" s="37">
        <f t="shared" si="3"/>
        <v>231.02708262015679</v>
      </c>
      <c r="U137" s="26">
        <f t="shared" si="2"/>
        <v>126.02708262015679</v>
      </c>
    </row>
    <row r="138" spans="19:21" ht="14.65" thickBot="1" x14ac:dyDescent="0.5">
      <c r="S138" s="37">
        <f t="shared" si="3"/>
        <v>233.33735344635835</v>
      </c>
      <c r="U138" s="26">
        <f t="shared" si="2"/>
        <v>128.33735344635835</v>
      </c>
    </row>
    <row r="139" spans="19:21" ht="14.65" thickBot="1" x14ac:dyDescent="0.5">
      <c r="S139" s="37">
        <f t="shared" si="3"/>
        <v>235.67072698082194</v>
      </c>
      <c r="U139" s="26">
        <f t="shared" si="2"/>
        <v>130.67072698082194</v>
      </c>
    </row>
    <row r="140" spans="19:21" ht="14.65" thickBot="1" x14ac:dyDescent="0.5">
      <c r="S140" s="37">
        <f t="shared" si="3"/>
        <v>238.02743425063017</v>
      </c>
      <c r="U140" s="26">
        <f t="shared" si="2"/>
        <v>133.02743425063017</v>
      </c>
    </row>
    <row r="141" spans="19:21" ht="14.65" thickBot="1" x14ac:dyDescent="0.5">
      <c r="S141" s="37">
        <f t="shared" si="3"/>
        <v>240.40770859313648</v>
      </c>
      <c r="U141" s="26">
        <f t="shared" si="2"/>
        <v>135.40770859313648</v>
      </c>
    </row>
    <row r="142" spans="19:21" ht="14.65" thickBot="1" x14ac:dyDescent="0.5">
      <c r="S142" s="37">
        <f t="shared" si="3"/>
        <v>242.81178567906784</v>
      </c>
      <c r="U142" s="26">
        <f t="shared" si="2"/>
        <v>137.81178567906784</v>
      </c>
    </row>
    <row r="143" spans="19:21" ht="14.65" thickBot="1" x14ac:dyDescent="0.5">
      <c r="S143" s="37">
        <f t="shared" si="3"/>
        <v>245.23990353585853</v>
      </c>
      <c r="U143" s="26">
        <f t="shared" si="2"/>
        <v>140.23990353585853</v>
      </c>
    </row>
    <row r="144" spans="19:21" ht="14.65" thickBot="1" x14ac:dyDescent="0.5">
      <c r="S144" s="37">
        <f t="shared" si="3"/>
        <v>247.69230257121711</v>
      </c>
      <c r="U144" s="26">
        <f t="shared" si="2"/>
        <v>142.69230257121711</v>
      </c>
    </row>
    <row r="145" spans="19:21" ht="14.65" thickBot="1" x14ac:dyDescent="0.5">
      <c r="S145" s="37">
        <f t="shared" si="3"/>
        <v>250.16922559692929</v>
      </c>
      <c r="U145" s="26">
        <f t="shared" si="2"/>
        <v>145.16922559692929</v>
      </c>
    </row>
    <row r="146" spans="19:21" ht="14.65" thickBot="1" x14ac:dyDescent="0.5">
      <c r="S146" s="37">
        <f t="shared" si="3"/>
        <v>252.67091785289858</v>
      </c>
      <c r="U146" s="26">
        <f t="shared" ref="U146:U209" si="4">IF(S146&lt;$D$8,$D$8-$D$7-$D$9,S146-$D$7-$D$9)</f>
        <v>147.67091785289858</v>
      </c>
    </row>
    <row r="147" spans="19:21" ht="14.65" thickBot="1" x14ac:dyDescent="0.5">
      <c r="S147" s="37">
        <f t="shared" ref="S147:S210" si="5">S146*(1.01)</f>
        <v>255.19762703142757</v>
      </c>
      <c r="U147" s="26">
        <f t="shared" si="4"/>
        <v>150.19762703142757</v>
      </c>
    </row>
    <row r="148" spans="19:21" ht="14.65" thickBot="1" x14ac:dyDescent="0.5">
      <c r="S148" s="37">
        <f t="shared" si="5"/>
        <v>257.74960330174184</v>
      </c>
      <c r="U148" s="26">
        <f t="shared" si="4"/>
        <v>152.74960330174184</v>
      </c>
    </row>
    <row r="149" spans="19:21" ht="14.65" thickBot="1" x14ac:dyDescent="0.5">
      <c r="S149" s="37">
        <f t="shared" si="5"/>
        <v>260.32709933475928</v>
      </c>
      <c r="U149" s="26">
        <f t="shared" si="4"/>
        <v>155.32709933475928</v>
      </c>
    </row>
    <row r="150" spans="19:21" ht="14.65" thickBot="1" x14ac:dyDescent="0.5">
      <c r="S150" s="37">
        <f t="shared" si="5"/>
        <v>262.9303703281069</v>
      </c>
      <c r="U150" s="26">
        <f t="shared" si="4"/>
        <v>157.9303703281069</v>
      </c>
    </row>
    <row r="151" spans="19:21" ht="14.65" thickBot="1" x14ac:dyDescent="0.5">
      <c r="S151" s="37">
        <f t="shared" si="5"/>
        <v>265.559674031388</v>
      </c>
      <c r="U151" s="26">
        <f t="shared" si="4"/>
        <v>160.559674031388</v>
      </c>
    </row>
    <row r="152" spans="19:21" ht="14.65" thickBot="1" x14ac:dyDescent="0.5">
      <c r="S152" s="37">
        <f t="shared" si="5"/>
        <v>268.21527077170191</v>
      </c>
      <c r="U152" s="26">
        <f t="shared" si="4"/>
        <v>163.21527077170191</v>
      </c>
    </row>
    <row r="153" spans="19:21" ht="14.65" thickBot="1" x14ac:dyDescent="0.5">
      <c r="S153" s="37">
        <f t="shared" si="5"/>
        <v>270.89742347941893</v>
      </c>
      <c r="U153" s="26">
        <f t="shared" si="4"/>
        <v>165.89742347941893</v>
      </c>
    </row>
    <row r="154" spans="19:21" ht="14.65" thickBot="1" x14ac:dyDescent="0.5">
      <c r="S154" s="37">
        <f t="shared" si="5"/>
        <v>273.60639771421313</v>
      </c>
      <c r="U154" s="26">
        <f t="shared" si="4"/>
        <v>168.60639771421313</v>
      </c>
    </row>
    <row r="155" spans="19:21" ht="14.65" thickBot="1" x14ac:dyDescent="0.5">
      <c r="S155" s="37">
        <f t="shared" si="5"/>
        <v>276.34246169135525</v>
      </c>
      <c r="U155" s="26">
        <f t="shared" si="4"/>
        <v>171.34246169135525</v>
      </c>
    </row>
    <row r="156" spans="19:21" ht="14.65" thickBot="1" x14ac:dyDescent="0.5">
      <c r="S156" s="37">
        <f t="shared" si="5"/>
        <v>279.10588630826879</v>
      </c>
      <c r="U156" s="26">
        <f t="shared" si="4"/>
        <v>174.10588630826879</v>
      </c>
    </row>
    <row r="157" spans="19:21" ht="14.65" thickBot="1" x14ac:dyDescent="0.5">
      <c r="S157" s="37">
        <f t="shared" si="5"/>
        <v>281.89694517135149</v>
      </c>
      <c r="U157" s="26">
        <f t="shared" si="4"/>
        <v>176.89694517135149</v>
      </c>
    </row>
    <row r="158" spans="19:21" ht="14.65" thickBot="1" x14ac:dyDescent="0.5">
      <c r="S158" s="37">
        <f t="shared" si="5"/>
        <v>284.71591462306503</v>
      </c>
      <c r="U158" s="26">
        <f t="shared" si="4"/>
        <v>179.71591462306503</v>
      </c>
    </row>
    <row r="159" spans="19:21" ht="14.65" thickBot="1" x14ac:dyDescent="0.5">
      <c r="S159" s="37">
        <f t="shared" si="5"/>
        <v>287.56307376929567</v>
      </c>
      <c r="U159" s="26">
        <f t="shared" si="4"/>
        <v>182.56307376929567</v>
      </c>
    </row>
    <row r="160" spans="19:21" ht="14.65" thickBot="1" x14ac:dyDescent="0.5">
      <c r="S160" s="37">
        <f t="shared" si="5"/>
        <v>290.43870450698864</v>
      </c>
      <c r="U160" s="26">
        <f t="shared" si="4"/>
        <v>185.43870450698864</v>
      </c>
    </row>
    <row r="161" spans="19:21" ht="14.65" thickBot="1" x14ac:dyDescent="0.5">
      <c r="S161" s="37">
        <f t="shared" si="5"/>
        <v>293.34309155205852</v>
      </c>
      <c r="U161" s="26">
        <f t="shared" si="4"/>
        <v>188.34309155205852</v>
      </c>
    </row>
    <row r="162" spans="19:21" ht="14.65" thickBot="1" x14ac:dyDescent="0.5">
      <c r="S162" s="37">
        <f t="shared" si="5"/>
        <v>296.27652246757913</v>
      </c>
      <c r="U162" s="26">
        <f t="shared" si="4"/>
        <v>191.27652246757913</v>
      </c>
    </row>
    <row r="163" spans="19:21" ht="14.65" thickBot="1" x14ac:dyDescent="0.5">
      <c r="S163" s="37">
        <f t="shared" si="5"/>
        <v>299.23928769225495</v>
      </c>
      <c r="U163" s="26">
        <f t="shared" si="4"/>
        <v>194.23928769225495</v>
      </c>
    </row>
    <row r="164" spans="19:21" ht="14.65" thickBot="1" x14ac:dyDescent="0.5">
      <c r="S164" s="37">
        <f t="shared" si="5"/>
        <v>302.23168056917751</v>
      </c>
      <c r="U164" s="26">
        <f t="shared" si="4"/>
        <v>197.23168056917751</v>
      </c>
    </row>
    <row r="165" spans="19:21" ht="14.65" thickBot="1" x14ac:dyDescent="0.5">
      <c r="S165" s="37">
        <f t="shared" si="5"/>
        <v>305.2539973748693</v>
      </c>
      <c r="U165" s="26">
        <f t="shared" si="4"/>
        <v>200.2539973748693</v>
      </c>
    </row>
    <row r="166" spans="19:21" ht="14.65" thickBot="1" x14ac:dyDescent="0.5">
      <c r="S166" s="37">
        <f t="shared" si="5"/>
        <v>308.30653734861801</v>
      </c>
      <c r="U166" s="26">
        <f t="shared" si="4"/>
        <v>203.30653734861801</v>
      </c>
    </row>
    <row r="167" spans="19:21" ht="14.65" thickBot="1" x14ac:dyDescent="0.5">
      <c r="S167" s="37">
        <f t="shared" si="5"/>
        <v>311.3896027221042</v>
      </c>
      <c r="U167" s="26">
        <f t="shared" si="4"/>
        <v>206.3896027221042</v>
      </c>
    </row>
    <row r="168" spans="19:21" ht="14.65" thickBot="1" x14ac:dyDescent="0.5">
      <c r="S168" s="37">
        <f t="shared" si="5"/>
        <v>314.50349874932522</v>
      </c>
      <c r="U168" s="26">
        <f t="shared" si="4"/>
        <v>209.50349874932522</v>
      </c>
    </row>
    <row r="169" spans="19:21" ht="14.65" thickBot="1" x14ac:dyDescent="0.5">
      <c r="S169" s="37">
        <f t="shared" si="5"/>
        <v>317.64853373681848</v>
      </c>
      <c r="U169" s="26">
        <f t="shared" si="4"/>
        <v>212.64853373681848</v>
      </c>
    </row>
    <row r="170" spans="19:21" ht="14.65" thickBot="1" x14ac:dyDescent="0.5">
      <c r="S170" s="37">
        <f t="shared" si="5"/>
        <v>320.82501907418668</v>
      </c>
      <c r="U170" s="26">
        <f t="shared" si="4"/>
        <v>215.82501907418668</v>
      </c>
    </row>
    <row r="171" spans="19:21" ht="14.65" thickBot="1" x14ac:dyDescent="0.5">
      <c r="S171" s="37">
        <f t="shared" si="5"/>
        <v>324.03326926492855</v>
      </c>
      <c r="U171" s="26">
        <f t="shared" si="4"/>
        <v>219.03326926492855</v>
      </c>
    </row>
    <row r="172" spans="19:21" ht="14.65" thickBot="1" x14ac:dyDescent="0.5">
      <c r="S172" s="37">
        <f t="shared" si="5"/>
        <v>327.27360195757785</v>
      </c>
      <c r="U172" s="26">
        <f t="shared" si="4"/>
        <v>222.27360195757785</v>
      </c>
    </row>
    <row r="173" spans="19:21" ht="14.65" thickBot="1" x14ac:dyDescent="0.5">
      <c r="S173" s="37">
        <f t="shared" si="5"/>
        <v>330.54633797715366</v>
      </c>
      <c r="U173" s="26">
        <f t="shared" si="4"/>
        <v>225.54633797715366</v>
      </c>
    </row>
    <row r="174" spans="19:21" ht="14.65" thickBot="1" x14ac:dyDescent="0.5">
      <c r="S174" s="37">
        <f t="shared" si="5"/>
        <v>333.85180135692519</v>
      </c>
      <c r="U174" s="26">
        <f t="shared" si="4"/>
        <v>228.85180135692519</v>
      </c>
    </row>
    <row r="175" spans="19:21" ht="14.65" thickBot="1" x14ac:dyDescent="0.5">
      <c r="S175" s="37">
        <f t="shared" si="5"/>
        <v>337.19031937049442</v>
      </c>
      <c r="U175" s="26">
        <f t="shared" si="4"/>
        <v>232.19031937049442</v>
      </c>
    </row>
    <row r="176" spans="19:21" ht="14.65" thickBot="1" x14ac:dyDescent="0.5">
      <c r="S176" s="37">
        <f t="shared" si="5"/>
        <v>340.56222256419937</v>
      </c>
      <c r="U176" s="26">
        <f t="shared" si="4"/>
        <v>235.56222256419937</v>
      </c>
    </row>
    <row r="177" spans="19:21" ht="14.65" thickBot="1" x14ac:dyDescent="0.5">
      <c r="S177" s="37">
        <f t="shared" si="5"/>
        <v>343.96784478984137</v>
      </c>
      <c r="U177" s="26">
        <f t="shared" si="4"/>
        <v>238.96784478984137</v>
      </c>
    </row>
    <row r="178" spans="19:21" ht="14.65" thickBot="1" x14ac:dyDescent="0.5">
      <c r="S178" s="37">
        <f t="shared" si="5"/>
        <v>347.40752323773978</v>
      </c>
      <c r="U178" s="26">
        <f t="shared" si="4"/>
        <v>242.40752323773978</v>
      </c>
    </row>
    <row r="179" spans="19:21" ht="14.65" thickBot="1" x14ac:dyDescent="0.5">
      <c r="S179" s="37">
        <f t="shared" si="5"/>
        <v>350.88159847011718</v>
      </c>
      <c r="U179" s="26">
        <f t="shared" si="4"/>
        <v>245.88159847011718</v>
      </c>
    </row>
    <row r="180" spans="19:21" ht="14.65" thickBot="1" x14ac:dyDescent="0.5">
      <c r="S180" s="37">
        <f t="shared" si="5"/>
        <v>354.39041445481837</v>
      </c>
      <c r="U180" s="26">
        <f t="shared" si="4"/>
        <v>249.39041445481837</v>
      </c>
    </row>
    <row r="181" spans="19:21" ht="14.65" thickBot="1" x14ac:dyDescent="0.5">
      <c r="S181" s="37">
        <f t="shared" si="5"/>
        <v>357.93431859936658</v>
      </c>
      <c r="U181" s="26">
        <f t="shared" si="4"/>
        <v>252.93431859936658</v>
      </c>
    </row>
    <row r="182" spans="19:21" ht="14.65" thickBot="1" x14ac:dyDescent="0.5">
      <c r="S182" s="37">
        <f t="shared" si="5"/>
        <v>361.51366178536023</v>
      </c>
      <c r="U182" s="26">
        <f t="shared" si="4"/>
        <v>256.51366178536023</v>
      </c>
    </row>
    <row r="183" spans="19:21" ht="14.65" thickBot="1" x14ac:dyDescent="0.5">
      <c r="S183" s="37">
        <f t="shared" si="5"/>
        <v>365.12879840321381</v>
      </c>
      <c r="U183" s="26">
        <f t="shared" si="4"/>
        <v>260.12879840321381</v>
      </c>
    </row>
    <row r="184" spans="19:21" ht="14.65" thickBot="1" x14ac:dyDescent="0.5">
      <c r="S184" s="37">
        <f t="shared" si="5"/>
        <v>368.78008638724594</v>
      </c>
      <c r="U184" s="26">
        <f t="shared" si="4"/>
        <v>263.78008638724594</v>
      </c>
    </row>
    <row r="185" spans="19:21" ht="14.65" thickBot="1" x14ac:dyDescent="0.5">
      <c r="S185" s="37">
        <f t="shared" si="5"/>
        <v>372.46788725111838</v>
      </c>
      <c r="U185" s="26">
        <f t="shared" si="4"/>
        <v>267.46788725111838</v>
      </c>
    </row>
    <row r="186" spans="19:21" ht="14.65" thickBot="1" x14ac:dyDescent="0.5">
      <c r="S186" s="37">
        <f t="shared" si="5"/>
        <v>376.19256612362955</v>
      </c>
      <c r="U186" s="26">
        <f t="shared" si="4"/>
        <v>271.19256612362955</v>
      </c>
    </row>
    <row r="187" spans="19:21" ht="14.65" thickBot="1" x14ac:dyDescent="0.5">
      <c r="S187" s="37">
        <f t="shared" si="5"/>
        <v>379.95449178486587</v>
      </c>
      <c r="U187" s="26">
        <f t="shared" si="4"/>
        <v>274.95449178486587</v>
      </c>
    </row>
    <row r="188" spans="19:21" ht="14.65" thickBot="1" x14ac:dyDescent="0.5">
      <c r="S188" s="37">
        <f t="shared" si="5"/>
        <v>383.75403670271453</v>
      </c>
      <c r="U188" s="26">
        <f t="shared" si="4"/>
        <v>278.75403670271453</v>
      </c>
    </row>
    <row r="189" spans="19:21" ht="14.65" thickBot="1" x14ac:dyDescent="0.5">
      <c r="S189" s="37">
        <f t="shared" si="5"/>
        <v>387.59157706974167</v>
      </c>
      <c r="U189" s="26">
        <f t="shared" si="4"/>
        <v>282.59157706974167</v>
      </c>
    </row>
    <row r="190" spans="19:21" ht="14.65" thickBot="1" x14ac:dyDescent="0.5">
      <c r="S190" s="37">
        <f t="shared" si="5"/>
        <v>391.46749284043909</v>
      </c>
      <c r="U190" s="26">
        <f t="shared" si="4"/>
        <v>286.46749284043909</v>
      </c>
    </row>
    <row r="191" spans="19:21" ht="14.65" thickBot="1" x14ac:dyDescent="0.5">
      <c r="S191" s="37">
        <f t="shared" si="5"/>
        <v>395.38216776884349</v>
      </c>
      <c r="U191" s="26">
        <f t="shared" si="4"/>
        <v>290.38216776884349</v>
      </c>
    </row>
    <row r="192" spans="19:21" ht="14.65" thickBot="1" x14ac:dyDescent="0.5">
      <c r="S192" s="37">
        <f t="shared" si="5"/>
        <v>399.33598944653193</v>
      </c>
      <c r="U192" s="26">
        <f t="shared" si="4"/>
        <v>294.33598944653193</v>
      </c>
    </row>
    <row r="193" spans="19:21" ht="14.65" thickBot="1" x14ac:dyDescent="0.5">
      <c r="S193" s="37">
        <f t="shared" si="5"/>
        <v>403.32934934099723</v>
      </c>
      <c r="U193" s="26">
        <f t="shared" si="4"/>
        <v>298.32934934099723</v>
      </c>
    </row>
    <row r="194" spans="19:21" ht="14.65" thickBot="1" x14ac:dyDescent="0.5">
      <c r="S194" s="37">
        <f t="shared" si="5"/>
        <v>407.36264283440721</v>
      </c>
      <c r="U194" s="26">
        <f t="shared" si="4"/>
        <v>302.36264283440721</v>
      </c>
    </row>
    <row r="195" spans="19:21" ht="14.65" thickBot="1" x14ac:dyDescent="0.5">
      <c r="S195" s="37">
        <f t="shared" si="5"/>
        <v>411.4362692627513</v>
      </c>
      <c r="U195" s="26">
        <f t="shared" si="4"/>
        <v>306.4362692627513</v>
      </c>
    </row>
    <row r="196" spans="19:21" ht="14.65" thickBot="1" x14ac:dyDescent="0.5">
      <c r="S196" s="37">
        <f t="shared" si="5"/>
        <v>415.55063195537883</v>
      </c>
      <c r="U196" s="26">
        <f t="shared" si="4"/>
        <v>310.55063195537883</v>
      </c>
    </row>
    <row r="197" spans="19:21" ht="14.65" thickBot="1" x14ac:dyDescent="0.5">
      <c r="S197" s="37">
        <f t="shared" si="5"/>
        <v>419.70613827493264</v>
      </c>
      <c r="U197" s="26">
        <f t="shared" si="4"/>
        <v>314.70613827493264</v>
      </c>
    </row>
    <row r="198" spans="19:21" ht="14.65" thickBot="1" x14ac:dyDescent="0.5">
      <c r="S198" s="37">
        <f t="shared" si="5"/>
        <v>423.90319965768197</v>
      </c>
      <c r="U198" s="26">
        <f t="shared" si="4"/>
        <v>318.90319965768197</v>
      </c>
    </row>
    <row r="199" spans="19:21" ht="14.65" thickBot="1" x14ac:dyDescent="0.5">
      <c r="S199" s="37">
        <f t="shared" si="5"/>
        <v>428.14223165425881</v>
      </c>
      <c r="U199" s="26">
        <f t="shared" si="4"/>
        <v>323.14223165425881</v>
      </c>
    </row>
    <row r="200" spans="19:21" ht="14.65" thickBot="1" x14ac:dyDescent="0.5">
      <c r="S200" s="37">
        <f t="shared" si="5"/>
        <v>432.42365397080141</v>
      </c>
      <c r="U200" s="26">
        <f t="shared" si="4"/>
        <v>327.42365397080141</v>
      </c>
    </row>
    <row r="201" spans="19:21" ht="14.65" thickBot="1" x14ac:dyDescent="0.5">
      <c r="S201" s="37">
        <f t="shared" si="5"/>
        <v>436.74789051050942</v>
      </c>
      <c r="U201" s="26">
        <f t="shared" si="4"/>
        <v>331.74789051050942</v>
      </c>
    </row>
    <row r="202" spans="19:21" ht="14.65" thickBot="1" x14ac:dyDescent="0.5">
      <c r="S202" s="37">
        <f t="shared" si="5"/>
        <v>441.11536941561451</v>
      </c>
      <c r="U202" s="26">
        <f t="shared" si="4"/>
        <v>336.11536941561451</v>
      </c>
    </row>
    <row r="203" spans="19:21" ht="14.65" thickBot="1" x14ac:dyDescent="0.5">
      <c r="S203" s="37">
        <f t="shared" si="5"/>
        <v>445.52652310977066</v>
      </c>
      <c r="U203" s="26">
        <f t="shared" si="4"/>
        <v>340.52652310977066</v>
      </c>
    </row>
    <row r="204" spans="19:21" ht="14.65" thickBot="1" x14ac:dyDescent="0.5">
      <c r="S204" s="37">
        <f t="shared" si="5"/>
        <v>449.98178834086838</v>
      </c>
      <c r="U204" s="26">
        <f t="shared" si="4"/>
        <v>344.98178834086838</v>
      </c>
    </row>
    <row r="205" spans="19:21" ht="14.65" thickBot="1" x14ac:dyDescent="0.5">
      <c r="S205" s="37">
        <f t="shared" si="5"/>
        <v>454.48160622427707</v>
      </c>
      <c r="U205" s="26">
        <f t="shared" si="4"/>
        <v>349.48160622427707</v>
      </c>
    </row>
    <row r="206" spans="19:21" ht="14.65" thickBot="1" x14ac:dyDescent="0.5">
      <c r="S206" s="37">
        <f t="shared" si="5"/>
        <v>459.02642228651985</v>
      </c>
      <c r="U206" s="26">
        <f t="shared" si="4"/>
        <v>354.02642228651985</v>
      </c>
    </row>
    <row r="207" spans="19:21" ht="14.65" thickBot="1" x14ac:dyDescent="0.5">
      <c r="S207" s="37">
        <f t="shared" si="5"/>
        <v>463.61668650938503</v>
      </c>
      <c r="U207" s="26">
        <f t="shared" si="4"/>
        <v>358.61668650938503</v>
      </c>
    </row>
    <row r="208" spans="19:21" ht="14.65" thickBot="1" x14ac:dyDescent="0.5">
      <c r="S208" s="37">
        <f t="shared" si="5"/>
        <v>468.25285337447889</v>
      </c>
      <c r="U208" s="26">
        <f t="shared" si="4"/>
        <v>363.25285337447889</v>
      </c>
    </row>
    <row r="209" spans="19:21" ht="14.65" thickBot="1" x14ac:dyDescent="0.5">
      <c r="S209" s="37">
        <f t="shared" si="5"/>
        <v>472.93538190822369</v>
      </c>
      <c r="U209" s="26">
        <f t="shared" si="4"/>
        <v>367.93538190822369</v>
      </c>
    </row>
    <row r="210" spans="19:21" ht="14.65" thickBot="1" x14ac:dyDescent="0.5">
      <c r="S210" s="37">
        <f t="shared" si="5"/>
        <v>477.66473572730592</v>
      </c>
      <c r="U210" s="26">
        <f t="shared" ref="U210:U273" si="6">IF(S210&lt;$D$8,$D$8-$D$7-$D$9,S210-$D$7-$D$9)</f>
        <v>372.66473572730592</v>
      </c>
    </row>
    <row r="211" spans="19:21" ht="14.65" thickBot="1" x14ac:dyDescent="0.5">
      <c r="S211" s="37">
        <f t="shared" ref="S211:S274" si="7">S210*(1.01)</f>
        <v>482.441383084579</v>
      </c>
      <c r="U211" s="26">
        <f t="shared" si="6"/>
        <v>377.441383084579</v>
      </c>
    </row>
    <row r="212" spans="19:21" ht="14.65" thickBot="1" x14ac:dyDescent="0.5">
      <c r="S212" s="37">
        <f t="shared" si="7"/>
        <v>487.2657969154248</v>
      </c>
      <c r="U212" s="26">
        <f t="shared" si="6"/>
        <v>382.2657969154248</v>
      </c>
    </row>
    <row r="213" spans="19:21" ht="14.65" thickBot="1" x14ac:dyDescent="0.5">
      <c r="S213" s="37">
        <f t="shared" si="7"/>
        <v>492.13845488457906</v>
      </c>
      <c r="U213" s="26">
        <f t="shared" si="6"/>
        <v>387.13845488457906</v>
      </c>
    </row>
    <row r="214" spans="19:21" ht="14.65" thickBot="1" x14ac:dyDescent="0.5">
      <c r="S214" s="37">
        <f t="shared" si="7"/>
        <v>497.05983943342488</v>
      </c>
      <c r="U214" s="26">
        <f t="shared" si="6"/>
        <v>392.05983943342488</v>
      </c>
    </row>
    <row r="215" spans="19:21" ht="14.65" thickBot="1" x14ac:dyDescent="0.5">
      <c r="S215" s="37">
        <f t="shared" si="7"/>
        <v>502.03043782775916</v>
      </c>
      <c r="U215" s="26">
        <f t="shared" si="6"/>
        <v>397.03043782775916</v>
      </c>
    </row>
    <row r="216" spans="19:21" ht="14.65" thickBot="1" x14ac:dyDescent="0.5">
      <c r="S216" s="37">
        <f t="shared" si="7"/>
        <v>507.05074220603677</v>
      </c>
      <c r="U216" s="26">
        <f t="shared" si="6"/>
        <v>402.05074220603677</v>
      </c>
    </row>
    <row r="217" spans="19:21" ht="14.65" thickBot="1" x14ac:dyDescent="0.5">
      <c r="S217" s="37">
        <f t="shared" si="7"/>
        <v>512.12124962809719</v>
      </c>
      <c r="U217" s="26">
        <f t="shared" si="6"/>
        <v>407.12124962809719</v>
      </c>
    </row>
    <row r="218" spans="19:21" ht="14.65" thickBot="1" x14ac:dyDescent="0.5">
      <c r="S218" s="37">
        <f t="shared" si="7"/>
        <v>517.24246212437822</v>
      </c>
      <c r="U218" s="26">
        <f t="shared" si="6"/>
        <v>412.24246212437822</v>
      </c>
    </row>
    <row r="219" spans="19:21" ht="14.65" thickBot="1" x14ac:dyDescent="0.5">
      <c r="S219" s="37">
        <f t="shared" si="7"/>
        <v>522.41488674562197</v>
      </c>
      <c r="U219" s="26">
        <f t="shared" si="6"/>
        <v>417.41488674562197</v>
      </c>
    </row>
    <row r="220" spans="19:21" ht="14.65" thickBot="1" x14ac:dyDescent="0.5">
      <c r="S220" s="37">
        <f t="shared" si="7"/>
        <v>527.63903561307825</v>
      </c>
      <c r="U220" s="26">
        <f t="shared" si="6"/>
        <v>422.63903561307825</v>
      </c>
    </row>
    <row r="221" spans="19:21" ht="14.65" thickBot="1" x14ac:dyDescent="0.5">
      <c r="S221" s="37">
        <f t="shared" si="7"/>
        <v>532.91542596920908</v>
      </c>
      <c r="U221" s="26">
        <f t="shared" si="6"/>
        <v>427.91542596920908</v>
      </c>
    </row>
    <row r="222" spans="19:21" ht="14.65" thickBot="1" x14ac:dyDescent="0.5">
      <c r="S222" s="37">
        <f t="shared" si="7"/>
        <v>538.24458022890121</v>
      </c>
      <c r="U222" s="26">
        <f t="shared" si="6"/>
        <v>433.24458022890121</v>
      </c>
    </row>
    <row r="223" spans="19:21" ht="14.65" thickBot="1" x14ac:dyDescent="0.5">
      <c r="S223" s="37">
        <f t="shared" si="7"/>
        <v>543.62702603119021</v>
      </c>
      <c r="U223" s="26">
        <f t="shared" si="6"/>
        <v>438.62702603119021</v>
      </c>
    </row>
    <row r="224" spans="19:21" ht="14.65" thickBot="1" x14ac:dyDescent="0.5">
      <c r="S224" s="37">
        <f t="shared" si="7"/>
        <v>549.06329629150207</v>
      </c>
      <c r="U224" s="26">
        <f t="shared" si="6"/>
        <v>444.06329629150207</v>
      </c>
    </row>
    <row r="225" spans="19:21" ht="14.65" thickBot="1" x14ac:dyDescent="0.5">
      <c r="S225" s="37">
        <f t="shared" si="7"/>
        <v>554.55392925441708</v>
      </c>
      <c r="U225" s="26">
        <f t="shared" si="6"/>
        <v>449.55392925441708</v>
      </c>
    </row>
    <row r="226" spans="19:21" ht="14.65" thickBot="1" x14ac:dyDescent="0.5">
      <c r="S226" s="37">
        <f t="shared" si="7"/>
        <v>560.09946854696125</v>
      </c>
      <c r="U226" s="26">
        <f t="shared" si="6"/>
        <v>455.09946854696125</v>
      </c>
    </row>
    <row r="227" spans="19:21" ht="14.65" thickBot="1" x14ac:dyDescent="0.5">
      <c r="S227" s="37">
        <f t="shared" si="7"/>
        <v>565.70046323243082</v>
      </c>
      <c r="U227" s="26">
        <f t="shared" si="6"/>
        <v>460.70046323243082</v>
      </c>
    </row>
    <row r="228" spans="19:21" ht="14.65" thickBot="1" x14ac:dyDescent="0.5">
      <c r="S228" s="37">
        <f t="shared" si="7"/>
        <v>571.35746786475511</v>
      </c>
      <c r="U228" s="26">
        <f t="shared" si="6"/>
        <v>466.35746786475511</v>
      </c>
    </row>
    <row r="229" spans="19:21" ht="14.65" thickBot="1" x14ac:dyDescent="0.5">
      <c r="S229" s="37">
        <f t="shared" si="7"/>
        <v>577.07104254340265</v>
      </c>
      <c r="U229" s="26">
        <f t="shared" si="6"/>
        <v>472.07104254340265</v>
      </c>
    </row>
    <row r="230" spans="19:21" ht="14.65" thickBot="1" x14ac:dyDescent="0.5">
      <c r="S230" s="37">
        <f t="shared" si="7"/>
        <v>582.84175296883666</v>
      </c>
      <c r="U230" s="26">
        <f t="shared" si="6"/>
        <v>477.84175296883666</v>
      </c>
    </row>
    <row r="231" spans="19:21" ht="14.65" thickBot="1" x14ac:dyDescent="0.5">
      <c r="S231" s="37">
        <f t="shared" si="7"/>
        <v>588.67017049852507</v>
      </c>
      <c r="U231" s="26">
        <f t="shared" si="6"/>
        <v>483.67017049852507</v>
      </c>
    </row>
    <row r="232" spans="19:21" ht="14.65" thickBot="1" x14ac:dyDescent="0.5">
      <c r="S232" s="37">
        <f t="shared" si="7"/>
        <v>594.55687220351035</v>
      </c>
      <c r="U232" s="26">
        <f t="shared" si="6"/>
        <v>489.55687220351035</v>
      </c>
    </row>
    <row r="233" spans="19:21" ht="14.65" thickBot="1" x14ac:dyDescent="0.5">
      <c r="S233" s="37">
        <f t="shared" si="7"/>
        <v>600.50244092554544</v>
      </c>
      <c r="U233" s="26">
        <f t="shared" si="6"/>
        <v>495.50244092554544</v>
      </c>
    </row>
    <row r="234" spans="19:21" ht="14.65" thickBot="1" x14ac:dyDescent="0.5">
      <c r="S234" s="37">
        <f t="shared" si="7"/>
        <v>606.50746533480094</v>
      </c>
      <c r="U234" s="26">
        <f t="shared" si="6"/>
        <v>501.50746533480094</v>
      </c>
    </row>
    <row r="235" spans="19:21" ht="14.65" thickBot="1" x14ac:dyDescent="0.5">
      <c r="S235" s="37">
        <f t="shared" si="7"/>
        <v>612.57253998814895</v>
      </c>
      <c r="U235" s="26">
        <f t="shared" si="6"/>
        <v>507.57253998814895</v>
      </c>
    </row>
    <row r="236" spans="19:21" ht="14.65" thickBot="1" x14ac:dyDescent="0.5">
      <c r="S236" s="37">
        <f t="shared" si="7"/>
        <v>618.69826538803045</v>
      </c>
      <c r="U236" s="26">
        <f t="shared" si="6"/>
        <v>513.69826538803045</v>
      </c>
    </row>
    <row r="237" spans="19:21" ht="14.65" thickBot="1" x14ac:dyDescent="0.5">
      <c r="S237" s="37">
        <f t="shared" si="7"/>
        <v>624.88524804191081</v>
      </c>
      <c r="U237" s="26">
        <f t="shared" si="6"/>
        <v>519.88524804191081</v>
      </c>
    </row>
    <row r="238" spans="19:21" ht="14.65" thickBot="1" x14ac:dyDescent="0.5">
      <c r="S238" s="37">
        <f t="shared" si="7"/>
        <v>631.13410052232996</v>
      </c>
      <c r="U238" s="26">
        <f t="shared" si="6"/>
        <v>526.13410052232996</v>
      </c>
    </row>
    <row r="239" spans="19:21" ht="14.65" thickBot="1" x14ac:dyDescent="0.5">
      <c r="S239" s="37">
        <f t="shared" si="7"/>
        <v>637.44544152755327</v>
      </c>
      <c r="U239" s="26">
        <f t="shared" si="6"/>
        <v>532.44544152755327</v>
      </c>
    </row>
    <row r="240" spans="19:21" ht="14.65" thickBot="1" x14ac:dyDescent="0.5">
      <c r="S240" s="37">
        <f t="shared" si="7"/>
        <v>643.81989594282879</v>
      </c>
      <c r="U240" s="26">
        <f t="shared" si="6"/>
        <v>538.81989594282879</v>
      </c>
    </row>
    <row r="241" spans="19:21" ht="14.65" thickBot="1" x14ac:dyDescent="0.5">
      <c r="S241" s="37">
        <f t="shared" si="7"/>
        <v>650.25809490225708</v>
      </c>
      <c r="U241" s="26">
        <f t="shared" si="6"/>
        <v>545.25809490225708</v>
      </c>
    </row>
    <row r="242" spans="19:21" ht="14.65" thickBot="1" x14ac:dyDescent="0.5">
      <c r="S242" s="37">
        <f t="shared" si="7"/>
        <v>656.76067585127964</v>
      </c>
      <c r="U242" s="26">
        <f t="shared" si="6"/>
        <v>551.76067585127964</v>
      </c>
    </row>
    <row r="243" spans="19:21" ht="14.65" thickBot="1" x14ac:dyDescent="0.5">
      <c r="S243" s="37">
        <f t="shared" si="7"/>
        <v>663.3282826097925</v>
      </c>
      <c r="U243" s="26">
        <f t="shared" si="6"/>
        <v>558.3282826097925</v>
      </c>
    </row>
    <row r="244" spans="19:21" ht="14.65" thickBot="1" x14ac:dyDescent="0.5">
      <c r="S244" s="37">
        <f t="shared" si="7"/>
        <v>669.96156543589041</v>
      </c>
      <c r="U244" s="26">
        <f t="shared" si="6"/>
        <v>564.96156543589041</v>
      </c>
    </row>
    <row r="245" spans="19:21" ht="14.65" thickBot="1" x14ac:dyDescent="0.5">
      <c r="S245" s="37">
        <f t="shared" si="7"/>
        <v>676.66118109024933</v>
      </c>
      <c r="U245" s="26">
        <f t="shared" si="6"/>
        <v>571.66118109024933</v>
      </c>
    </row>
    <row r="246" spans="19:21" ht="14.65" thickBot="1" x14ac:dyDescent="0.5">
      <c r="S246" s="37">
        <f t="shared" si="7"/>
        <v>683.42779290115186</v>
      </c>
      <c r="U246" s="26">
        <f t="shared" si="6"/>
        <v>578.42779290115186</v>
      </c>
    </row>
    <row r="247" spans="19:21" ht="14.65" thickBot="1" x14ac:dyDescent="0.5">
      <c r="S247" s="37">
        <f t="shared" si="7"/>
        <v>690.26207083016334</v>
      </c>
      <c r="U247" s="26">
        <f t="shared" si="6"/>
        <v>585.26207083016334</v>
      </c>
    </row>
    <row r="248" spans="19:21" ht="14.65" thickBot="1" x14ac:dyDescent="0.5">
      <c r="S248" s="37">
        <f t="shared" si="7"/>
        <v>697.16469153846492</v>
      </c>
      <c r="U248" s="26">
        <f t="shared" si="6"/>
        <v>592.16469153846492</v>
      </c>
    </row>
    <row r="249" spans="19:21" ht="14.65" thickBot="1" x14ac:dyDescent="0.5">
      <c r="S249" s="37">
        <f t="shared" si="7"/>
        <v>704.13633845384959</v>
      </c>
      <c r="U249" s="26">
        <f t="shared" si="6"/>
        <v>599.13633845384959</v>
      </c>
    </row>
    <row r="250" spans="19:21" ht="14.65" thickBot="1" x14ac:dyDescent="0.5">
      <c r="S250" s="37">
        <f t="shared" si="7"/>
        <v>711.17770183838809</v>
      </c>
      <c r="U250" s="26">
        <f t="shared" si="6"/>
        <v>606.17770183838809</v>
      </c>
    </row>
    <row r="251" spans="19:21" ht="14.65" thickBot="1" x14ac:dyDescent="0.5">
      <c r="S251" s="37">
        <f t="shared" si="7"/>
        <v>718.28947885677201</v>
      </c>
      <c r="U251" s="26">
        <f t="shared" si="6"/>
        <v>613.28947885677201</v>
      </c>
    </row>
    <row r="252" spans="19:21" ht="14.65" thickBot="1" x14ac:dyDescent="0.5">
      <c r="S252" s="37">
        <f t="shared" si="7"/>
        <v>725.47237364533976</v>
      </c>
      <c r="U252" s="26">
        <f t="shared" si="6"/>
        <v>620.47237364533976</v>
      </c>
    </row>
    <row r="253" spans="19:21" ht="14.65" thickBot="1" x14ac:dyDescent="0.5">
      <c r="S253" s="37">
        <f t="shared" si="7"/>
        <v>732.72709738179321</v>
      </c>
      <c r="U253" s="26">
        <f t="shared" si="6"/>
        <v>627.72709738179321</v>
      </c>
    </row>
    <row r="254" spans="19:21" ht="14.65" thickBot="1" x14ac:dyDescent="0.5">
      <c r="S254" s="37">
        <f t="shared" si="7"/>
        <v>740.05436835561113</v>
      </c>
      <c r="U254" s="26">
        <f t="shared" si="6"/>
        <v>635.05436835561113</v>
      </c>
    </row>
    <row r="255" spans="19:21" ht="14.65" thickBot="1" x14ac:dyDescent="0.5">
      <c r="S255" s="37">
        <f t="shared" si="7"/>
        <v>747.4549120391672</v>
      </c>
      <c r="U255" s="26">
        <f t="shared" si="6"/>
        <v>642.4549120391672</v>
      </c>
    </row>
    <row r="256" spans="19:21" ht="14.65" thickBot="1" x14ac:dyDescent="0.5">
      <c r="S256" s="37">
        <f t="shared" si="7"/>
        <v>754.92946115955885</v>
      </c>
      <c r="U256" s="26">
        <f t="shared" si="6"/>
        <v>649.92946115955885</v>
      </c>
    </row>
    <row r="257" spans="19:21" ht="14.65" thickBot="1" x14ac:dyDescent="0.5">
      <c r="S257" s="37">
        <f t="shared" si="7"/>
        <v>762.4787557711544</v>
      </c>
      <c r="U257" s="26">
        <f t="shared" si="6"/>
        <v>657.4787557711544</v>
      </c>
    </row>
    <row r="258" spans="19:21" ht="14.65" thickBot="1" x14ac:dyDescent="0.5">
      <c r="S258" s="37">
        <f t="shared" si="7"/>
        <v>770.10354332886595</v>
      </c>
      <c r="U258" s="26">
        <f t="shared" si="6"/>
        <v>665.10354332886595</v>
      </c>
    </row>
    <row r="259" spans="19:21" ht="14.65" thickBot="1" x14ac:dyDescent="0.5">
      <c r="S259" s="37">
        <f t="shared" si="7"/>
        <v>777.80457876215462</v>
      </c>
      <c r="U259" s="26">
        <f t="shared" si="6"/>
        <v>672.80457876215462</v>
      </c>
    </row>
    <row r="260" spans="19:21" ht="14.65" thickBot="1" x14ac:dyDescent="0.5">
      <c r="S260" s="37">
        <f t="shared" si="7"/>
        <v>785.58262454977614</v>
      </c>
      <c r="U260" s="26">
        <f t="shared" si="6"/>
        <v>680.58262454977614</v>
      </c>
    </row>
    <row r="261" spans="19:21" ht="14.65" thickBot="1" x14ac:dyDescent="0.5">
      <c r="S261" s="37">
        <f t="shared" si="7"/>
        <v>793.43845079527387</v>
      </c>
      <c r="U261" s="26">
        <f t="shared" si="6"/>
        <v>688.43845079527387</v>
      </c>
    </row>
    <row r="262" spans="19:21" ht="14.65" thickBot="1" x14ac:dyDescent="0.5">
      <c r="S262" s="37">
        <f t="shared" si="7"/>
        <v>801.37283530322657</v>
      </c>
      <c r="U262" s="26">
        <f t="shared" si="6"/>
        <v>696.37283530322657</v>
      </c>
    </row>
    <row r="263" spans="19:21" ht="14.65" thickBot="1" x14ac:dyDescent="0.5">
      <c r="S263" s="37">
        <f t="shared" si="7"/>
        <v>809.38656365625889</v>
      </c>
      <c r="U263" s="26">
        <f t="shared" si="6"/>
        <v>704.38656365625889</v>
      </c>
    </row>
    <row r="264" spans="19:21" ht="14.65" thickBot="1" x14ac:dyDescent="0.5">
      <c r="S264" s="37">
        <f t="shared" si="7"/>
        <v>817.48042929282144</v>
      </c>
      <c r="U264" s="26">
        <f t="shared" si="6"/>
        <v>712.48042929282144</v>
      </c>
    </row>
    <row r="265" spans="19:21" ht="14.65" thickBot="1" x14ac:dyDescent="0.5">
      <c r="S265" s="37">
        <f t="shared" si="7"/>
        <v>825.65523358574967</v>
      </c>
      <c r="U265" s="26">
        <f t="shared" si="6"/>
        <v>720.65523358574967</v>
      </c>
    </row>
    <row r="266" spans="19:21" ht="14.65" thickBot="1" x14ac:dyDescent="0.5">
      <c r="S266" s="37">
        <f t="shared" si="7"/>
        <v>833.91178592160713</v>
      </c>
      <c r="U266" s="26">
        <f t="shared" si="6"/>
        <v>728.91178592160713</v>
      </c>
    </row>
    <row r="267" spans="19:21" ht="14.65" thickBot="1" x14ac:dyDescent="0.5">
      <c r="S267" s="37">
        <f t="shared" si="7"/>
        <v>842.25090378082325</v>
      </c>
      <c r="U267" s="26">
        <f t="shared" si="6"/>
        <v>737.25090378082325</v>
      </c>
    </row>
    <row r="268" spans="19:21" ht="14.65" thickBot="1" x14ac:dyDescent="0.5">
      <c r="S268" s="37">
        <f t="shared" si="7"/>
        <v>850.6734128186315</v>
      </c>
      <c r="U268" s="26">
        <f t="shared" si="6"/>
        <v>745.6734128186315</v>
      </c>
    </row>
    <row r="269" spans="19:21" ht="14.65" thickBot="1" x14ac:dyDescent="0.5">
      <c r="S269" s="37">
        <f t="shared" si="7"/>
        <v>859.18014694681779</v>
      </c>
      <c r="U269" s="26">
        <f t="shared" si="6"/>
        <v>754.18014694681779</v>
      </c>
    </row>
    <row r="270" spans="19:21" ht="14.65" thickBot="1" x14ac:dyDescent="0.5">
      <c r="S270" s="37">
        <f t="shared" si="7"/>
        <v>867.77194841628602</v>
      </c>
      <c r="U270" s="26">
        <f t="shared" si="6"/>
        <v>762.77194841628602</v>
      </c>
    </row>
    <row r="271" spans="19:21" ht="14.65" thickBot="1" x14ac:dyDescent="0.5">
      <c r="S271" s="37">
        <f t="shared" si="7"/>
        <v>876.44966790044884</v>
      </c>
      <c r="U271" s="26">
        <f t="shared" si="6"/>
        <v>771.44966790044884</v>
      </c>
    </row>
    <row r="272" spans="19:21" ht="14.65" thickBot="1" x14ac:dyDescent="0.5">
      <c r="S272" s="37">
        <f t="shared" si="7"/>
        <v>885.21416457945338</v>
      </c>
      <c r="U272" s="26">
        <f t="shared" si="6"/>
        <v>780.21416457945338</v>
      </c>
    </row>
    <row r="273" spans="19:21" ht="14.65" thickBot="1" x14ac:dyDescent="0.5">
      <c r="S273" s="37">
        <f t="shared" si="7"/>
        <v>894.0663062252479</v>
      </c>
      <c r="U273" s="26">
        <f t="shared" si="6"/>
        <v>789.0663062252479</v>
      </c>
    </row>
    <row r="274" spans="19:21" ht="14.65" thickBot="1" x14ac:dyDescent="0.5">
      <c r="S274" s="37">
        <f t="shared" si="7"/>
        <v>903.0069692875004</v>
      </c>
      <c r="U274" s="26">
        <f t="shared" ref="U274:U337" si="8">IF(S274&lt;$D$8,$D$8-$D$7-$D$9,S274-$D$7-$D$9)</f>
        <v>798.0069692875004</v>
      </c>
    </row>
    <row r="275" spans="19:21" ht="14.65" thickBot="1" x14ac:dyDescent="0.5">
      <c r="S275" s="37">
        <f t="shared" ref="S275:S338" si="9">S274*(1.01)</f>
        <v>912.03703898037543</v>
      </c>
      <c r="U275" s="26">
        <f t="shared" si="8"/>
        <v>807.03703898037543</v>
      </c>
    </row>
    <row r="276" spans="19:21" ht="14.65" thickBot="1" x14ac:dyDescent="0.5">
      <c r="S276" s="37">
        <f t="shared" si="9"/>
        <v>921.15740937017915</v>
      </c>
      <c r="U276" s="26">
        <f t="shared" si="8"/>
        <v>816.15740937017915</v>
      </c>
    </row>
    <row r="277" spans="19:21" ht="14.65" thickBot="1" x14ac:dyDescent="0.5">
      <c r="S277" s="37">
        <f t="shared" si="9"/>
        <v>930.36898346388091</v>
      </c>
      <c r="U277" s="26">
        <f t="shared" si="8"/>
        <v>825.36898346388091</v>
      </c>
    </row>
    <row r="278" spans="19:21" ht="14.65" thickBot="1" x14ac:dyDescent="0.5">
      <c r="S278" s="37">
        <f t="shared" si="9"/>
        <v>939.67267329851973</v>
      </c>
      <c r="U278" s="26">
        <f t="shared" si="8"/>
        <v>834.67267329851973</v>
      </c>
    </row>
    <row r="279" spans="19:21" ht="14.65" thickBot="1" x14ac:dyDescent="0.5">
      <c r="S279" s="37">
        <f t="shared" si="9"/>
        <v>949.06940003150498</v>
      </c>
      <c r="U279" s="26">
        <f t="shared" si="8"/>
        <v>844.06940003150498</v>
      </c>
    </row>
    <row r="280" spans="19:21" ht="14.65" thickBot="1" x14ac:dyDescent="0.5">
      <c r="S280" s="37">
        <f t="shared" si="9"/>
        <v>958.56009403182009</v>
      </c>
      <c r="U280" s="26">
        <f t="shared" si="8"/>
        <v>853.56009403182009</v>
      </c>
    </row>
    <row r="281" spans="19:21" ht="14.65" thickBot="1" x14ac:dyDescent="0.5">
      <c r="S281" s="37">
        <f t="shared" si="9"/>
        <v>968.14569497213824</v>
      </c>
      <c r="U281" s="26">
        <f t="shared" si="8"/>
        <v>863.14569497213824</v>
      </c>
    </row>
    <row r="282" spans="19:21" ht="14.65" thickBot="1" x14ac:dyDescent="0.5">
      <c r="S282" s="37">
        <f t="shared" si="9"/>
        <v>977.82715192185958</v>
      </c>
      <c r="U282" s="26">
        <f t="shared" si="8"/>
        <v>872.82715192185958</v>
      </c>
    </row>
    <row r="283" spans="19:21" ht="14.65" thickBot="1" x14ac:dyDescent="0.5">
      <c r="S283" s="37">
        <f t="shared" si="9"/>
        <v>987.60542344107819</v>
      </c>
      <c r="U283" s="26">
        <f t="shared" si="8"/>
        <v>882.60542344107819</v>
      </c>
    </row>
    <row r="284" spans="19:21" ht="14.65" thickBot="1" x14ac:dyDescent="0.5">
      <c r="S284" s="37">
        <f t="shared" si="9"/>
        <v>997.48147767548903</v>
      </c>
      <c r="U284" s="26">
        <f t="shared" si="8"/>
        <v>892.48147767548903</v>
      </c>
    </row>
    <row r="285" spans="19:21" ht="14.65" thickBot="1" x14ac:dyDescent="0.5">
      <c r="S285" s="37">
        <f t="shared" si="9"/>
        <v>1007.4562924522439</v>
      </c>
      <c r="U285" s="26">
        <f t="shared" si="8"/>
        <v>902.45629245224393</v>
      </c>
    </row>
    <row r="286" spans="19:21" ht="14.65" thickBot="1" x14ac:dyDescent="0.5">
      <c r="S286" s="37">
        <f t="shared" si="9"/>
        <v>1017.5308553767663</v>
      </c>
      <c r="U286" s="26">
        <f t="shared" si="8"/>
        <v>912.53085537676634</v>
      </c>
    </row>
    <row r="287" spans="19:21" ht="14.65" thickBot="1" x14ac:dyDescent="0.5">
      <c r="S287" s="37">
        <f t="shared" si="9"/>
        <v>1027.7061639305341</v>
      </c>
      <c r="U287" s="26">
        <f t="shared" si="8"/>
        <v>922.7061639305341</v>
      </c>
    </row>
    <row r="288" spans="19:21" ht="14.65" thickBot="1" x14ac:dyDescent="0.5">
      <c r="S288" s="37">
        <f t="shared" si="9"/>
        <v>1037.9832255698395</v>
      </c>
      <c r="U288" s="26">
        <f t="shared" si="8"/>
        <v>932.98322556983953</v>
      </c>
    </row>
    <row r="289" spans="19:21" ht="14.65" thickBot="1" x14ac:dyDescent="0.5">
      <c r="S289" s="37">
        <f t="shared" si="9"/>
        <v>1048.3630578255379</v>
      </c>
      <c r="U289" s="26">
        <f t="shared" si="8"/>
        <v>943.36305782553791</v>
      </c>
    </row>
    <row r="290" spans="19:21" ht="14.65" thickBot="1" x14ac:dyDescent="0.5">
      <c r="S290" s="37">
        <f t="shared" si="9"/>
        <v>1058.8466884037932</v>
      </c>
      <c r="U290" s="26">
        <f t="shared" si="8"/>
        <v>953.84668840379322</v>
      </c>
    </row>
    <row r="291" spans="19:21" ht="14.65" thickBot="1" x14ac:dyDescent="0.5">
      <c r="S291" s="37">
        <f t="shared" si="9"/>
        <v>1069.4351552878311</v>
      </c>
      <c r="U291" s="26">
        <f t="shared" si="8"/>
        <v>964.43515528783109</v>
      </c>
    </row>
    <row r="292" spans="19:21" ht="14.65" thickBot="1" x14ac:dyDescent="0.5">
      <c r="S292" s="37">
        <f t="shared" si="9"/>
        <v>1080.1295068407094</v>
      </c>
      <c r="U292" s="26">
        <f t="shared" si="8"/>
        <v>975.12950684070938</v>
      </c>
    </row>
    <row r="293" spans="19:21" ht="14.65" thickBot="1" x14ac:dyDescent="0.5">
      <c r="S293" s="37">
        <f t="shared" si="9"/>
        <v>1090.9308019091166</v>
      </c>
      <c r="U293" s="26">
        <f t="shared" si="8"/>
        <v>985.93080190911655</v>
      </c>
    </row>
    <row r="294" spans="19:21" ht="14.65" thickBot="1" x14ac:dyDescent="0.5">
      <c r="S294" s="37">
        <f t="shared" si="9"/>
        <v>1101.8401099282078</v>
      </c>
      <c r="U294" s="26">
        <f t="shared" si="8"/>
        <v>996.84010992820777</v>
      </c>
    </row>
    <row r="295" spans="19:21" ht="14.65" thickBot="1" x14ac:dyDescent="0.5">
      <c r="S295" s="37">
        <f t="shared" si="9"/>
        <v>1112.8585110274898</v>
      </c>
      <c r="U295" s="26">
        <f t="shared" si="8"/>
        <v>1007.8585110274898</v>
      </c>
    </row>
    <row r="296" spans="19:21" ht="14.65" thickBot="1" x14ac:dyDescent="0.5">
      <c r="S296" s="37">
        <f t="shared" si="9"/>
        <v>1123.9870961377646</v>
      </c>
      <c r="U296" s="26">
        <f t="shared" si="8"/>
        <v>1018.9870961377646</v>
      </c>
    </row>
    <row r="297" spans="19:21" ht="14.65" thickBot="1" x14ac:dyDescent="0.5">
      <c r="S297" s="37">
        <f t="shared" si="9"/>
        <v>1135.2269670991423</v>
      </c>
      <c r="U297" s="26">
        <f t="shared" si="8"/>
        <v>1030.2269670991423</v>
      </c>
    </row>
    <row r="298" spans="19:21" ht="14.65" thickBot="1" x14ac:dyDescent="0.5">
      <c r="S298" s="37">
        <f t="shared" si="9"/>
        <v>1146.5792367701338</v>
      </c>
      <c r="U298" s="26">
        <f t="shared" si="8"/>
        <v>1041.5792367701338</v>
      </c>
    </row>
    <row r="299" spans="19:21" ht="14.65" thickBot="1" x14ac:dyDescent="0.5">
      <c r="S299" s="37">
        <f t="shared" si="9"/>
        <v>1158.0450291378352</v>
      </c>
      <c r="U299" s="26">
        <f t="shared" si="8"/>
        <v>1053.0450291378352</v>
      </c>
    </row>
    <row r="300" spans="19:21" ht="14.65" thickBot="1" x14ac:dyDescent="0.5">
      <c r="S300" s="37">
        <f t="shared" si="9"/>
        <v>1169.6254794292136</v>
      </c>
      <c r="U300" s="26">
        <f t="shared" si="8"/>
        <v>1064.6254794292136</v>
      </c>
    </row>
    <row r="301" spans="19:21" ht="14.65" thickBot="1" x14ac:dyDescent="0.5">
      <c r="S301" s="37">
        <f t="shared" si="9"/>
        <v>1181.3217342235057</v>
      </c>
      <c r="U301" s="26">
        <f t="shared" si="8"/>
        <v>1076.3217342235057</v>
      </c>
    </row>
    <row r="302" spans="19:21" ht="14.65" thickBot="1" x14ac:dyDescent="0.5">
      <c r="S302" s="37">
        <f t="shared" si="9"/>
        <v>1193.1349515657407</v>
      </c>
      <c r="U302" s="26">
        <f t="shared" si="8"/>
        <v>1088.1349515657407</v>
      </c>
    </row>
    <row r="303" spans="19:21" ht="14.65" thickBot="1" x14ac:dyDescent="0.5">
      <c r="S303" s="37">
        <f t="shared" si="9"/>
        <v>1205.0663010813983</v>
      </c>
      <c r="U303" s="26">
        <f t="shared" si="8"/>
        <v>1100.0663010813983</v>
      </c>
    </row>
    <row r="304" spans="19:21" ht="14.65" thickBot="1" x14ac:dyDescent="0.5">
      <c r="S304" s="37">
        <f t="shared" si="9"/>
        <v>1217.1169640922124</v>
      </c>
      <c r="U304" s="26">
        <f t="shared" si="8"/>
        <v>1112.1169640922124</v>
      </c>
    </row>
    <row r="305" spans="19:21" ht="14.65" thickBot="1" x14ac:dyDescent="0.5">
      <c r="S305" s="37">
        <f t="shared" si="9"/>
        <v>1229.2881337331346</v>
      </c>
      <c r="U305" s="26">
        <f t="shared" si="8"/>
        <v>1124.2881337331346</v>
      </c>
    </row>
    <row r="306" spans="19:21" ht="14.65" thickBot="1" x14ac:dyDescent="0.5">
      <c r="S306" s="37">
        <f t="shared" si="9"/>
        <v>1241.581015070466</v>
      </c>
      <c r="U306" s="26">
        <f t="shared" si="8"/>
        <v>1136.581015070466</v>
      </c>
    </row>
    <row r="307" spans="19:21" ht="14.65" thickBot="1" x14ac:dyDescent="0.5">
      <c r="S307" s="37">
        <f t="shared" si="9"/>
        <v>1253.9968252211706</v>
      </c>
      <c r="U307" s="26">
        <f t="shared" si="8"/>
        <v>1148.9968252211706</v>
      </c>
    </row>
    <row r="308" spans="19:21" ht="14.65" thickBot="1" x14ac:dyDescent="0.5">
      <c r="S308" s="37">
        <f t="shared" si="9"/>
        <v>1266.5367934733824</v>
      </c>
      <c r="U308" s="26">
        <f t="shared" si="8"/>
        <v>1161.5367934733824</v>
      </c>
    </row>
    <row r="309" spans="19:21" ht="14.65" thickBot="1" x14ac:dyDescent="0.5">
      <c r="S309" s="37">
        <f t="shared" si="9"/>
        <v>1279.2021614081164</v>
      </c>
      <c r="U309" s="26">
        <f t="shared" si="8"/>
        <v>1174.2021614081164</v>
      </c>
    </row>
    <row r="310" spans="19:21" ht="14.65" thickBot="1" x14ac:dyDescent="0.5">
      <c r="S310" s="37">
        <f t="shared" si="9"/>
        <v>1291.9941830221976</v>
      </c>
      <c r="U310" s="26">
        <f t="shared" si="8"/>
        <v>1186.9941830221976</v>
      </c>
    </row>
    <row r="311" spans="19:21" ht="14.65" thickBot="1" x14ac:dyDescent="0.5">
      <c r="S311" s="37">
        <f t="shared" si="9"/>
        <v>1304.9141248524195</v>
      </c>
      <c r="U311" s="26">
        <f t="shared" si="8"/>
        <v>1199.9141248524195</v>
      </c>
    </row>
    <row r="312" spans="19:21" ht="14.65" thickBot="1" x14ac:dyDescent="0.5">
      <c r="S312" s="37">
        <f t="shared" si="9"/>
        <v>1317.9632661009437</v>
      </c>
      <c r="U312" s="26">
        <f t="shared" si="8"/>
        <v>1212.9632661009437</v>
      </c>
    </row>
    <row r="313" spans="19:21" ht="14.65" thickBot="1" x14ac:dyDescent="0.5">
      <c r="S313" s="37">
        <f t="shared" si="9"/>
        <v>1331.1428987619531</v>
      </c>
      <c r="U313" s="26">
        <f t="shared" si="8"/>
        <v>1226.1428987619531</v>
      </c>
    </row>
    <row r="314" spans="19:21" ht="14.65" thickBot="1" x14ac:dyDescent="0.5">
      <c r="S314" s="37">
        <f t="shared" si="9"/>
        <v>1344.4543277495727</v>
      </c>
      <c r="U314" s="26">
        <f t="shared" si="8"/>
        <v>1239.4543277495727</v>
      </c>
    </row>
    <row r="315" spans="19:21" ht="14.65" thickBot="1" x14ac:dyDescent="0.5">
      <c r="S315" s="37">
        <f t="shared" si="9"/>
        <v>1357.8988710270685</v>
      </c>
      <c r="U315" s="26">
        <f t="shared" si="8"/>
        <v>1252.8988710270685</v>
      </c>
    </row>
    <row r="316" spans="19:21" ht="14.65" thickBot="1" x14ac:dyDescent="0.5">
      <c r="S316" s="37">
        <f t="shared" si="9"/>
        <v>1371.4778597373393</v>
      </c>
      <c r="U316" s="26">
        <f t="shared" si="8"/>
        <v>1266.4778597373393</v>
      </c>
    </row>
    <row r="317" spans="19:21" ht="14.65" thickBot="1" x14ac:dyDescent="0.5">
      <c r="S317" s="37">
        <f t="shared" si="9"/>
        <v>1385.1926383347127</v>
      </c>
      <c r="U317" s="26">
        <f t="shared" si="8"/>
        <v>1280.1926383347127</v>
      </c>
    </row>
    <row r="318" spans="19:21" ht="14.65" thickBot="1" x14ac:dyDescent="0.5">
      <c r="S318" s="37">
        <f t="shared" si="9"/>
        <v>1399.0445647180597</v>
      </c>
      <c r="U318" s="26">
        <f t="shared" si="8"/>
        <v>1294.0445647180597</v>
      </c>
    </row>
    <row r="319" spans="19:21" ht="14.65" thickBot="1" x14ac:dyDescent="0.5">
      <c r="S319" s="37">
        <f t="shared" si="9"/>
        <v>1413.0350103652404</v>
      </c>
      <c r="U319" s="26">
        <f t="shared" si="8"/>
        <v>1308.0350103652404</v>
      </c>
    </row>
    <row r="320" spans="19:21" ht="14.65" thickBot="1" x14ac:dyDescent="0.5">
      <c r="S320" s="37">
        <f t="shared" si="9"/>
        <v>1427.1653604688929</v>
      </c>
      <c r="U320" s="26">
        <f t="shared" si="8"/>
        <v>1322.1653604688929</v>
      </c>
    </row>
    <row r="321" spans="19:21" ht="14.65" thickBot="1" x14ac:dyDescent="0.5">
      <c r="S321" s="37">
        <f t="shared" si="9"/>
        <v>1441.4370140735818</v>
      </c>
      <c r="U321" s="26">
        <f t="shared" si="8"/>
        <v>1336.4370140735818</v>
      </c>
    </row>
    <row r="322" spans="19:21" ht="14.65" thickBot="1" x14ac:dyDescent="0.5">
      <c r="S322" s="37">
        <f t="shared" si="9"/>
        <v>1455.8513842143177</v>
      </c>
      <c r="U322" s="26">
        <f t="shared" si="8"/>
        <v>1350.8513842143177</v>
      </c>
    </row>
    <row r="323" spans="19:21" ht="14.65" thickBot="1" x14ac:dyDescent="0.5">
      <c r="S323" s="37">
        <f t="shared" si="9"/>
        <v>1470.4098980564609</v>
      </c>
      <c r="U323" s="26">
        <f t="shared" si="8"/>
        <v>1365.4098980564609</v>
      </c>
    </row>
    <row r="324" spans="19:21" ht="14.65" thickBot="1" x14ac:dyDescent="0.5">
      <c r="S324" s="37">
        <f t="shared" si="9"/>
        <v>1485.1139970370255</v>
      </c>
      <c r="U324" s="26">
        <f t="shared" si="8"/>
        <v>1380.1139970370255</v>
      </c>
    </row>
    <row r="325" spans="19:21" ht="14.65" thickBot="1" x14ac:dyDescent="0.5">
      <c r="S325" s="37">
        <f t="shared" si="9"/>
        <v>1499.9651370073957</v>
      </c>
      <c r="U325" s="26">
        <f t="shared" si="8"/>
        <v>1394.9651370073957</v>
      </c>
    </row>
    <row r="326" spans="19:21" ht="14.65" thickBot="1" x14ac:dyDescent="0.5">
      <c r="S326" s="37">
        <f t="shared" si="9"/>
        <v>1514.9647883774696</v>
      </c>
      <c r="U326" s="26">
        <f t="shared" si="8"/>
        <v>1409.9647883774696</v>
      </c>
    </row>
    <row r="327" spans="19:21" ht="14.65" thickBot="1" x14ac:dyDescent="0.5">
      <c r="S327" s="37">
        <f t="shared" si="9"/>
        <v>1530.1144362612442</v>
      </c>
      <c r="U327" s="26">
        <f t="shared" si="8"/>
        <v>1425.1144362612442</v>
      </c>
    </row>
    <row r="328" spans="19:21" ht="14.65" thickBot="1" x14ac:dyDescent="0.5">
      <c r="S328" s="37">
        <f t="shared" si="9"/>
        <v>1545.4155806238566</v>
      </c>
      <c r="U328" s="26">
        <f t="shared" si="8"/>
        <v>1440.4155806238566</v>
      </c>
    </row>
    <row r="329" spans="19:21" ht="14.65" thickBot="1" x14ac:dyDescent="0.5">
      <c r="S329" s="37">
        <f t="shared" si="9"/>
        <v>1560.8697364300951</v>
      </c>
      <c r="U329" s="26">
        <f t="shared" si="8"/>
        <v>1455.8697364300951</v>
      </c>
    </row>
    <row r="330" spans="19:21" ht="14.65" thickBot="1" x14ac:dyDescent="0.5">
      <c r="S330" s="37">
        <f t="shared" si="9"/>
        <v>1576.4784337943961</v>
      </c>
      <c r="U330" s="26">
        <f t="shared" si="8"/>
        <v>1471.4784337943961</v>
      </c>
    </row>
    <row r="331" spans="19:21" ht="14.65" thickBot="1" x14ac:dyDescent="0.5">
      <c r="S331" s="37">
        <f t="shared" si="9"/>
        <v>1592.24321813234</v>
      </c>
      <c r="U331" s="26">
        <f t="shared" si="8"/>
        <v>1487.24321813234</v>
      </c>
    </row>
    <row r="332" spans="19:21" ht="14.65" thickBot="1" x14ac:dyDescent="0.5">
      <c r="S332" s="37">
        <f t="shared" si="9"/>
        <v>1608.1656503136633</v>
      </c>
      <c r="U332" s="26">
        <f t="shared" si="8"/>
        <v>1503.1656503136633</v>
      </c>
    </row>
    <row r="333" spans="19:21" ht="14.65" thickBot="1" x14ac:dyDescent="0.5">
      <c r="S333" s="37">
        <f t="shared" si="9"/>
        <v>1624.2473068167999</v>
      </c>
      <c r="U333" s="26">
        <f t="shared" si="8"/>
        <v>1519.2473068167999</v>
      </c>
    </row>
    <row r="334" spans="19:21" ht="14.65" thickBot="1" x14ac:dyDescent="0.5">
      <c r="S334" s="37">
        <f t="shared" si="9"/>
        <v>1640.4897798849679</v>
      </c>
      <c r="U334" s="26">
        <f t="shared" si="8"/>
        <v>1535.4897798849679</v>
      </c>
    </row>
    <row r="335" spans="19:21" ht="14.65" thickBot="1" x14ac:dyDescent="0.5">
      <c r="S335" s="37">
        <f t="shared" si="9"/>
        <v>1656.8946776838177</v>
      </c>
      <c r="U335" s="26">
        <f t="shared" si="8"/>
        <v>1551.8946776838177</v>
      </c>
    </row>
    <row r="336" spans="19:21" ht="14.65" thickBot="1" x14ac:dyDescent="0.5">
      <c r="S336" s="37">
        <f t="shared" si="9"/>
        <v>1673.4636244606559</v>
      </c>
      <c r="U336" s="26">
        <f t="shared" si="8"/>
        <v>1568.4636244606559</v>
      </c>
    </row>
    <row r="337" spans="19:21" ht="14.65" thickBot="1" x14ac:dyDescent="0.5">
      <c r="S337" s="37">
        <f t="shared" si="9"/>
        <v>1690.1982607052623</v>
      </c>
      <c r="U337" s="26">
        <f t="shared" si="8"/>
        <v>1585.1982607052623</v>
      </c>
    </row>
    <row r="338" spans="19:21" ht="14.65" thickBot="1" x14ac:dyDescent="0.5">
      <c r="S338" s="37">
        <f t="shared" si="9"/>
        <v>1707.1002433123149</v>
      </c>
      <c r="U338" s="26">
        <f t="shared" ref="U338:U401" si="10">IF(S338&lt;$D$8,$D$8-$D$7-$D$9,S338-$D$7-$D$9)</f>
        <v>1602.1002433123149</v>
      </c>
    </row>
    <row r="339" spans="19:21" ht="14.65" thickBot="1" x14ac:dyDescent="0.5">
      <c r="S339" s="37">
        <f t="shared" ref="S339:S402" si="11">S338*(1.01)</f>
        <v>1724.171245745438</v>
      </c>
      <c r="U339" s="26">
        <f t="shared" si="10"/>
        <v>1619.171245745438</v>
      </c>
    </row>
    <row r="340" spans="19:21" ht="14.65" thickBot="1" x14ac:dyDescent="0.5">
      <c r="S340" s="37">
        <f t="shared" si="11"/>
        <v>1741.4129582028925</v>
      </c>
      <c r="U340" s="26">
        <f t="shared" si="10"/>
        <v>1636.4129582028925</v>
      </c>
    </row>
    <row r="341" spans="19:21" ht="14.65" thickBot="1" x14ac:dyDescent="0.5">
      <c r="S341" s="37">
        <f t="shared" si="11"/>
        <v>1758.8270877849213</v>
      </c>
      <c r="U341" s="26">
        <f t="shared" si="10"/>
        <v>1653.8270877849213</v>
      </c>
    </row>
    <row r="342" spans="19:21" ht="14.65" thickBot="1" x14ac:dyDescent="0.5">
      <c r="S342" s="37">
        <f t="shared" si="11"/>
        <v>1776.4153586627706</v>
      </c>
      <c r="U342" s="26">
        <f t="shared" si="10"/>
        <v>1671.4153586627706</v>
      </c>
    </row>
    <row r="343" spans="19:21" ht="14.65" thickBot="1" x14ac:dyDescent="0.5">
      <c r="S343" s="37">
        <f t="shared" si="11"/>
        <v>1794.1795122493984</v>
      </c>
      <c r="U343" s="26">
        <f t="shared" si="10"/>
        <v>1689.1795122493984</v>
      </c>
    </row>
    <row r="344" spans="19:21" ht="14.65" thickBot="1" x14ac:dyDescent="0.5">
      <c r="S344" s="37">
        <f t="shared" si="11"/>
        <v>1812.1213073718923</v>
      </c>
      <c r="U344" s="26">
        <f t="shared" si="10"/>
        <v>1707.1213073718923</v>
      </c>
    </row>
    <row r="345" spans="19:21" ht="14.65" thickBot="1" x14ac:dyDescent="0.5">
      <c r="S345" s="37">
        <f t="shared" si="11"/>
        <v>1830.2425204456113</v>
      </c>
      <c r="U345" s="26">
        <f t="shared" si="10"/>
        <v>1725.2425204456113</v>
      </c>
    </row>
    <row r="346" spans="19:21" ht="14.65" thickBot="1" x14ac:dyDescent="0.5">
      <c r="S346" s="37">
        <f t="shared" si="11"/>
        <v>1848.5449456500673</v>
      </c>
      <c r="U346" s="26">
        <f t="shared" si="10"/>
        <v>1743.5449456500673</v>
      </c>
    </row>
    <row r="347" spans="19:21" ht="14.65" thickBot="1" x14ac:dyDescent="0.5">
      <c r="S347" s="37">
        <f t="shared" si="11"/>
        <v>1867.030395106568</v>
      </c>
      <c r="U347" s="26">
        <f t="shared" si="10"/>
        <v>1762.030395106568</v>
      </c>
    </row>
    <row r="348" spans="19:21" ht="14.65" thickBot="1" x14ac:dyDescent="0.5">
      <c r="S348" s="37">
        <f t="shared" si="11"/>
        <v>1885.7006990576338</v>
      </c>
      <c r="U348" s="26">
        <f t="shared" si="10"/>
        <v>1780.7006990576338</v>
      </c>
    </row>
    <row r="349" spans="19:21" ht="14.65" thickBot="1" x14ac:dyDescent="0.5">
      <c r="S349" s="37">
        <f t="shared" si="11"/>
        <v>1904.5577060482101</v>
      </c>
      <c r="U349" s="26">
        <f t="shared" si="10"/>
        <v>1799.5577060482101</v>
      </c>
    </row>
    <row r="350" spans="19:21" ht="14.65" thickBot="1" x14ac:dyDescent="0.5">
      <c r="S350" s="37">
        <f t="shared" si="11"/>
        <v>1923.6032831086923</v>
      </c>
      <c r="U350" s="26">
        <f t="shared" si="10"/>
        <v>1818.6032831086923</v>
      </c>
    </row>
    <row r="351" spans="19:21" ht="14.65" thickBot="1" x14ac:dyDescent="0.5">
      <c r="S351" s="37">
        <f t="shared" si="11"/>
        <v>1942.8393159397792</v>
      </c>
      <c r="U351" s="26">
        <f t="shared" si="10"/>
        <v>1837.8393159397792</v>
      </c>
    </row>
    <row r="352" spans="19:21" ht="14.65" thickBot="1" x14ac:dyDescent="0.5">
      <c r="S352" s="37">
        <f t="shared" si="11"/>
        <v>1962.267709099177</v>
      </c>
      <c r="U352" s="26">
        <f t="shared" si="10"/>
        <v>1857.267709099177</v>
      </c>
    </row>
    <row r="353" spans="19:21" ht="14.65" thickBot="1" x14ac:dyDescent="0.5">
      <c r="S353" s="37">
        <f t="shared" si="11"/>
        <v>1981.8903861901688</v>
      </c>
      <c r="U353" s="26">
        <f t="shared" si="10"/>
        <v>1876.8903861901688</v>
      </c>
    </row>
    <row r="354" spans="19:21" ht="14.65" thickBot="1" x14ac:dyDescent="0.5">
      <c r="S354" s="37">
        <f t="shared" si="11"/>
        <v>2001.7092900520704</v>
      </c>
      <c r="U354" s="26">
        <f t="shared" si="10"/>
        <v>1896.7092900520704</v>
      </c>
    </row>
    <row r="355" spans="19:21" ht="14.65" thickBot="1" x14ac:dyDescent="0.5">
      <c r="S355" s="37">
        <f t="shared" si="11"/>
        <v>2021.7263829525912</v>
      </c>
      <c r="U355" s="26">
        <f t="shared" si="10"/>
        <v>1916.7263829525912</v>
      </c>
    </row>
    <row r="356" spans="19:21" ht="14.65" thickBot="1" x14ac:dyDescent="0.5">
      <c r="S356" s="37">
        <f t="shared" si="11"/>
        <v>2041.9436467821172</v>
      </c>
      <c r="U356" s="26">
        <f t="shared" si="10"/>
        <v>1936.9436467821172</v>
      </c>
    </row>
    <row r="357" spans="19:21" ht="14.65" thickBot="1" x14ac:dyDescent="0.5">
      <c r="S357" s="37">
        <f t="shared" si="11"/>
        <v>2062.3630832499384</v>
      </c>
      <c r="U357" s="26">
        <f t="shared" si="10"/>
        <v>1957.3630832499384</v>
      </c>
    </row>
    <row r="358" spans="19:21" ht="14.65" thickBot="1" x14ac:dyDescent="0.5">
      <c r="S358" s="37">
        <f t="shared" si="11"/>
        <v>2082.9867140824376</v>
      </c>
      <c r="U358" s="26">
        <f t="shared" si="10"/>
        <v>1977.9867140824376</v>
      </c>
    </row>
    <row r="359" spans="19:21" ht="14.65" thickBot="1" x14ac:dyDescent="0.5">
      <c r="S359" s="37">
        <f t="shared" si="11"/>
        <v>2103.8165812232619</v>
      </c>
      <c r="U359" s="26">
        <f t="shared" si="10"/>
        <v>1998.8165812232619</v>
      </c>
    </row>
    <row r="360" spans="19:21" ht="14.65" thickBot="1" x14ac:dyDescent="0.5">
      <c r="S360" s="37">
        <f t="shared" si="11"/>
        <v>2124.8547470354947</v>
      </c>
      <c r="U360" s="26">
        <f t="shared" si="10"/>
        <v>2019.8547470354947</v>
      </c>
    </row>
    <row r="361" spans="19:21" ht="14.65" thickBot="1" x14ac:dyDescent="0.5">
      <c r="S361" s="37">
        <f t="shared" si="11"/>
        <v>2146.1032945058496</v>
      </c>
      <c r="U361" s="26">
        <f t="shared" si="10"/>
        <v>2041.1032945058496</v>
      </c>
    </row>
    <row r="362" spans="19:21" ht="14.65" thickBot="1" x14ac:dyDescent="0.5">
      <c r="S362" s="37">
        <f t="shared" si="11"/>
        <v>2167.564327450908</v>
      </c>
      <c r="U362" s="26">
        <f t="shared" si="10"/>
        <v>2062.564327450908</v>
      </c>
    </row>
    <row r="363" spans="19:21" ht="14.65" thickBot="1" x14ac:dyDescent="0.5">
      <c r="S363" s="37">
        <f t="shared" si="11"/>
        <v>2189.2399707254172</v>
      </c>
      <c r="U363" s="26">
        <f t="shared" si="10"/>
        <v>2084.2399707254172</v>
      </c>
    </row>
    <row r="364" spans="19:21" ht="14.65" thickBot="1" x14ac:dyDescent="0.5">
      <c r="S364" s="37">
        <f t="shared" si="11"/>
        <v>2211.1323704326715</v>
      </c>
      <c r="U364" s="26">
        <f t="shared" si="10"/>
        <v>2106.1323704326715</v>
      </c>
    </row>
    <row r="365" spans="19:21" ht="14.65" thickBot="1" x14ac:dyDescent="0.5">
      <c r="S365" s="37">
        <f t="shared" si="11"/>
        <v>2233.2436941369983</v>
      </c>
      <c r="U365" s="26">
        <f t="shared" si="10"/>
        <v>2128.2436941369983</v>
      </c>
    </row>
    <row r="366" spans="19:21" ht="14.65" thickBot="1" x14ac:dyDescent="0.5">
      <c r="S366" s="37">
        <f t="shared" si="11"/>
        <v>2255.5761310783682</v>
      </c>
      <c r="U366" s="26">
        <f t="shared" si="10"/>
        <v>2150.5761310783682</v>
      </c>
    </row>
    <row r="367" spans="19:21" ht="14.65" thickBot="1" x14ac:dyDescent="0.5">
      <c r="S367" s="37">
        <f t="shared" si="11"/>
        <v>2278.1318923891517</v>
      </c>
      <c r="U367" s="26">
        <f t="shared" si="10"/>
        <v>2173.1318923891517</v>
      </c>
    </row>
    <row r="368" spans="19:21" ht="14.65" thickBot="1" x14ac:dyDescent="0.5">
      <c r="S368" s="37">
        <f t="shared" si="11"/>
        <v>2300.9132113130431</v>
      </c>
      <c r="U368" s="26">
        <f t="shared" si="10"/>
        <v>2195.9132113130431</v>
      </c>
    </row>
    <row r="369" spans="19:21" ht="14.65" thickBot="1" x14ac:dyDescent="0.5">
      <c r="S369" s="37">
        <f t="shared" si="11"/>
        <v>2323.9223434261735</v>
      </c>
      <c r="U369" s="26">
        <f t="shared" si="10"/>
        <v>2218.9223434261735</v>
      </c>
    </row>
    <row r="370" spans="19:21" ht="14.65" thickBot="1" x14ac:dyDescent="0.5">
      <c r="S370" s="37">
        <f t="shared" si="11"/>
        <v>2347.1615668604354</v>
      </c>
      <c r="U370" s="26">
        <f t="shared" si="10"/>
        <v>2242.1615668604354</v>
      </c>
    </row>
    <row r="371" spans="19:21" ht="14.65" thickBot="1" x14ac:dyDescent="0.5">
      <c r="S371" s="37">
        <f t="shared" si="11"/>
        <v>2370.6331825290399</v>
      </c>
      <c r="U371" s="26">
        <f t="shared" si="10"/>
        <v>2265.6331825290399</v>
      </c>
    </row>
    <row r="372" spans="19:21" ht="14.65" thickBot="1" x14ac:dyDescent="0.5">
      <c r="S372" s="37">
        <f t="shared" si="11"/>
        <v>2394.3395143543303</v>
      </c>
      <c r="U372" s="26">
        <f t="shared" si="10"/>
        <v>2289.3395143543303</v>
      </c>
    </row>
    <row r="373" spans="19:21" ht="14.65" thickBot="1" x14ac:dyDescent="0.5">
      <c r="S373" s="37">
        <f t="shared" si="11"/>
        <v>2418.2829094978738</v>
      </c>
      <c r="U373" s="26">
        <f t="shared" si="10"/>
        <v>2313.2829094978738</v>
      </c>
    </row>
    <row r="374" spans="19:21" ht="14.65" thickBot="1" x14ac:dyDescent="0.5">
      <c r="S374" s="37">
        <f t="shared" si="11"/>
        <v>2442.4657385928526</v>
      </c>
      <c r="U374" s="26">
        <f t="shared" si="10"/>
        <v>2337.4657385928526</v>
      </c>
    </row>
    <row r="375" spans="19:21" ht="14.65" thickBot="1" x14ac:dyDescent="0.5">
      <c r="S375" s="37">
        <f t="shared" si="11"/>
        <v>2466.8903959787813</v>
      </c>
      <c r="U375" s="26">
        <f t="shared" si="10"/>
        <v>2361.8903959787813</v>
      </c>
    </row>
    <row r="376" spans="19:21" ht="14.65" thickBot="1" x14ac:dyDescent="0.5">
      <c r="S376" s="37">
        <f t="shared" si="11"/>
        <v>2491.559299938569</v>
      </c>
      <c r="U376" s="26">
        <f t="shared" si="10"/>
        <v>2386.559299938569</v>
      </c>
    </row>
    <row r="377" spans="19:21" ht="14.65" thickBot="1" x14ac:dyDescent="0.5">
      <c r="S377" s="37">
        <f t="shared" si="11"/>
        <v>2516.4748929379548</v>
      </c>
      <c r="U377" s="26">
        <f t="shared" si="10"/>
        <v>2411.4748929379548</v>
      </c>
    </row>
    <row r="378" spans="19:21" ht="14.65" thickBot="1" x14ac:dyDescent="0.5">
      <c r="S378" s="37">
        <f t="shared" si="11"/>
        <v>2541.6396418673344</v>
      </c>
      <c r="U378" s="26">
        <f t="shared" si="10"/>
        <v>2436.6396418673344</v>
      </c>
    </row>
    <row r="379" spans="19:21" ht="14.65" thickBot="1" x14ac:dyDescent="0.5">
      <c r="S379" s="37">
        <f t="shared" si="11"/>
        <v>2567.0560382860076</v>
      </c>
      <c r="U379" s="26">
        <f t="shared" si="10"/>
        <v>2462.0560382860076</v>
      </c>
    </row>
    <row r="380" spans="19:21" ht="14.65" thickBot="1" x14ac:dyDescent="0.5">
      <c r="S380" s="37">
        <f t="shared" si="11"/>
        <v>2592.7265986688676</v>
      </c>
      <c r="U380" s="26">
        <f t="shared" si="10"/>
        <v>2487.7265986688676</v>
      </c>
    </row>
    <row r="381" spans="19:21" ht="14.65" thickBot="1" x14ac:dyDescent="0.5">
      <c r="S381" s="37">
        <f t="shared" si="11"/>
        <v>2618.6538646555564</v>
      </c>
      <c r="U381" s="26">
        <f t="shared" si="10"/>
        <v>2513.6538646555564</v>
      </c>
    </row>
    <row r="382" spans="19:21" ht="14.65" thickBot="1" x14ac:dyDescent="0.5">
      <c r="S382" s="37">
        <f t="shared" si="11"/>
        <v>2644.840403302112</v>
      </c>
      <c r="U382" s="26">
        <f t="shared" si="10"/>
        <v>2539.840403302112</v>
      </c>
    </row>
    <row r="383" spans="19:21" ht="14.65" thickBot="1" x14ac:dyDescent="0.5">
      <c r="S383" s="37">
        <f t="shared" si="11"/>
        <v>2671.2888073351332</v>
      </c>
      <c r="U383" s="26">
        <f t="shared" si="10"/>
        <v>2566.2888073351332</v>
      </c>
    </row>
    <row r="384" spans="19:21" ht="14.65" thickBot="1" x14ac:dyDescent="0.5">
      <c r="S384" s="37">
        <f t="shared" si="11"/>
        <v>2698.0016954084845</v>
      </c>
      <c r="U384" s="26">
        <f t="shared" si="10"/>
        <v>2593.0016954084845</v>
      </c>
    </row>
    <row r="385" spans="19:21" ht="14.65" thickBot="1" x14ac:dyDescent="0.5">
      <c r="S385" s="37">
        <f t="shared" si="11"/>
        <v>2724.9817123625694</v>
      </c>
      <c r="U385" s="26">
        <f t="shared" si="10"/>
        <v>2619.9817123625694</v>
      </c>
    </row>
    <row r="386" spans="19:21" ht="14.65" thickBot="1" x14ac:dyDescent="0.5">
      <c r="S386" s="37">
        <f t="shared" si="11"/>
        <v>2752.2315294861951</v>
      </c>
      <c r="U386" s="26">
        <f t="shared" si="10"/>
        <v>2647.2315294861951</v>
      </c>
    </row>
    <row r="387" spans="19:21" ht="14.65" thickBot="1" x14ac:dyDescent="0.5">
      <c r="S387" s="37">
        <f t="shared" si="11"/>
        <v>2779.7538447810571</v>
      </c>
      <c r="U387" s="26">
        <f t="shared" si="10"/>
        <v>2674.7538447810571</v>
      </c>
    </row>
    <row r="388" spans="19:21" ht="14.65" thickBot="1" x14ac:dyDescent="0.5">
      <c r="S388" s="37">
        <f t="shared" si="11"/>
        <v>2807.5513832288675</v>
      </c>
      <c r="U388" s="26">
        <f t="shared" si="10"/>
        <v>2702.5513832288675</v>
      </c>
    </row>
    <row r="389" spans="19:21" ht="14.65" thickBot="1" x14ac:dyDescent="0.5">
      <c r="S389" s="37">
        <f t="shared" si="11"/>
        <v>2835.6268970611563</v>
      </c>
      <c r="U389" s="26">
        <f t="shared" si="10"/>
        <v>2730.6268970611563</v>
      </c>
    </row>
    <row r="390" spans="19:21" ht="14.65" thickBot="1" x14ac:dyDescent="0.5">
      <c r="S390" s="37">
        <f t="shared" si="11"/>
        <v>2863.9831660317677</v>
      </c>
      <c r="U390" s="26">
        <f t="shared" si="10"/>
        <v>2758.9831660317677</v>
      </c>
    </row>
    <row r="391" spans="19:21" ht="14.65" thickBot="1" x14ac:dyDescent="0.5">
      <c r="S391" s="37">
        <f t="shared" si="11"/>
        <v>2892.6229976920854</v>
      </c>
      <c r="U391" s="26">
        <f t="shared" si="10"/>
        <v>2787.6229976920854</v>
      </c>
    </row>
    <row r="392" spans="19:21" ht="14.65" thickBot="1" x14ac:dyDescent="0.5">
      <c r="S392" s="37">
        <f t="shared" si="11"/>
        <v>2921.5492276690061</v>
      </c>
      <c r="U392" s="26">
        <f t="shared" si="10"/>
        <v>2816.5492276690061</v>
      </c>
    </row>
    <row r="393" spans="19:21" ht="14.65" thickBot="1" x14ac:dyDescent="0.5">
      <c r="S393" s="37">
        <f t="shared" si="11"/>
        <v>2950.764719945696</v>
      </c>
      <c r="U393" s="26">
        <f t="shared" si="10"/>
        <v>2845.764719945696</v>
      </c>
    </row>
    <row r="394" spans="19:21" ht="14.65" thickBot="1" x14ac:dyDescent="0.5">
      <c r="S394" s="37">
        <f t="shared" si="11"/>
        <v>2980.2723671451531</v>
      </c>
      <c r="U394" s="26">
        <f t="shared" si="10"/>
        <v>2875.2723671451531</v>
      </c>
    </row>
    <row r="395" spans="19:21" ht="14.65" thickBot="1" x14ac:dyDescent="0.5">
      <c r="S395" s="37">
        <f t="shared" si="11"/>
        <v>3010.0750908166046</v>
      </c>
      <c r="U395" s="26">
        <f t="shared" si="10"/>
        <v>2905.0750908166046</v>
      </c>
    </row>
    <row r="396" spans="19:21" ht="14.65" thickBot="1" x14ac:dyDescent="0.5">
      <c r="S396" s="37">
        <f t="shared" si="11"/>
        <v>3040.1758417247706</v>
      </c>
      <c r="U396" s="26">
        <f t="shared" si="10"/>
        <v>2935.1758417247706</v>
      </c>
    </row>
    <row r="397" spans="19:21" ht="14.65" thickBot="1" x14ac:dyDescent="0.5">
      <c r="S397" s="37">
        <f t="shared" si="11"/>
        <v>3070.5776001420186</v>
      </c>
      <c r="U397" s="26">
        <f t="shared" si="10"/>
        <v>2965.5776001420186</v>
      </c>
    </row>
    <row r="398" spans="19:21" ht="14.65" thickBot="1" x14ac:dyDescent="0.5">
      <c r="S398" s="37">
        <f t="shared" si="11"/>
        <v>3101.283376143439</v>
      </c>
      <c r="U398" s="26">
        <f t="shared" si="10"/>
        <v>2996.283376143439</v>
      </c>
    </row>
    <row r="399" spans="19:21" ht="14.65" thickBot="1" x14ac:dyDescent="0.5">
      <c r="S399" s="37">
        <f t="shared" si="11"/>
        <v>3132.2962099048732</v>
      </c>
      <c r="U399" s="26">
        <f t="shared" si="10"/>
        <v>3027.2962099048732</v>
      </c>
    </row>
    <row r="400" spans="19:21" ht="14.65" thickBot="1" x14ac:dyDescent="0.5">
      <c r="S400" s="37">
        <f t="shared" si="11"/>
        <v>3163.6191720039219</v>
      </c>
      <c r="U400" s="26">
        <f t="shared" si="10"/>
        <v>3058.6191720039219</v>
      </c>
    </row>
    <row r="401" spans="19:21" ht="14.65" thickBot="1" x14ac:dyDescent="0.5">
      <c r="S401" s="37">
        <f t="shared" si="11"/>
        <v>3195.2553637239612</v>
      </c>
      <c r="U401" s="26">
        <f t="shared" si="10"/>
        <v>3090.2553637239612</v>
      </c>
    </row>
    <row r="402" spans="19:21" ht="14.65" thickBot="1" x14ac:dyDescent="0.5">
      <c r="S402" s="37">
        <f t="shared" si="11"/>
        <v>3227.207917361201</v>
      </c>
      <c r="U402" s="26">
        <f t="shared" ref="U402:U465" si="12">IF(S402&lt;$D$8,$D$8-$D$7-$D$9,S402-$D$7-$D$9)</f>
        <v>3122.207917361201</v>
      </c>
    </row>
    <row r="403" spans="19:21" ht="14.65" thickBot="1" x14ac:dyDescent="0.5">
      <c r="S403" s="37">
        <f t="shared" ref="S403:S466" si="13">S402*(1.01)</f>
        <v>3259.4799965348129</v>
      </c>
      <c r="U403" s="26">
        <f t="shared" si="12"/>
        <v>3154.4799965348129</v>
      </c>
    </row>
    <row r="404" spans="19:21" ht="14.65" thickBot="1" x14ac:dyDescent="0.5">
      <c r="S404" s="37">
        <f t="shared" si="13"/>
        <v>3292.074796500161</v>
      </c>
      <c r="U404" s="26">
        <f t="shared" si="12"/>
        <v>3187.074796500161</v>
      </c>
    </row>
    <row r="405" spans="19:21" ht="14.65" thickBot="1" x14ac:dyDescent="0.5">
      <c r="S405" s="37">
        <f t="shared" si="13"/>
        <v>3324.9955444651628</v>
      </c>
      <c r="U405" s="26">
        <f t="shared" si="12"/>
        <v>3219.9955444651628</v>
      </c>
    </row>
    <row r="406" spans="19:21" ht="14.65" thickBot="1" x14ac:dyDescent="0.5">
      <c r="S406" s="37">
        <f t="shared" si="13"/>
        <v>3358.2454999098145</v>
      </c>
      <c r="U406" s="26">
        <f t="shared" si="12"/>
        <v>3253.2454999098145</v>
      </c>
    </row>
    <row r="407" spans="19:21" ht="14.65" thickBot="1" x14ac:dyDescent="0.5">
      <c r="S407" s="37">
        <f t="shared" si="13"/>
        <v>3391.8279549089125</v>
      </c>
      <c r="U407" s="26">
        <f t="shared" si="12"/>
        <v>3286.8279549089125</v>
      </c>
    </row>
    <row r="408" spans="19:21" ht="14.65" thickBot="1" x14ac:dyDescent="0.5">
      <c r="S408" s="37">
        <f t="shared" si="13"/>
        <v>3425.7462344580017</v>
      </c>
      <c r="U408" s="26">
        <f t="shared" si="12"/>
        <v>3320.7462344580017</v>
      </c>
    </row>
    <row r="409" spans="19:21" ht="14.65" thickBot="1" x14ac:dyDescent="0.5">
      <c r="S409" s="37">
        <f t="shared" si="13"/>
        <v>3460.0036968025815</v>
      </c>
      <c r="U409" s="26">
        <f t="shared" si="12"/>
        <v>3355.0036968025815</v>
      </c>
    </row>
    <row r="410" spans="19:21" ht="14.65" thickBot="1" x14ac:dyDescent="0.5">
      <c r="S410" s="37">
        <f t="shared" si="13"/>
        <v>3494.6037337706075</v>
      </c>
      <c r="U410" s="26">
        <f t="shared" si="12"/>
        <v>3389.6037337706075</v>
      </c>
    </row>
    <row r="411" spans="19:21" ht="14.65" thickBot="1" x14ac:dyDescent="0.5">
      <c r="S411" s="37">
        <f t="shared" si="13"/>
        <v>3529.5497711083135</v>
      </c>
      <c r="U411" s="26">
        <f t="shared" si="12"/>
        <v>3424.5497711083135</v>
      </c>
    </row>
    <row r="412" spans="19:21" ht="14.65" thickBot="1" x14ac:dyDescent="0.5">
      <c r="S412" s="37">
        <f t="shared" si="13"/>
        <v>3564.8452688193966</v>
      </c>
      <c r="U412" s="26">
        <f t="shared" si="12"/>
        <v>3459.8452688193966</v>
      </c>
    </row>
    <row r="413" spans="19:21" ht="14.65" thickBot="1" x14ac:dyDescent="0.5">
      <c r="S413" s="37">
        <f t="shared" si="13"/>
        <v>3600.4937215075906</v>
      </c>
      <c r="U413" s="26">
        <f t="shared" si="12"/>
        <v>3495.4937215075906</v>
      </c>
    </row>
    <row r="414" spans="19:21" ht="14.65" thickBot="1" x14ac:dyDescent="0.5">
      <c r="S414" s="37">
        <f t="shared" si="13"/>
        <v>3636.4986587226667</v>
      </c>
      <c r="U414" s="26">
        <f t="shared" si="12"/>
        <v>3531.4986587226667</v>
      </c>
    </row>
    <row r="415" spans="19:21" ht="14.65" thickBot="1" x14ac:dyDescent="0.5">
      <c r="S415" s="37">
        <f t="shared" si="13"/>
        <v>3672.8636453098934</v>
      </c>
      <c r="U415" s="26">
        <f t="shared" si="12"/>
        <v>3567.8636453098934</v>
      </c>
    </row>
    <row r="416" spans="19:21" ht="14.65" thickBot="1" x14ac:dyDescent="0.5">
      <c r="S416" s="37">
        <f t="shared" si="13"/>
        <v>3709.5922817629926</v>
      </c>
      <c r="U416" s="26">
        <f t="shared" si="12"/>
        <v>3604.5922817629926</v>
      </c>
    </row>
    <row r="417" spans="19:21" ht="14.65" thickBot="1" x14ac:dyDescent="0.5">
      <c r="S417" s="37">
        <f t="shared" si="13"/>
        <v>3746.6882045806224</v>
      </c>
      <c r="U417" s="26">
        <f t="shared" si="12"/>
        <v>3641.6882045806224</v>
      </c>
    </row>
    <row r="418" spans="19:21" ht="14.65" thickBot="1" x14ac:dyDescent="0.5">
      <c r="S418" s="37">
        <f t="shared" si="13"/>
        <v>3784.1550866264288</v>
      </c>
      <c r="U418" s="26">
        <f t="shared" si="12"/>
        <v>3679.1550866264288</v>
      </c>
    </row>
    <row r="419" spans="19:21" ht="14.65" thickBot="1" x14ac:dyDescent="0.5">
      <c r="S419" s="37">
        <f t="shared" si="13"/>
        <v>3821.996637492693</v>
      </c>
      <c r="U419" s="26">
        <f t="shared" si="12"/>
        <v>3716.996637492693</v>
      </c>
    </row>
    <row r="420" spans="19:21" ht="14.65" thickBot="1" x14ac:dyDescent="0.5">
      <c r="S420" s="37">
        <f t="shared" si="13"/>
        <v>3860.2166038676201</v>
      </c>
      <c r="U420" s="26">
        <f t="shared" si="12"/>
        <v>3755.2166038676201</v>
      </c>
    </row>
    <row r="421" spans="19:21" ht="14.65" thickBot="1" x14ac:dyDescent="0.5">
      <c r="S421" s="37">
        <f t="shared" si="13"/>
        <v>3898.8187699062964</v>
      </c>
      <c r="U421" s="26">
        <f t="shared" si="12"/>
        <v>3793.8187699062964</v>
      </c>
    </row>
    <row r="422" spans="19:21" ht="14.65" thickBot="1" x14ac:dyDescent="0.5">
      <c r="S422" s="37">
        <f t="shared" si="13"/>
        <v>3937.8069576053595</v>
      </c>
      <c r="U422" s="26">
        <f t="shared" si="12"/>
        <v>3832.8069576053595</v>
      </c>
    </row>
    <row r="423" spans="19:21" ht="14.65" thickBot="1" x14ac:dyDescent="0.5">
      <c r="S423" s="37">
        <f t="shared" si="13"/>
        <v>3977.1850271814133</v>
      </c>
      <c r="U423" s="26">
        <f t="shared" si="12"/>
        <v>3872.1850271814133</v>
      </c>
    </row>
    <row r="424" spans="19:21" ht="14.65" thickBot="1" x14ac:dyDescent="0.5">
      <c r="S424" s="37">
        <f t="shared" si="13"/>
        <v>4016.9568774532272</v>
      </c>
      <c r="U424" s="26">
        <f t="shared" si="12"/>
        <v>3911.9568774532272</v>
      </c>
    </row>
    <row r="425" spans="19:21" ht="14.65" thickBot="1" x14ac:dyDescent="0.5">
      <c r="S425" s="37">
        <f t="shared" si="13"/>
        <v>4057.1264462277595</v>
      </c>
      <c r="U425" s="26">
        <f t="shared" si="12"/>
        <v>3952.1264462277595</v>
      </c>
    </row>
    <row r="426" spans="19:21" ht="14.65" thickBot="1" x14ac:dyDescent="0.5">
      <c r="S426" s="37">
        <f t="shared" si="13"/>
        <v>4097.6977106900367</v>
      </c>
      <c r="U426" s="26">
        <f t="shared" si="12"/>
        <v>3992.6977106900367</v>
      </c>
    </row>
    <row r="427" spans="19:21" ht="14.65" thickBot="1" x14ac:dyDescent="0.5">
      <c r="S427" s="37">
        <f t="shared" si="13"/>
        <v>4138.6746877969372</v>
      </c>
      <c r="U427" s="26">
        <f t="shared" si="12"/>
        <v>4033.6746877969372</v>
      </c>
    </row>
    <row r="428" spans="19:21" ht="14.65" thickBot="1" x14ac:dyDescent="0.5">
      <c r="S428" s="37">
        <f t="shared" si="13"/>
        <v>4180.0614346749062</v>
      </c>
      <c r="U428" s="26">
        <f t="shared" si="12"/>
        <v>4075.0614346749062</v>
      </c>
    </row>
    <row r="429" spans="19:21" ht="14.65" thickBot="1" x14ac:dyDescent="0.5">
      <c r="S429" s="37">
        <f t="shared" si="13"/>
        <v>4221.8620490216554</v>
      </c>
      <c r="U429" s="26">
        <f t="shared" si="12"/>
        <v>4116.8620490216554</v>
      </c>
    </row>
    <row r="430" spans="19:21" ht="14.65" thickBot="1" x14ac:dyDescent="0.5">
      <c r="S430" s="37">
        <f t="shared" si="13"/>
        <v>4264.0806695118717</v>
      </c>
      <c r="U430" s="26">
        <f t="shared" si="12"/>
        <v>4159.0806695118717</v>
      </c>
    </row>
    <row r="431" spans="19:21" ht="14.65" thickBot="1" x14ac:dyDescent="0.5">
      <c r="S431" s="37">
        <f t="shared" si="13"/>
        <v>4306.7214762069907</v>
      </c>
      <c r="U431" s="26">
        <f t="shared" si="12"/>
        <v>4201.7214762069907</v>
      </c>
    </row>
    <row r="432" spans="19:21" ht="14.65" thickBot="1" x14ac:dyDescent="0.5">
      <c r="S432" s="37">
        <f t="shared" si="13"/>
        <v>4349.7886909690606</v>
      </c>
      <c r="U432" s="26">
        <f t="shared" si="12"/>
        <v>4244.7886909690606</v>
      </c>
    </row>
    <row r="433" spans="19:21" ht="14.65" thickBot="1" x14ac:dyDescent="0.5">
      <c r="S433" s="37">
        <f t="shared" si="13"/>
        <v>4393.2865778787509</v>
      </c>
      <c r="U433" s="26">
        <f t="shared" si="12"/>
        <v>4288.2865778787509</v>
      </c>
    </row>
    <row r="434" spans="19:21" ht="14.65" thickBot="1" x14ac:dyDescent="0.5">
      <c r="S434" s="37">
        <f t="shared" si="13"/>
        <v>4437.2194436575382</v>
      </c>
      <c r="U434" s="26">
        <f t="shared" si="12"/>
        <v>4332.2194436575382</v>
      </c>
    </row>
    <row r="435" spans="19:21" ht="14.65" thickBot="1" x14ac:dyDescent="0.5">
      <c r="S435" s="37">
        <f t="shared" si="13"/>
        <v>4481.5916380941135</v>
      </c>
      <c r="U435" s="26">
        <f t="shared" si="12"/>
        <v>4376.5916380941135</v>
      </c>
    </row>
    <row r="436" spans="19:21" ht="14.65" thickBot="1" x14ac:dyDescent="0.5">
      <c r="S436" s="37">
        <f t="shared" si="13"/>
        <v>4526.4075544750549</v>
      </c>
      <c r="U436" s="26">
        <f t="shared" si="12"/>
        <v>4421.4075544750549</v>
      </c>
    </row>
    <row r="437" spans="19:21" ht="14.65" thickBot="1" x14ac:dyDescent="0.5">
      <c r="S437" s="37">
        <f t="shared" si="13"/>
        <v>4571.6716300198059</v>
      </c>
      <c r="U437" s="26">
        <f t="shared" si="12"/>
        <v>4466.6716300198059</v>
      </c>
    </row>
    <row r="438" spans="19:21" ht="14.65" thickBot="1" x14ac:dyDescent="0.5">
      <c r="S438" s="37">
        <f t="shared" si="13"/>
        <v>4617.3883463200036</v>
      </c>
      <c r="U438" s="26">
        <f t="shared" si="12"/>
        <v>4512.3883463200036</v>
      </c>
    </row>
    <row r="439" spans="19:21" ht="14.65" thickBot="1" x14ac:dyDescent="0.5">
      <c r="S439" s="37">
        <f t="shared" si="13"/>
        <v>4663.5622297832033</v>
      </c>
      <c r="U439" s="26">
        <f t="shared" si="12"/>
        <v>4558.5622297832033</v>
      </c>
    </row>
    <row r="440" spans="19:21" ht="14.65" thickBot="1" x14ac:dyDescent="0.5">
      <c r="S440" s="37">
        <f t="shared" si="13"/>
        <v>4710.1978520810353</v>
      </c>
      <c r="U440" s="26">
        <f t="shared" si="12"/>
        <v>4605.1978520810353</v>
      </c>
    </row>
    <row r="441" spans="19:21" ht="14.65" thickBot="1" x14ac:dyDescent="0.5">
      <c r="S441" s="37">
        <f t="shared" si="13"/>
        <v>4757.2998306018453</v>
      </c>
      <c r="U441" s="26">
        <f t="shared" si="12"/>
        <v>4652.2998306018453</v>
      </c>
    </row>
    <row r="442" spans="19:21" ht="14.65" thickBot="1" x14ac:dyDescent="0.5">
      <c r="S442" s="37">
        <f t="shared" si="13"/>
        <v>4804.8728289078635</v>
      </c>
      <c r="U442" s="26">
        <f t="shared" si="12"/>
        <v>4699.8728289078635</v>
      </c>
    </row>
    <row r="443" spans="19:21" ht="14.65" thickBot="1" x14ac:dyDescent="0.5">
      <c r="S443" s="37">
        <f t="shared" si="13"/>
        <v>4852.9215571969426</v>
      </c>
      <c r="U443" s="26">
        <f t="shared" si="12"/>
        <v>4747.9215571969426</v>
      </c>
    </row>
    <row r="444" spans="19:21" ht="14.65" thickBot="1" x14ac:dyDescent="0.5">
      <c r="S444" s="37">
        <f t="shared" si="13"/>
        <v>4901.4507727689124</v>
      </c>
      <c r="U444" s="26">
        <f t="shared" si="12"/>
        <v>4796.4507727689124</v>
      </c>
    </row>
    <row r="445" spans="19:21" ht="14.65" thickBot="1" x14ac:dyDescent="0.5">
      <c r="S445" s="37">
        <f t="shared" si="13"/>
        <v>4950.4652804966017</v>
      </c>
      <c r="U445" s="26">
        <f t="shared" si="12"/>
        <v>4845.4652804966017</v>
      </c>
    </row>
    <row r="446" spans="19:21" ht="14.65" thickBot="1" x14ac:dyDescent="0.5">
      <c r="S446" s="37">
        <f t="shared" si="13"/>
        <v>4999.9699333015678</v>
      </c>
      <c r="U446" s="26">
        <f t="shared" si="12"/>
        <v>4894.9699333015678</v>
      </c>
    </row>
    <row r="447" spans="19:21" ht="14.65" thickBot="1" x14ac:dyDescent="0.5">
      <c r="S447" s="37">
        <f t="shared" si="13"/>
        <v>5049.9696326345838</v>
      </c>
      <c r="U447" s="26">
        <f t="shared" si="12"/>
        <v>4944.9696326345838</v>
      </c>
    </row>
    <row r="448" spans="19:21" ht="14.65" thickBot="1" x14ac:dyDescent="0.5">
      <c r="S448" s="37">
        <f t="shared" si="13"/>
        <v>5100.4693289609295</v>
      </c>
      <c r="U448" s="26">
        <f t="shared" si="12"/>
        <v>4995.4693289609295</v>
      </c>
    </row>
    <row r="449" spans="19:21" ht="14.65" thickBot="1" x14ac:dyDescent="0.5">
      <c r="S449" s="37">
        <f t="shared" si="13"/>
        <v>5151.4740222505388</v>
      </c>
      <c r="U449" s="26">
        <f t="shared" si="12"/>
        <v>5046.4740222505388</v>
      </c>
    </row>
    <row r="450" spans="19:21" ht="14.65" thickBot="1" x14ac:dyDescent="0.5">
      <c r="S450" s="37">
        <f t="shared" si="13"/>
        <v>5202.9887624730445</v>
      </c>
      <c r="U450" s="26">
        <f t="shared" si="12"/>
        <v>5097.9887624730445</v>
      </c>
    </row>
    <row r="451" spans="19:21" ht="14.65" thickBot="1" x14ac:dyDescent="0.5">
      <c r="S451" s="37">
        <f t="shared" si="13"/>
        <v>5255.0186500977752</v>
      </c>
      <c r="U451" s="26">
        <f t="shared" si="12"/>
        <v>5150.0186500977752</v>
      </c>
    </row>
    <row r="452" spans="19:21" ht="14.65" thickBot="1" x14ac:dyDescent="0.5">
      <c r="S452" s="37">
        <f t="shared" si="13"/>
        <v>5307.5688365987526</v>
      </c>
      <c r="U452" s="26">
        <f t="shared" si="12"/>
        <v>5202.5688365987526</v>
      </c>
    </row>
    <row r="453" spans="19:21" ht="14.65" thickBot="1" x14ac:dyDescent="0.5">
      <c r="S453" s="37">
        <f t="shared" si="13"/>
        <v>5360.6445249647404</v>
      </c>
      <c r="U453" s="26">
        <f t="shared" si="12"/>
        <v>5255.6445249647404</v>
      </c>
    </row>
    <row r="454" spans="19:21" ht="14.65" thickBot="1" x14ac:dyDescent="0.5">
      <c r="S454" s="37">
        <f t="shared" si="13"/>
        <v>5414.250970214388</v>
      </c>
      <c r="U454" s="26">
        <f t="shared" si="12"/>
        <v>5309.250970214388</v>
      </c>
    </row>
    <row r="455" spans="19:21" ht="14.65" thickBot="1" x14ac:dyDescent="0.5">
      <c r="S455" s="37">
        <f t="shared" si="13"/>
        <v>5468.3934799165318</v>
      </c>
      <c r="U455" s="26">
        <f t="shared" si="12"/>
        <v>5363.3934799165318</v>
      </c>
    </row>
    <row r="456" spans="19:21" ht="14.65" thickBot="1" x14ac:dyDescent="0.5">
      <c r="S456" s="37">
        <f t="shared" si="13"/>
        <v>5523.0774147156972</v>
      </c>
      <c r="U456" s="26">
        <f t="shared" si="12"/>
        <v>5418.0774147156972</v>
      </c>
    </row>
    <row r="457" spans="19:21" ht="14.65" thickBot="1" x14ac:dyDescent="0.5">
      <c r="S457" s="37">
        <f t="shared" si="13"/>
        <v>5578.308188862854</v>
      </c>
      <c r="U457" s="26">
        <f t="shared" si="12"/>
        <v>5473.308188862854</v>
      </c>
    </row>
    <row r="458" spans="19:21" ht="14.65" thickBot="1" x14ac:dyDescent="0.5">
      <c r="S458" s="37">
        <f t="shared" si="13"/>
        <v>5634.0912707514826</v>
      </c>
      <c r="U458" s="26">
        <f t="shared" si="12"/>
        <v>5529.0912707514826</v>
      </c>
    </row>
    <row r="459" spans="19:21" ht="14.65" thickBot="1" x14ac:dyDescent="0.5">
      <c r="S459" s="37">
        <f t="shared" si="13"/>
        <v>5690.4321834589973</v>
      </c>
      <c r="U459" s="26">
        <f t="shared" si="12"/>
        <v>5585.4321834589973</v>
      </c>
    </row>
    <row r="460" spans="19:21" ht="14.65" thickBot="1" x14ac:dyDescent="0.5">
      <c r="S460" s="37">
        <f t="shared" si="13"/>
        <v>5747.3365052935869</v>
      </c>
      <c r="U460" s="26">
        <f t="shared" si="12"/>
        <v>5642.3365052935869</v>
      </c>
    </row>
    <row r="461" spans="19:21" ht="14.65" thickBot="1" x14ac:dyDescent="0.5">
      <c r="S461" s="37">
        <f t="shared" si="13"/>
        <v>5804.809870346523</v>
      </c>
      <c r="U461" s="26">
        <f t="shared" si="12"/>
        <v>5699.809870346523</v>
      </c>
    </row>
    <row r="462" spans="19:21" ht="14.65" thickBot="1" x14ac:dyDescent="0.5">
      <c r="S462" s="37">
        <f t="shared" si="13"/>
        <v>5862.8579690499882</v>
      </c>
      <c r="U462" s="26">
        <f t="shared" si="12"/>
        <v>5757.8579690499882</v>
      </c>
    </row>
    <row r="463" spans="19:21" ht="14.65" thickBot="1" x14ac:dyDescent="0.5">
      <c r="S463" s="37">
        <f t="shared" si="13"/>
        <v>5921.4865487404886</v>
      </c>
      <c r="U463" s="26">
        <f t="shared" si="12"/>
        <v>5816.4865487404886</v>
      </c>
    </row>
    <row r="464" spans="19:21" ht="14.65" thickBot="1" x14ac:dyDescent="0.5">
      <c r="S464" s="37">
        <f t="shared" si="13"/>
        <v>5980.7014142278931</v>
      </c>
      <c r="U464" s="26">
        <f t="shared" si="12"/>
        <v>5875.7014142278931</v>
      </c>
    </row>
    <row r="465" spans="19:21" ht="14.65" thickBot="1" x14ac:dyDescent="0.5">
      <c r="S465" s="37">
        <f t="shared" si="13"/>
        <v>6040.5084283701717</v>
      </c>
      <c r="U465" s="26">
        <f t="shared" si="12"/>
        <v>5935.5084283701717</v>
      </c>
    </row>
    <row r="466" spans="19:21" ht="14.65" thickBot="1" x14ac:dyDescent="0.5">
      <c r="S466" s="37">
        <f t="shared" si="13"/>
        <v>6100.9135126538731</v>
      </c>
      <c r="U466" s="26">
        <f t="shared" ref="U466:U529" si="14">IF(S466&lt;$D$8,$D$8-$D$7-$D$9,S466-$D$7-$D$9)</f>
        <v>5995.9135126538731</v>
      </c>
    </row>
    <row r="467" spans="19:21" ht="14.65" thickBot="1" x14ac:dyDescent="0.5">
      <c r="S467" s="37">
        <f t="shared" ref="S467:S530" si="15">S466*(1.01)</f>
        <v>6161.9226477804123</v>
      </c>
      <c r="U467" s="26">
        <f t="shared" si="14"/>
        <v>6056.9226477804123</v>
      </c>
    </row>
    <row r="468" spans="19:21" ht="14.65" thickBot="1" x14ac:dyDescent="0.5">
      <c r="S468" s="37">
        <f t="shared" si="15"/>
        <v>6223.541874258216</v>
      </c>
      <c r="U468" s="26">
        <f t="shared" si="14"/>
        <v>6118.541874258216</v>
      </c>
    </row>
    <row r="469" spans="19:21" ht="14.65" thickBot="1" x14ac:dyDescent="0.5">
      <c r="S469" s="37">
        <f t="shared" si="15"/>
        <v>6285.7772930007986</v>
      </c>
      <c r="U469" s="26">
        <f t="shared" si="14"/>
        <v>6180.7772930007986</v>
      </c>
    </row>
    <row r="470" spans="19:21" ht="14.65" thickBot="1" x14ac:dyDescent="0.5">
      <c r="S470" s="37">
        <f t="shared" si="15"/>
        <v>6348.6350659308064</v>
      </c>
      <c r="U470" s="26">
        <f t="shared" si="14"/>
        <v>6243.6350659308064</v>
      </c>
    </row>
    <row r="471" spans="19:21" ht="14.65" thickBot="1" x14ac:dyDescent="0.5">
      <c r="S471" s="37">
        <f t="shared" si="15"/>
        <v>6412.1214165901147</v>
      </c>
      <c r="U471" s="26">
        <f t="shared" si="14"/>
        <v>6307.1214165901147</v>
      </c>
    </row>
    <row r="472" spans="19:21" ht="14.65" thickBot="1" x14ac:dyDescent="0.5">
      <c r="S472" s="37">
        <f t="shared" si="15"/>
        <v>6476.2426307560163</v>
      </c>
      <c r="U472" s="26">
        <f t="shared" si="14"/>
        <v>6371.2426307560163</v>
      </c>
    </row>
    <row r="473" spans="19:21" ht="14.65" thickBot="1" x14ac:dyDescent="0.5">
      <c r="S473" s="37">
        <f t="shared" si="15"/>
        <v>6541.0050570635767</v>
      </c>
      <c r="U473" s="26">
        <f t="shared" si="14"/>
        <v>6436.0050570635767</v>
      </c>
    </row>
    <row r="474" spans="19:21" ht="14.65" thickBot="1" x14ac:dyDescent="0.5">
      <c r="S474" s="37">
        <f t="shared" si="15"/>
        <v>6606.4151076342123</v>
      </c>
      <c r="U474" s="26">
        <f t="shared" si="14"/>
        <v>6501.4151076342123</v>
      </c>
    </row>
    <row r="475" spans="19:21" ht="14.65" thickBot="1" x14ac:dyDescent="0.5">
      <c r="S475" s="37">
        <f t="shared" si="15"/>
        <v>6672.4792587105549</v>
      </c>
      <c r="U475" s="26">
        <f t="shared" si="14"/>
        <v>6567.4792587105549</v>
      </c>
    </row>
    <row r="476" spans="19:21" ht="14.65" thickBot="1" x14ac:dyDescent="0.5">
      <c r="S476" s="37">
        <f t="shared" si="15"/>
        <v>6739.20405129766</v>
      </c>
      <c r="U476" s="26">
        <f t="shared" si="14"/>
        <v>6634.20405129766</v>
      </c>
    </row>
    <row r="477" spans="19:21" ht="14.65" thickBot="1" x14ac:dyDescent="0.5">
      <c r="S477" s="37">
        <f t="shared" si="15"/>
        <v>6806.5960918106366</v>
      </c>
      <c r="U477" s="26">
        <f t="shared" si="14"/>
        <v>6701.5960918106366</v>
      </c>
    </row>
    <row r="478" spans="19:21" ht="14.65" thickBot="1" x14ac:dyDescent="0.5">
      <c r="S478" s="37">
        <f t="shared" si="15"/>
        <v>6874.6620527287432</v>
      </c>
      <c r="U478" s="26">
        <f t="shared" si="14"/>
        <v>6769.6620527287432</v>
      </c>
    </row>
    <row r="479" spans="19:21" ht="14.65" thickBot="1" x14ac:dyDescent="0.5">
      <c r="S479" s="37">
        <f t="shared" si="15"/>
        <v>6943.4086732560309</v>
      </c>
      <c r="U479" s="26">
        <f t="shared" si="14"/>
        <v>6838.4086732560309</v>
      </c>
    </row>
    <row r="480" spans="19:21" ht="14.65" thickBot="1" x14ac:dyDescent="0.5">
      <c r="S480" s="37">
        <f t="shared" si="15"/>
        <v>7012.8427599885908</v>
      </c>
      <c r="U480" s="26">
        <f t="shared" si="14"/>
        <v>6907.8427599885908</v>
      </c>
    </row>
    <row r="481" spans="19:21" ht="14.65" thickBot="1" x14ac:dyDescent="0.5">
      <c r="S481" s="37">
        <f t="shared" si="15"/>
        <v>7082.9711875884768</v>
      </c>
      <c r="U481" s="26">
        <f t="shared" si="14"/>
        <v>6977.9711875884768</v>
      </c>
    </row>
    <row r="482" spans="19:21" ht="14.65" thickBot="1" x14ac:dyDescent="0.5">
      <c r="S482" s="37">
        <f t="shared" si="15"/>
        <v>7153.8008994643615</v>
      </c>
      <c r="U482" s="26">
        <f t="shared" si="14"/>
        <v>7048.8008994643615</v>
      </c>
    </row>
    <row r="483" spans="19:21" ht="14.65" thickBot="1" x14ac:dyDescent="0.5">
      <c r="S483" s="37">
        <f t="shared" si="15"/>
        <v>7225.3389084590053</v>
      </c>
      <c r="U483" s="26">
        <f t="shared" si="14"/>
        <v>7120.3389084590053</v>
      </c>
    </row>
    <row r="484" spans="19:21" ht="14.65" thickBot="1" x14ac:dyDescent="0.5">
      <c r="S484" s="37">
        <f t="shared" si="15"/>
        <v>7297.5922975435951</v>
      </c>
      <c r="U484" s="26">
        <f t="shared" si="14"/>
        <v>7192.5922975435951</v>
      </c>
    </row>
    <row r="485" spans="19:21" ht="14.65" thickBot="1" x14ac:dyDescent="0.5">
      <c r="S485" s="37">
        <f t="shared" si="15"/>
        <v>7370.5682205190315</v>
      </c>
      <c r="U485" s="26">
        <f t="shared" si="14"/>
        <v>7265.5682205190315</v>
      </c>
    </row>
    <row r="486" spans="19:21" ht="14.65" thickBot="1" x14ac:dyDescent="0.5">
      <c r="S486" s="37">
        <f t="shared" si="15"/>
        <v>7444.2739027242214</v>
      </c>
      <c r="U486" s="26">
        <f t="shared" si="14"/>
        <v>7339.2739027242214</v>
      </c>
    </row>
    <row r="487" spans="19:21" ht="14.65" thickBot="1" x14ac:dyDescent="0.5">
      <c r="S487" s="37">
        <f t="shared" si="15"/>
        <v>7518.7166417514636</v>
      </c>
      <c r="U487" s="26">
        <f t="shared" si="14"/>
        <v>7413.7166417514636</v>
      </c>
    </row>
    <row r="488" spans="19:21" ht="14.65" thickBot="1" x14ac:dyDescent="0.5">
      <c r="S488" s="37">
        <f t="shared" si="15"/>
        <v>7593.9038081689787</v>
      </c>
      <c r="U488" s="26">
        <f t="shared" si="14"/>
        <v>7488.9038081689787</v>
      </c>
    </row>
    <row r="489" spans="19:21" ht="14.65" thickBot="1" x14ac:dyDescent="0.5">
      <c r="S489" s="37">
        <f t="shared" si="15"/>
        <v>7669.8428462506681</v>
      </c>
      <c r="U489" s="26">
        <f t="shared" si="14"/>
        <v>7564.8428462506681</v>
      </c>
    </row>
    <row r="490" spans="19:21" ht="14.65" thickBot="1" x14ac:dyDescent="0.5">
      <c r="S490" s="37">
        <f t="shared" si="15"/>
        <v>7746.541274713175</v>
      </c>
      <c r="U490" s="26">
        <f t="shared" si="14"/>
        <v>7641.541274713175</v>
      </c>
    </row>
    <row r="491" spans="19:21" ht="14.65" thickBot="1" x14ac:dyDescent="0.5">
      <c r="S491" s="37">
        <f t="shared" si="15"/>
        <v>7824.0066874603071</v>
      </c>
      <c r="U491" s="26">
        <f t="shared" si="14"/>
        <v>7719.0066874603071</v>
      </c>
    </row>
    <row r="492" spans="19:21" ht="14.65" thickBot="1" x14ac:dyDescent="0.5">
      <c r="S492" s="37">
        <f t="shared" si="15"/>
        <v>7902.2467543349103</v>
      </c>
      <c r="U492" s="26">
        <f t="shared" si="14"/>
        <v>7797.2467543349103</v>
      </c>
    </row>
    <row r="493" spans="19:21" ht="14.65" thickBot="1" x14ac:dyDescent="0.5">
      <c r="S493" s="37">
        <f t="shared" si="15"/>
        <v>7981.2692218782595</v>
      </c>
      <c r="U493" s="26">
        <f t="shared" si="14"/>
        <v>7876.2692218782595</v>
      </c>
    </row>
    <row r="494" spans="19:21" ht="14.65" thickBot="1" x14ac:dyDescent="0.5">
      <c r="S494" s="37">
        <f t="shared" si="15"/>
        <v>8061.0819140970425</v>
      </c>
      <c r="U494" s="26">
        <f t="shared" si="14"/>
        <v>7956.0819140970425</v>
      </c>
    </row>
    <row r="495" spans="19:21" ht="14.65" thickBot="1" x14ac:dyDescent="0.5">
      <c r="S495" s="37">
        <f t="shared" si="15"/>
        <v>8141.6927332380128</v>
      </c>
      <c r="U495" s="26">
        <f t="shared" si="14"/>
        <v>8036.6927332380128</v>
      </c>
    </row>
    <row r="496" spans="19:21" ht="14.65" thickBot="1" x14ac:dyDescent="0.5">
      <c r="S496" s="37">
        <f t="shared" si="15"/>
        <v>8223.1096605703933</v>
      </c>
      <c r="U496" s="26">
        <f t="shared" si="14"/>
        <v>8118.1096605703933</v>
      </c>
    </row>
    <row r="497" spans="19:21" ht="14.65" thickBot="1" x14ac:dyDescent="0.5">
      <c r="S497" s="37">
        <f t="shared" si="15"/>
        <v>8305.3407571760981</v>
      </c>
      <c r="U497" s="26">
        <f t="shared" si="14"/>
        <v>8200.3407571760981</v>
      </c>
    </row>
    <row r="498" spans="19:21" ht="14.65" thickBot="1" x14ac:dyDescent="0.5">
      <c r="S498" s="37">
        <f t="shared" si="15"/>
        <v>8388.3941647478587</v>
      </c>
      <c r="U498" s="26">
        <f t="shared" si="14"/>
        <v>8283.3941647478587</v>
      </c>
    </row>
    <row r="499" spans="19:21" ht="14.65" thickBot="1" x14ac:dyDescent="0.5">
      <c r="S499" s="37">
        <f t="shared" si="15"/>
        <v>8472.2781063953371</v>
      </c>
      <c r="U499" s="26">
        <f t="shared" si="14"/>
        <v>8367.2781063953371</v>
      </c>
    </row>
    <row r="500" spans="19:21" ht="14.65" thickBot="1" x14ac:dyDescent="0.5">
      <c r="S500" s="37">
        <f t="shared" si="15"/>
        <v>8557.0008874592913</v>
      </c>
      <c r="U500" s="26">
        <f t="shared" si="14"/>
        <v>8452.0008874592913</v>
      </c>
    </row>
    <row r="501" spans="19:21" ht="14.65" thickBot="1" x14ac:dyDescent="0.5">
      <c r="S501" s="37">
        <f t="shared" si="15"/>
        <v>8642.5708963338839</v>
      </c>
      <c r="U501" s="26">
        <f t="shared" si="14"/>
        <v>8537.5708963338839</v>
      </c>
    </row>
    <row r="502" spans="19:21" ht="14.65" thickBot="1" x14ac:dyDescent="0.5">
      <c r="S502" s="37">
        <f t="shared" si="15"/>
        <v>8728.9966052972231</v>
      </c>
      <c r="U502" s="26">
        <f t="shared" si="14"/>
        <v>8623.9966052972231</v>
      </c>
    </row>
    <row r="503" spans="19:21" ht="14.65" thickBot="1" x14ac:dyDescent="0.5">
      <c r="S503" s="37">
        <f t="shared" si="15"/>
        <v>8816.286571350196</v>
      </c>
      <c r="U503" s="26">
        <f t="shared" si="14"/>
        <v>8711.286571350196</v>
      </c>
    </row>
    <row r="504" spans="19:21" ht="14.65" thickBot="1" x14ac:dyDescent="0.5">
      <c r="S504" s="37">
        <f t="shared" si="15"/>
        <v>8904.4494370636985</v>
      </c>
      <c r="U504" s="26">
        <f t="shared" si="14"/>
        <v>8799.4494370636985</v>
      </c>
    </row>
    <row r="505" spans="19:21" ht="14.65" thickBot="1" x14ac:dyDescent="0.5">
      <c r="S505" s="37">
        <f t="shared" si="15"/>
        <v>8993.4939314343355</v>
      </c>
      <c r="U505" s="26">
        <f t="shared" si="14"/>
        <v>8888.4939314343355</v>
      </c>
    </row>
    <row r="506" spans="19:21" ht="14.65" thickBot="1" x14ac:dyDescent="0.5">
      <c r="S506" s="37">
        <f t="shared" si="15"/>
        <v>9083.4288707486794</v>
      </c>
      <c r="U506" s="26">
        <f t="shared" si="14"/>
        <v>8978.4288707486794</v>
      </c>
    </row>
    <row r="507" spans="19:21" ht="14.65" thickBot="1" x14ac:dyDescent="0.5">
      <c r="S507" s="37">
        <f t="shared" si="15"/>
        <v>9174.2631594561662</v>
      </c>
      <c r="U507" s="26">
        <f t="shared" si="14"/>
        <v>9069.2631594561662</v>
      </c>
    </row>
    <row r="508" spans="19:21" ht="14.65" thickBot="1" x14ac:dyDescent="0.5">
      <c r="S508" s="37">
        <f t="shared" si="15"/>
        <v>9266.0057910507276</v>
      </c>
      <c r="U508" s="26">
        <f t="shared" si="14"/>
        <v>9161.0057910507276</v>
      </c>
    </row>
    <row r="509" spans="19:21" ht="14.65" thickBot="1" x14ac:dyDescent="0.5">
      <c r="S509" s="37">
        <f t="shared" si="15"/>
        <v>9358.6658489612346</v>
      </c>
      <c r="U509" s="26">
        <f t="shared" si="14"/>
        <v>9253.6658489612346</v>
      </c>
    </row>
    <row r="510" spans="19:21" ht="14.65" thickBot="1" x14ac:dyDescent="0.5">
      <c r="S510" s="37">
        <f t="shared" si="15"/>
        <v>9452.2525074508467</v>
      </c>
      <c r="U510" s="26">
        <f t="shared" si="14"/>
        <v>9347.2525074508467</v>
      </c>
    </row>
    <row r="511" spans="19:21" ht="14.65" thickBot="1" x14ac:dyDescent="0.5">
      <c r="S511" s="37">
        <f t="shared" si="15"/>
        <v>9546.7750325253546</v>
      </c>
      <c r="U511" s="26">
        <f t="shared" si="14"/>
        <v>9441.7750325253546</v>
      </c>
    </row>
    <row r="512" spans="19:21" ht="14.65" thickBot="1" x14ac:dyDescent="0.5">
      <c r="S512" s="37">
        <f t="shared" si="15"/>
        <v>9642.2427828506079</v>
      </c>
      <c r="U512" s="26">
        <f t="shared" si="14"/>
        <v>9537.2427828506079</v>
      </c>
    </row>
    <row r="513" spans="19:21" ht="14.65" thickBot="1" x14ac:dyDescent="0.5">
      <c r="S513" s="37">
        <f t="shared" si="15"/>
        <v>9738.6652106791134</v>
      </c>
      <c r="U513" s="26">
        <f t="shared" si="14"/>
        <v>9633.6652106791134</v>
      </c>
    </row>
    <row r="514" spans="19:21" ht="14.65" thickBot="1" x14ac:dyDescent="0.5">
      <c r="S514" s="37">
        <f t="shared" si="15"/>
        <v>9836.0518627859055</v>
      </c>
      <c r="U514" s="26">
        <f t="shared" si="14"/>
        <v>9731.0518627859055</v>
      </c>
    </row>
    <row r="515" spans="19:21" ht="14.65" thickBot="1" x14ac:dyDescent="0.5">
      <c r="S515" s="37">
        <f t="shared" si="15"/>
        <v>9934.4123814137638</v>
      </c>
      <c r="U515" s="26">
        <f t="shared" si="14"/>
        <v>9829.4123814137638</v>
      </c>
    </row>
    <row r="516" spans="19:21" ht="14.65" thickBot="1" x14ac:dyDescent="0.5">
      <c r="S516" s="37">
        <f t="shared" si="15"/>
        <v>10033.756505227902</v>
      </c>
      <c r="U516" s="26">
        <f t="shared" si="14"/>
        <v>9928.7565052279024</v>
      </c>
    </row>
    <row r="517" spans="19:21" ht="14.65" thickBot="1" x14ac:dyDescent="0.5">
      <c r="S517" s="37">
        <f t="shared" si="15"/>
        <v>10134.094070280182</v>
      </c>
      <c r="U517" s="26">
        <f t="shared" si="14"/>
        <v>10029.094070280182</v>
      </c>
    </row>
    <row r="518" spans="19:21" ht="14.65" thickBot="1" x14ac:dyDescent="0.5">
      <c r="S518" s="37">
        <f t="shared" si="15"/>
        <v>10235.435010982983</v>
      </c>
      <c r="U518" s="26">
        <f t="shared" si="14"/>
        <v>10130.435010982983</v>
      </c>
    </row>
    <row r="519" spans="19:21" ht="14.65" thickBot="1" x14ac:dyDescent="0.5">
      <c r="S519" s="37">
        <f t="shared" si="15"/>
        <v>10337.789361092813</v>
      </c>
      <c r="U519" s="26">
        <f t="shared" si="14"/>
        <v>10232.789361092813</v>
      </c>
    </row>
    <row r="520" spans="19:21" ht="14.65" thickBot="1" x14ac:dyDescent="0.5">
      <c r="S520" s="37">
        <f t="shared" si="15"/>
        <v>10441.167254703741</v>
      </c>
      <c r="U520" s="26">
        <f t="shared" si="14"/>
        <v>10336.167254703741</v>
      </c>
    </row>
    <row r="521" spans="19:21" ht="14.65" thickBot="1" x14ac:dyDescent="0.5">
      <c r="S521" s="37">
        <f t="shared" si="15"/>
        <v>10545.578927250779</v>
      </c>
      <c r="U521" s="26">
        <f t="shared" si="14"/>
        <v>10440.578927250779</v>
      </c>
    </row>
    <row r="522" spans="19:21" ht="14.65" thickBot="1" x14ac:dyDescent="0.5">
      <c r="S522" s="37">
        <f t="shared" si="15"/>
        <v>10651.034716523287</v>
      </c>
      <c r="U522" s="26">
        <f t="shared" si="14"/>
        <v>10546.034716523287</v>
      </c>
    </row>
    <row r="523" spans="19:21" ht="14.65" thickBot="1" x14ac:dyDescent="0.5">
      <c r="S523" s="37">
        <f t="shared" si="15"/>
        <v>10757.54506368852</v>
      </c>
      <c r="U523" s="26">
        <f t="shared" si="14"/>
        <v>10652.54506368852</v>
      </c>
    </row>
    <row r="524" spans="19:21" ht="14.65" thickBot="1" x14ac:dyDescent="0.5">
      <c r="S524" s="37">
        <f t="shared" si="15"/>
        <v>10865.120514325405</v>
      </c>
      <c r="U524" s="26">
        <f t="shared" si="14"/>
        <v>10760.120514325405</v>
      </c>
    </row>
    <row r="525" spans="19:21" ht="14.65" thickBot="1" x14ac:dyDescent="0.5">
      <c r="S525" s="37">
        <f t="shared" si="15"/>
        <v>10973.771719468659</v>
      </c>
      <c r="U525" s="26">
        <f t="shared" si="14"/>
        <v>10868.771719468659</v>
      </c>
    </row>
    <row r="526" spans="19:21" ht="14.65" thickBot="1" x14ac:dyDescent="0.5">
      <c r="S526" s="37">
        <f t="shared" si="15"/>
        <v>11083.509436663346</v>
      </c>
      <c r="U526" s="26">
        <f t="shared" si="14"/>
        <v>10978.509436663346</v>
      </c>
    </row>
    <row r="527" spans="19:21" ht="14.65" thickBot="1" x14ac:dyDescent="0.5">
      <c r="S527" s="37">
        <f t="shared" si="15"/>
        <v>11194.344531029979</v>
      </c>
      <c r="U527" s="26">
        <f t="shared" si="14"/>
        <v>11089.344531029979</v>
      </c>
    </row>
    <row r="528" spans="19:21" ht="14.65" thickBot="1" x14ac:dyDescent="0.5">
      <c r="S528" s="37">
        <f t="shared" si="15"/>
        <v>11306.28797634028</v>
      </c>
      <c r="U528" s="26">
        <f t="shared" si="14"/>
        <v>11201.28797634028</v>
      </c>
    </row>
    <row r="529" spans="19:21" ht="14.65" thickBot="1" x14ac:dyDescent="0.5">
      <c r="S529" s="37">
        <f t="shared" si="15"/>
        <v>11419.350856103683</v>
      </c>
      <c r="U529" s="26">
        <f t="shared" si="14"/>
        <v>11314.350856103683</v>
      </c>
    </row>
    <row r="530" spans="19:21" ht="14.65" thickBot="1" x14ac:dyDescent="0.5">
      <c r="S530" s="37">
        <f t="shared" si="15"/>
        <v>11533.54436466472</v>
      </c>
      <c r="U530" s="26">
        <f t="shared" ref="U530:U593" si="16">IF(S530&lt;$D$8,$D$8-$D$7-$D$9,S530-$D$7-$D$9)</f>
        <v>11428.54436466472</v>
      </c>
    </row>
    <row r="531" spans="19:21" ht="14.65" thickBot="1" x14ac:dyDescent="0.5">
      <c r="S531" s="37">
        <f t="shared" ref="S531:S594" si="17">S530*(1.01)</f>
        <v>11648.879808311367</v>
      </c>
      <c r="U531" s="26">
        <f t="shared" si="16"/>
        <v>11543.879808311367</v>
      </c>
    </row>
    <row r="532" spans="19:21" ht="14.65" thickBot="1" x14ac:dyDescent="0.5">
      <c r="S532" s="37">
        <f t="shared" si="17"/>
        <v>11765.368606394481</v>
      </c>
      <c r="U532" s="26">
        <f t="shared" si="16"/>
        <v>11660.368606394481</v>
      </c>
    </row>
    <row r="533" spans="19:21" ht="14.65" thickBot="1" x14ac:dyDescent="0.5">
      <c r="S533" s="37">
        <f t="shared" si="17"/>
        <v>11883.022292458425</v>
      </c>
      <c r="U533" s="26">
        <f t="shared" si="16"/>
        <v>11778.022292458425</v>
      </c>
    </row>
    <row r="534" spans="19:21" ht="14.65" thickBot="1" x14ac:dyDescent="0.5">
      <c r="S534" s="37">
        <f t="shared" si="17"/>
        <v>12001.852515383009</v>
      </c>
      <c r="U534" s="26">
        <f t="shared" si="16"/>
        <v>11896.852515383009</v>
      </c>
    </row>
    <row r="535" spans="19:21" ht="14.65" thickBot="1" x14ac:dyDescent="0.5">
      <c r="S535" s="37">
        <f t="shared" si="17"/>
        <v>12121.871040536838</v>
      </c>
      <c r="U535" s="26">
        <f t="shared" si="16"/>
        <v>12016.871040536838</v>
      </c>
    </row>
    <row r="536" spans="19:21" ht="14.65" thickBot="1" x14ac:dyDescent="0.5">
      <c r="S536" s="37">
        <f t="shared" si="17"/>
        <v>12243.089750942207</v>
      </c>
      <c r="U536" s="26">
        <f t="shared" si="16"/>
        <v>12138.089750942207</v>
      </c>
    </row>
    <row r="537" spans="19:21" ht="14.65" thickBot="1" x14ac:dyDescent="0.5">
      <c r="S537" s="37">
        <f t="shared" si="17"/>
        <v>12365.520648451629</v>
      </c>
      <c r="U537" s="26">
        <f t="shared" si="16"/>
        <v>12260.520648451629</v>
      </c>
    </row>
    <row r="538" spans="19:21" ht="14.65" thickBot="1" x14ac:dyDescent="0.5">
      <c r="S538" s="37">
        <f t="shared" si="17"/>
        <v>12489.175854936146</v>
      </c>
      <c r="U538" s="26">
        <f t="shared" si="16"/>
        <v>12384.175854936146</v>
      </c>
    </row>
    <row r="539" spans="19:21" ht="14.65" thickBot="1" x14ac:dyDescent="0.5">
      <c r="S539" s="37">
        <f t="shared" si="17"/>
        <v>12614.067613485508</v>
      </c>
      <c r="U539" s="26">
        <f t="shared" si="16"/>
        <v>12509.067613485508</v>
      </c>
    </row>
    <row r="540" spans="19:21" ht="14.65" thickBot="1" x14ac:dyDescent="0.5">
      <c r="S540" s="37">
        <f t="shared" si="17"/>
        <v>12740.208289620363</v>
      </c>
      <c r="U540" s="26">
        <f t="shared" si="16"/>
        <v>12635.208289620363</v>
      </c>
    </row>
    <row r="541" spans="19:21" ht="14.65" thickBot="1" x14ac:dyDescent="0.5">
      <c r="S541" s="37">
        <f t="shared" si="17"/>
        <v>12867.610372516567</v>
      </c>
      <c r="U541" s="26">
        <f t="shared" si="16"/>
        <v>12762.610372516567</v>
      </c>
    </row>
    <row r="542" spans="19:21" ht="14.65" thickBot="1" x14ac:dyDescent="0.5">
      <c r="S542" s="37">
        <f t="shared" si="17"/>
        <v>12996.286476241732</v>
      </c>
      <c r="U542" s="26">
        <f t="shared" si="16"/>
        <v>12891.286476241732</v>
      </c>
    </row>
    <row r="543" spans="19:21" ht="14.65" thickBot="1" x14ac:dyDescent="0.5">
      <c r="S543" s="37">
        <f t="shared" si="17"/>
        <v>13126.24934100415</v>
      </c>
      <c r="U543" s="26">
        <f t="shared" si="16"/>
        <v>13021.24934100415</v>
      </c>
    </row>
    <row r="544" spans="19:21" ht="14.65" thickBot="1" x14ac:dyDescent="0.5">
      <c r="S544" s="37">
        <f t="shared" si="17"/>
        <v>13257.511834414192</v>
      </c>
      <c r="U544" s="26">
        <f t="shared" si="16"/>
        <v>13152.511834414192</v>
      </c>
    </row>
    <row r="545" spans="19:21" ht="14.65" thickBot="1" x14ac:dyDescent="0.5">
      <c r="S545" s="37">
        <f t="shared" si="17"/>
        <v>13390.086952758335</v>
      </c>
      <c r="U545" s="26">
        <f t="shared" si="16"/>
        <v>13285.086952758335</v>
      </c>
    </row>
    <row r="546" spans="19:21" ht="14.65" thickBot="1" x14ac:dyDescent="0.5">
      <c r="S546" s="37">
        <f t="shared" si="17"/>
        <v>13523.987822285919</v>
      </c>
      <c r="U546" s="26">
        <f t="shared" si="16"/>
        <v>13418.987822285919</v>
      </c>
    </row>
    <row r="547" spans="19:21" ht="14.65" thickBot="1" x14ac:dyDescent="0.5">
      <c r="S547" s="37">
        <f t="shared" si="17"/>
        <v>13659.227700508778</v>
      </c>
      <c r="U547" s="26">
        <f t="shared" si="16"/>
        <v>13554.227700508778</v>
      </c>
    </row>
    <row r="548" spans="19:21" ht="14.65" thickBot="1" x14ac:dyDescent="0.5">
      <c r="S548" s="37">
        <f t="shared" si="17"/>
        <v>13795.819977513866</v>
      </c>
      <c r="U548" s="26">
        <f t="shared" si="16"/>
        <v>13690.819977513866</v>
      </c>
    </row>
    <row r="549" spans="19:21" ht="14.65" thickBot="1" x14ac:dyDescent="0.5">
      <c r="S549" s="37">
        <f t="shared" si="17"/>
        <v>13933.778177289005</v>
      </c>
      <c r="U549" s="26">
        <f t="shared" si="16"/>
        <v>13828.778177289005</v>
      </c>
    </row>
    <row r="550" spans="19:21" ht="14.65" thickBot="1" x14ac:dyDescent="0.5">
      <c r="S550" s="37">
        <f t="shared" si="17"/>
        <v>14073.115959061895</v>
      </c>
      <c r="U550" s="26">
        <f t="shared" si="16"/>
        <v>13968.115959061895</v>
      </c>
    </row>
    <row r="551" spans="19:21" ht="14.65" thickBot="1" x14ac:dyDescent="0.5">
      <c r="S551" s="37">
        <f t="shared" si="17"/>
        <v>14213.847118652515</v>
      </c>
      <c r="U551" s="26">
        <f t="shared" si="16"/>
        <v>14108.847118652515</v>
      </c>
    </row>
    <row r="552" spans="19:21" ht="14.65" thickBot="1" x14ac:dyDescent="0.5">
      <c r="S552" s="37">
        <f t="shared" si="17"/>
        <v>14355.98558983904</v>
      </c>
      <c r="U552" s="26">
        <f t="shared" si="16"/>
        <v>14250.98558983904</v>
      </c>
    </row>
    <row r="553" spans="19:21" ht="14.65" thickBot="1" x14ac:dyDescent="0.5">
      <c r="S553" s="37">
        <f t="shared" si="17"/>
        <v>14499.545445737431</v>
      </c>
      <c r="U553" s="26">
        <f t="shared" si="16"/>
        <v>14394.545445737431</v>
      </c>
    </row>
    <row r="554" spans="19:21" ht="14.65" thickBot="1" x14ac:dyDescent="0.5">
      <c r="S554" s="37">
        <f t="shared" si="17"/>
        <v>14644.540900194805</v>
      </c>
      <c r="U554" s="26">
        <f t="shared" si="16"/>
        <v>14539.540900194805</v>
      </c>
    </row>
    <row r="555" spans="19:21" ht="14.65" thickBot="1" x14ac:dyDescent="0.5">
      <c r="S555" s="37">
        <f t="shared" si="17"/>
        <v>14790.986309196753</v>
      </c>
      <c r="U555" s="26">
        <f t="shared" si="16"/>
        <v>14685.986309196753</v>
      </c>
    </row>
    <row r="556" spans="19:21" ht="14.65" thickBot="1" x14ac:dyDescent="0.5">
      <c r="S556" s="37">
        <f t="shared" si="17"/>
        <v>14938.89617228872</v>
      </c>
      <c r="U556" s="26">
        <f t="shared" si="16"/>
        <v>14833.89617228872</v>
      </c>
    </row>
    <row r="557" spans="19:21" ht="14.65" thickBot="1" x14ac:dyDescent="0.5">
      <c r="S557" s="37">
        <f t="shared" si="17"/>
        <v>15088.285134011607</v>
      </c>
      <c r="U557" s="26">
        <f t="shared" si="16"/>
        <v>14983.285134011607</v>
      </c>
    </row>
    <row r="558" spans="19:21" ht="14.65" thickBot="1" x14ac:dyDescent="0.5">
      <c r="S558" s="37">
        <f t="shared" si="17"/>
        <v>15239.167985351723</v>
      </c>
      <c r="U558" s="26">
        <f t="shared" si="16"/>
        <v>15134.167985351723</v>
      </c>
    </row>
    <row r="559" spans="19:21" ht="14.65" thickBot="1" x14ac:dyDescent="0.5">
      <c r="S559" s="37">
        <f t="shared" si="17"/>
        <v>15391.559665205241</v>
      </c>
      <c r="U559" s="26">
        <f t="shared" si="16"/>
        <v>15286.559665205241</v>
      </c>
    </row>
    <row r="560" spans="19:21" ht="14.65" thickBot="1" x14ac:dyDescent="0.5">
      <c r="S560" s="37">
        <f t="shared" si="17"/>
        <v>15545.475261857293</v>
      </c>
      <c r="U560" s="26">
        <f t="shared" si="16"/>
        <v>15440.475261857293</v>
      </c>
    </row>
    <row r="561" spans="19:21" ht="14.65" thickBot="1" x14ac:dyDescent="0.5">
      <c r="S561" s="37">
        <f t="shared" si="17"/>
        <v>15700.930014475865</v>
      </c>
      <c r="U561" s="26">
        <f t="shared" si="16"/>
        <v>15595.930014475865</v>
      </c>
    </row>
    <row r="562" spans="19:21" ht="14.65" thickBot="1" x14ac:dyDescent="0.5">
      <c r="S562" s="37">
        <f t="shared" si="17"/>
        <v>15857.939314620624</v>
      </c>
      <c r="U562" s="26">
        <f t="shared" si="16"/>
        <v>15752.939314620624</v>
      </c>
    </row>
    <row r="563" spans="19:21" ht="14.65" thickBot="1" x14ac:dyDescent="0.5">
      <c r="S563" s="37">
        <f t="shared" si="17"/>
        <v>16016.518707766831</v>
      </c>
      <c r="U563" s="26">
        <f t="shared" si="16"/>
        <v>15911.518707766831</v>
      </c>
    </row>
    <row r="564" spans="19:21" ht="14.65" thickBot="1" x14ac:dyDescent="0.5">
      <c r="S564" s="37">
        <f t="shared" si="17"/>
        <v>16176.683894844498</v>
      </c>
      <c r="U564" s="26">
        <f t="shared" si="16"/>
        <v>16071.683894844498</v>
      </c>
    </row>
    <row r="565" spans="19:21" ht="14.65" thickBot="1" x14ac:dyDescent="0.5">
      <c r="S565" s="37">
        <f t="shared" si="17"/>
        <v>16338.450733792943</v>
      </c>
      <c r="U565" s="26">
        <f t="shared" si="16"/>
        <v>16233.450733792943</v>
      </c>
    </row>
    <row r="566" spans="19:21" ht="14.65" thickBot="1" x14ac:dyDescent="0.5">
      <c r="S566" s="37">
        <f t="shared" si="17"/>
        <v>16501.835241130873</v>
      </c>
      <c r="U566" s="26">
        <f t="shared" si="16"/>
        <v>16396.835241130873</v>
      </c>
    </row>
    <row r="567" spans="19:21" ht="14.65" thickBot="1" x14ac:dyDescent="0.5">
      <c r="S567" s="37">
        <f t="shared" si="17"/>
        <v>16666.853593542182</v>
      </c>
      <c r="U567" s="26">
        <f t="shared" si="16"/>
        <v>16561.853593542182</v>
      </c>
    </row>
    <row r="568" spans="19:21" ht="14.65" thickBot="1" x14ac:dyDescent="0.5">
      <c r="S568" s="37">
        <f t="shared" si="17"/>
        <v>16833.522129477606</v>
      </c>
      <c r="U568" s="26">
        <f t="shared" si="16"/>
        <v>16728.522129477606</v>
      </c>
    </row>
    <row r="569" spans="19:21" ht="14.65" thickBot="1" x14ac:dyDescent="0.5">
      <c r="S569" s="37">
        <f t="shared" si="17"/>
        <v>17001.857350772381</v>
      </c>
      <c r="U569" s="26">
        <f t="shared" si="16"/>
        <v>16896.857350772381</v>
      </c>
    </row>
    <row r="570" spans="19:21" ht="14.65" thickBot="1" x14ac:dyDescent="0.5">
      <c r="S570" s="37">
        <f t="shared" si="17"/>
        <v>17171.875924280106</v>
      </c>
      <c r="U570" s="26">
        <f t="shared" si="16"/>
        <v>17066.875924280106</v>
      </c>
    </row>
    <row r="571" spans="19:21" ht="14.65" thickBot="1" x14ac:dyDescent="0.5">
      <c r="S571" s="37">
        <f t="shared" si="17"/>
        <v>17343.594683522908</v>
      </c>
      <c r="U571" s="26">
        <f t="shared" si="16"/>
        <v>17238.594683522908</v>
      </c>
    </row>
    <row r="572" spans="19:21" ht="14.65" thickBot="1" x14ac:dyDescent="0.5">
      <c r="S572" s="37">
        <f t="shared" si="17"/>
        <v>17517.030630358138</v>
      </c>
      <c r="U572" s="26">
        <f t="shared" si="16"/>
        <v>17412.030630358138</v>
      </c>
    </row>
    <row r="573" spans="19:21" ht="14.65" thickBot="1" x14ac:dyDescent="0.5">
      <c r="S573" s="37">
        <f t="shared" si="17"/>
        <v>17692.20093666172</v>
      </c>
      <c r="U573" s="26">
        <f t="shared" si="16"/>
        <v>17587.20093666172</v>
      </c>
    </row>
    <row r="574" spans="19:21" ht="14.65" thickBot="1" x14ac:dyDescent="0.5">
      <c r="S574" s="37">
        <f t="shared" si="17"/>
        <v>17869.122946028339</v>
      </c>
      <c r="U574" s="26">
        <f t="shared" si="16"/>
        <v>17764.122946028339</v>
      </c>
    </row>
    <row r="575" spans="19:21" ht="14.65" thickBot="1" x14ac:dyDescent="0.5">
      <c r="S575" s="37">
        <f t="shared" si="17"/>
        <v>18047.814175488624</v>
      </c>
      <c r="U575" s="26">
        <f t="shared" si="16"/>
        <v>17942.814175488624</v>
      </c>
    </row>
    <row r="576" spans="19:21" ht="14.65" thickBot="1" x14ac:dyDescent="0.5">
      <c r="S576" s="37">
        <f t="shared" si="17"/>
        <v>18228.292317243511</v>
      </c>
      <c r="U576" s="26">
        <f t="shared" si="16"/>
        <v>18123.292317243511</v>
      </c>
    </row>
    <row r="577" spans="19:21" ht="14.65" thickBot="1" x14ac:dyDescent="0.5">
      <c r="S577" s="37">
        <f t="shared" si="17"/>
        <v>18410.575240415947</v>
      </c>
      <c r="U577" s="26">
        <f t="shared" si="16"/>
        <v>18305.575240415947</v>
      </c>
    </row>
    <row r="578" spans="19:21" ht="14.65" thickBot="1" x14ac:dyDescent="0.5">
      <c r="S578" s="37">
        <f t="shared" si="17"/>
        <v>18594.680992820107</v>
      </c>
      <c r="U578" s="26">
        <f t="shared" si="16"/>
        <v>18489.680992820107</v>
      </c>
    </row>
    <row r="579" spans="19:21" ht="14.65" thickBot="1" x14ac:dyDescent="0.5">
      <c r="S579" s="37">
        <f t="shared" si="17"/>
        <v>18780.627802748309</v>
      </c>
      <c r="U579" s="26">
        <f t="shared" si="16"/>
        <v>18675.627802748309</v>
      </c>
    </row>
    <row r="580" spans="19:21" ht="14.65" thickBot="1" x14ac:dyDescent="0.5">
      <c r="S580" s="37">
        <f t="shared" si="17"/>
        <v>18968.434080775794</v>
      </c>
      <c r="U580" s="26">
        <f t="shared" si="16"/>
        <v>18863.434080775794</v>
      </c>
    </row>
    <row r="581" spans="19:21" ht="14.65" thickBot="1" x14ac:dyDescent="0.5">
      <c r="S581" s="37">
        <f t="shared" si="17"/>
        <v>19158.118421583553</v>
      </c>
      <c r="U581" s="26">
        <f t="shared" si="16"/>
        <v>19053.118421583553</v>
      </c>
    </row>
    <row r="582" spans="19:21" ht="14.65" thickBot="1" x14ac:dyDescent="0.5">
      <c r="S582" s="37">
        <f t="shared" si="17"/>
        <v>19349.699605799389</v>
      </c>
      <c r="U582" s="26">
        <f t="shared" si="16"/>
        <v>19244.699605799389</v>
      </c>
    </row>
    <row r="583" spans="19:21" ht="14.65" thickBot="1" x14ac:dyDescent="0.5">
      <c r="S583" s="37">
        <f t="shared" si="17"/>
        <v>19543.196601857384</v>
      </c>
      <c r="U583" s="26">
        <f t="shared" si="16"/>
        <v>19438.196601857384</v>
      </c>
    </row>
    <row r="584" spans="19:21" ht="14.65" thickBot="1" x14ac:dyDescent="0.5">
      <c r="S584" s="37">
        <f t="shared" si="17"/>
        <v>19738.62856787596</v>
      </c>
      <c r="U584" s="26">
        <f t="shared" si="16"/>
        <v>19633.62856787596</v>
      </c>
    </row>
    <row r="585" spans="19:21" ht="14.65" thickBot="1" x14ac:dyDescent="0.5">
      <c r="S585" s="37">
        <f t="shared" si="17"/>
        <v>19936.01485355472</v>
      </c>
      <c r="U585" s="26">
        <f t="shared" si="16"/>
        <v>19831.01485355472</v>
      </c>
    </row>
    <row r="586" spans="19:21" ht="14.65" thickBot="1" x14ac:dyDescent="0.5">
      <c r="S586" s="37">
        <f t="shared" si="17"/>
        <v>20135.375002090266</v>
      </c>
      <c r="U586" s="26">
        <f t="shared" si="16"/>
        <v>20030.375002090266</v>
      </c>
    </row>
    <row r="587" spans="19:21" ht="14.65" thickBot="1" x14ac:dyDescent="0.5">
      <c r="S587" s="37">
        <f t="shared" si="17"/>
        <v>20336.728752111168</v>
      </c>
      <c r="U587" s="26">
        <f t="shared" si="16"/>
        <v>20231.728752111168</v>
      </c>
    </row>
    <row r="588" spans="19:21" ht="14.65" thickBot="1" x14ac:dyDescent="0.5">
      <c r="S588" s="37">
        <f t="shared" si="17"/>
        <v>20540.096039632281</v>
      </c>
      <c r="U588" s="26">
        <f t="shared" si="16"/>
        <v>20435.096039632281</v>
      </c>
    </row>
    <row r="589" spans="19:21" ht="14.65" thickBot="1" x14ac:dyDescent="0.5">
      <c r="S589" s="37">
        <f t="shared" si="17"/>
        <v>20745.497000028605</v>
      </c>
      <c r="U589" s="26">
        <f t="shared" si="16"/>
        <v>20640.497000028605</v>
      </c>
    </row>
    <row r="590" spans="19:21" ht="14.65" thickBot="1" x14ac:dyDescent="0.5">
      <c r="S590" s="37">
        <f t="shared" si="17"/>
        <v>20952.951970028891</v>
      </c>
      <c r="U590" s="26">
        <f t="shared" si="16"/>
        <v>20847.951970028891</v>
      </c>
    </row>
    <row r="591" spans="19:21" ht="14.65" thickBot="1" x14ac:dyDescent="0.5">
      <c r="S591" s="37">
        <f t="shared" si="17"/>
        <v>21162.48148972918</v>
      </c>
      <c r="U591" s="26">
        <f t="shared" si="16"/>
        <v>21057.48148972918</v>
      </c>
    </row>
    <row r="592" spans="19:21" ht="14.65" thickBot="1" x14ac:dyDescent="0.5">
      <c r="S592" s="37">
        <f t="shared" si="17"/>
        <v>21374.106304626472</v>
      </c>
      <c r="U592" s="26">
        <f t="shared" si="16"/>
        <v>21269.106304626472</v>
      </c>
    </row>
    <row r="593" spans="19:21" ht="14.65" thickBot="1" x14ac:dyDescent="0.5">
      <c r="S593" s="37">
        <f t="shared" si="17"/>
        <v>21587.847367672737</v>
      </c>
      <c r="U593" s="26">
        <f t="shared" si="16"/>
        <v>21482.847367672737</v>
      </c>
    </row>
    <row r="594" spans="19:21" ht="14.65" thickBot="1" x14ac:dyDescent="0.5">
      <c r="S594" s="37">
        <f t="shared" si="17"/>
        <v>21803.725841349464</v>
      </c>
      <c r="U594" s="26">
        <f t="shared" ref="U594:U657" si="18">IF(S594&lt;$D$8,$D$8-$D$7-$D$9,S594-$D$7-$D$9)</f>
        <v>21698.725841349464</v>
      </c>
    </row>
    <row r="595" spans="19:21" ht="14.65" thickBot="1" x14ac:dyDescent="0.5">
      <c r="S595" s="37">
        <f t="shared" ref="S595:S658" si="19">S594*(1.01)</f>
        <v>22021.76309976296</v>
      </c>
      <c r="U595" s="26">
        <f t="shared" si="18"/>
        <v>21916.76309976296</v>
      </c>
    </row>
    <row r="596" spans="19:21" ht="14.65" thickBot="1" x14ac:dyDescent="0.5">
      <c r="S596" s="37">
        <f t="shared" si="19"/>
        <v>22241.980730760592</v>
      </c>
      <c r="U596" s="26">
        <f t="shared" si="18"/>
        <v>22136.980730760592</v>
      </c>
    </row>
    <row r="597" spans="19:21" ht="14.65" thickBot="1" x14ac:dyDescent="0.5">
      <c r="S597" s="37">
        <f t="shared" si="19"/>
        <v>22464.400538068199</v>
      </c>
      <c r="U597" s="26">
        <f t="shared" si="18"/>
        <v>22359.400538068199</v>
      </c>
    </row>
    <row r="598" spans="19:21" ht="14.65" thickBot="1" x14ac:dyDescent="0.5">
      <c r="S598" s="37">
        <f t="shared" si="19"/>
        <v>22689.044543448883</v>
      </c>
      <c r="U598" s="26">
        <f t="shared" si="18"/>
        <v>22584.044543448883</v>
      </c>
    </row>
    <row r="599" spans="19:21" ht="14.65" thickBot="1" x14ac:dyDescent="0.5">
      <c r="S599" s="37">
        <f t="shared" si="19"/>
        <v>22915.934988883371</v>
      </c>
      <c r="U599" s="26">
        <f t="shared" si="18"/>
        <v>22810.934988883371</v>
      </c>
    </row>
    <row r="600" spans="19:21" ht="14.65" thickBot="1" x14ac:dyDescent="0.5">
      <c r="S600" s="37">
        <f t="shared" si="19"/>
        <v>23145.094338772204</v>
      </c>
      <c r="U600" s="26">
        <f t="shared" si="18"/>
        <v>23040.094338772204</v>
      </c>
    </row>
    <row r="601" spans="19:21" ht="14.65" thickBot="1" x14ac:dyDescent="0.5">
      <c r="S601" s="37">
        <f t="shared" si="19"/>
        <v>23376.545282159925</v>
      </c>
      <c r="U601" s="26">
        <f t="shared" si="18"/>
        <v>23271.545282159925</v>
      </c>
    </row>
    <row r="602" spans="19:21" ht="14.65" thickBot="1" x14ac:dyDescent="0.5">
      <c r="S602" s="37">
        <f t="shared" si="19"/>
        <v>23610.310734981525</v>
      </c>
      <c r="U602" s="26">
        <f t="shared" si="18"/>
        <v>23505.310734981525</v>
      </c>
    </row>
    <row r="603" spans="19:21" ht="14.65" thickBot="1" x14ac:dyDescent="0.5">
      <c r="S603" s="37">
        <f t="shared" si="19"/>
        <v>23846.413842331342</v>
      </c>
      <c r="U603" s="26">
        <f t="shared" si="18"/>
        <v>23741.413842331342</v>
      </c>
    </row>
    <row r="604" spans="19:21" ht="14.65" thickBot="1" x14ac:dyDescent="0.5">
      <c r="S604" s="37">
        <f t="shared" si="19"/>
        <v>24084.877980754656</v>
      </c>
      <c r="U604" s="26">
        <f t="shared" si="18"/>
        <v>23979.877980754656</v>
      </c>
    </row>
    <row r="605" spans="19:21" ht="14.65" thickBot="1" x14ac:dyDescent="0.5">
      <c r="S605" s="37">
        <f t="shared" si="19"/>
        <v>24325.726760562204</v>
      </c>
      <c r="U605" s="26">
        <f t="shared" si="18"/>
        <v>24220.726760562204</v>
      </c>
    </row>
    <row r="606" spans="19:21" ht="14.65" thickBot="1" x14ac:dyDescent="0.5">
      <c r="S606" s="37">
        <f t="shared" si="19"/>
        <v>24568.984028167826</v>
      </c>
      <c r="U606" s="26">
        <f t="shared" si="18"/>
        <v>24463.984028167826</v>
      </c>
    </row>
    <row r="607" spans="19:21" ht="14.65" thickBot="1" x14ac:dyDescent="0.5">
      <c r="S607" s="37">
        <f t="shared" si="19"/>
        <v>24814.673868449503</v>
      </c>
      <c r="U607" s="26">
        <f t="shared" si="18"/>
        <v>24709.673868449503</v>
      </c>
    </row>
    <row r="608" spans="19:21" ht="14.65" thickBot="1" x14ac:dyDescent="0.5">
      <c r="S608" s="37">
        <f t="shared" si="19"/>
        <v>25062.820607133999</v>
      </c>
      <c r="U608" s="26">
        <f t="shared" si="18"/>
        <v>24957.820607133999</v>
      </c>
    </row>
    <row r="609" spans="19:21" ht="14.65" thickBot="1" x14ac:dyDescent="0.5">
      <c r="S609" s="37">
        <f t="shared" si="19"/>
        <v>25313.448813205341</v>
      </c>
      <c r="U609" s="26">
        <f t="shared" si="18"/>
        <v>25208.448813205341</v>
      </c>
    </row>
    <row r="610" spans="19:21" ht="14.65" thickBot="1" x14ac:dyDescent="0.5">
      <c r="S610" s="37">
        <f t="shared" si="19"/>
        <v>25566.583301337396</v>
      </c>
      <c r="U610" s="26">
        <f t="shared" si="18"/>
        <v>25461.583301337396</v>
      </c>
    </row>
    <row r="611" spans="19:21" ht="14.65" thickBot="1" x14ac:dyDescent="0.5">
      <c r="S611" s="37">
        <f t="shared" si="19"/>
        <v>25822.249134350772</v>
      </c>
      <c r="U611" s="26">
        <f t="shared" si="18"/>
        <v>25717.249134350772</v>
      </c>
    </row>
    <row r="612" spans="19:21" ht="14.65" thickBot="1" x14ac:dyDescent="0.5">
      <c r="S612" s="37">
        <f t="shared" si="19"/>
        <v>26080.471625694281</v>
      </c>
      <c r="U612" s="26">
        <f t="shared" si="18"/>
        <v>25975.471625694281</v>
      </c>
    </row>
    <row r="613" spans="19:21" ht="14.65" thickBot="1" x14ac:dyDescent="0.5">
      <c r="S613" s="37">
        <f t="shared" si="19"/>
        <v>26341.276341951223</v>
      </c>
      <c r="U613" s="26">
        <f t="shared" si="18"/>
        <v>26236.276341951223</v>
      </c>
    </row>
    <row r="614" spans="19:21" ht="14.65" thickBot="1" x14ac:dyDescent="0.5">
      <c r="S614" s="37">
        <f t="shared" si="19"/>
        <v>26604.689105370737</v>
      </c>
      <c r="U614" s="26">
        <f t="shared" si="18"/>
        <v>26499.689105370737</v>
      </c>
    </row>
    <row r="615" spans="19:21" ht="14.65" thickBot="1" x14ac:dyDescent="0.5">
      <c r="S615" s="37">
        <f t="shared" si="19"/>
        <v>26870.735996424446</v>
      </c>
      <c r="U615" s="26">
        <f t="shared" si="18"/>
        <v>26765.735996424446</v>
      </c>
    </row>
    <row r="616" spans="19:21" ht="14.65" thickBot="1" x14ac:dyDescent="0.5">
      <c r="S616" s="37">
        <f t="shared" si="19"/>
        <v>27139.443356388692</v>
      </c>
      <c r="U616" s="26">
        <f t="shared" si="18"/>
        <v>27034.443356388692</v>
      </c>
    </row>
    <row r="617" spans="19:21" ht="14.65" thickBot="1" x14ac:dyDescent="0.5">
      <c r="S617" s="37">
        <f t="shared" si="19"/>
        <v>27410.83778995258</v>
      </c>
      <c r="U617" s="26">
        <f t="shared" si="18"/>
        <v>27305.83778995258</v>
      </c>
    </row>
    <row r="618" spans="19:21" ht="14.65" thickBot="1" x14ac:dyDescent="0.5">
      <c r="S618" s="37">
        <f t="shared" si="19"/>
        <v>27684.946167852107</v>
      </c>
      <c r="U618" s="26">
        <f t="shared" si="18"/>
        <v>27579.946167852107</v>
      </c>
    </row>
    <row r="619" spans="19:21" ht="14.65" thickBot="1" x14ac:dyDescent="0.5">
      <c r="S619" s="37">
        <f t="shared" si="19"/>
        <v>27961.795629530629</v>
      </c>
      <c r="U619" s="26">
        <f t="shared" si="18"/>
        <v>27856.795629530629</v>
      </c>
    </row>
    <row r="620" spans="19:21" ht="14.65" thickBot="1" x14ac:dyDescent="0.5">
      <c r="S620" s="37">
        <f t="shared" si="19"/>
        <v>28241.413585825936</v>
      </c>
      <c r="U620" s="26">
        <f t="shared" si="18"/>
        <v>28136.413585825936</v>
      </c>
    </row>
    <row r="621" spans="19:21" ht="14.65" thickBot="1" x14ac:dyDescent="0.5">
      <c r="S621" s="37">
        <f t="shared" si="19"/>
        <v>28523.827721684196</v>
      </c>
      <c r="U621" s="26">
        <f t="shared" si="18"/>
        <v>28418.827721684196</v>
      </c>
    </row>
    <row r="622" spans="19:21" ht="14.65" thickBot="1" x14ac:dyDescent="0.5">
      <c r="S622" s="37">
        <f t="shared" si="19"/>
        <v>28809.065998901038</v>
      </c>
      <c r="U622" s="26">
        <f t="shared" si="18"/>
        <v>28704.065998901038</v>
      </c>
    </row>
    <row r="623" spans="19:21" ht="14.65" thickBot="1" x14ac:dyDescent="0.5">
      <c r="S623" s="37">
        <f t="shared" si="19"/>
        <v>29097.15665889005</v>
      </c>
      <c r="U623" s="26">
        <f t="shared" si="18"/>
        <v>28992.15665889005</v>
      </c>
    </row>
    <row r="624" spans="19:21" ht="14.65" thickBot="1" x14ac:dyDescent="0.5">
      <c r="S624" s="37">
        <f t="shared" si="19"/>
        <v>29388.128225478951</v>
      </c>
      <c r="U624" s="26">
        <f t="shared" si="18"/>
        <v>29283.128225478951</v>
      </c>
    </row>
    <row r="625" spans="19:21" ht="14.65" thickBot="1" x14ac:dyDescent="0.5">
      <c r="S625" s="37">
        <f t="shared" si="19"/>
        <v>29682.009507733743</v>
      </c>
      <c r="U625" s="26">
        <f t="shared" si="18"/>
        <v>29577.009507733743</v>
      </c>
    </row>
    <row r="626" spans="19:21" ht="14.65" thickBot="1" x14ac:dyDescent="0.5">
      <c r="S626" s="37">
        <f t="shared" si="19"/>
        <v>29978.829602811082</v>
      </c>
      <c r="U626" s="26">
        <f t="shared" si="18"/>
        <v>29873.829602811082</v>
      </c>
    </row>
    <row r="627" spans="19:21" ht="14.65" thickBot="1" x14ac:dyDescent="0.5">
      <c r="S627" s="37">
        <f t="shared" si="19"/>
        <v>30278.617898839191</v>
      </c>
      <c r="U627" s="26">
        <f t="shared" si="18"/>
        <v>30173.617898839191</v>
      </c>
    </row>
    <row r="628" spans="19:21" ht="14.65" thickBot="1" x14ac:dyDescent="0.5">
      <c r="S628" s="37">
        <f t="shared" si="19"/>
        <v>30581.404077827585</v>
      </c>
      <c r="U628" s="26">
        <f t="shared" si="18"/>
        <v>30476.404077827585</v>
      </c>
    </row>
    <row r="629" spans="19:21" ht="14.65" thickBot="1" x14ac:dyDescent="0.5">
      <c r="S629" s="37">
        <f t="shared" si="19"/>
        <v>30887.218118605862</v>
      </c>
      <c r="U629" s="26">
        <f t="shared" si="18"/>
        <v>30782.218118605862</v>
      </c>
    </row>
    <row r="630" spans="19:21" ht="14.65" thickBot="1" x14ac:dyDescent="0.5">
      <c r="S630" s="37">
        <f t="shared" si="19"/>
        <v>31196.090299791922</v>
      </c>
      <c r="U630" s="26">
        <f t="shared" si="18"/>
        <v>31091.090299791922</v>
      </c>
    </row>
    <row r="631" spans="19:21" ht="14.65" thickBot="1" x14ac:dyDescent="0.5">
      <c r="S631" s="37">
        <f t="shared" si="19"/>
        <v>31508.05120278984</v>
      </c>
      <c r="U631" s="26">
        <f t="shared" si="18"/>
        <v>31403.05120278984</v>
      </c>
    </row>
    <row r="632" spans="19:21" ht="14.65" thickBot="1" x14ac:dyDescent="0.5">
      <c r="S632" s="37">
        <f t="shared" si="19"/>
        <v>31823.13171481774</v>
      </c>
      <c r="U632" s="26">
        <f t="shared" si="18"/>
        <v>31718.13171481774</v>
      </c>
    </row>
    <row r="633" spans="19:21" ht="14.65" thickBot="1" x14ac:dyDescent="0.5">
      <c r="S633" s="37">
        <f t="shared" si="19"/>
        <v>32141.363031965917</v>
      </c>
      <c r="U633" s="26">
        <f t="shared" si="18"/>
        <v>32036.363031965917</v>
      </c>
    </row>
    <row r="634" spans="19:21" ht="14.65" thickBot="1" x14ac:dyDescent="0.5">
      <c r="S634" s="37">
        <f t="shared" si="19"/>
        <v>32462.776662285578</v>
      </c>
      <c r="U634" s="26">
        <f t="shared" si="18"/>
        <v>32357.776662285578</v>
      </c>
    </row>
    <row r="635" spans="19:21" ht="14.65" thickBot="1" x14ac:dyDescent="0.5">
      <c r="S635" s="37">
        <f t="shared" si="19"/>
        <v>32787.404428908434</v>
      </c>
      <c r="U635" s="26">
        <f t="shared" si="18"/>
        <v>32682.404428908434</v>
      </c>
    </row>
    <row r="636" spans="19:21" ht="14.65" thickBot="1" x14ac:dyDescent="0.5">
      <c r="S636" s="37">
        <f t="shared" si="19"/>
        <v>33115.278473197519</v>
      </c>
      <c r="U636" s="26">
        <f t="shared" si="18"/>
        <v>33010.278473197519</v>
      </c>
    </row>
    <row r="637" spans="19:21" ht="14.65" thickBot="1" x14ac:dyDescent="0.5">
      <c r="S637" s="37">
        <f t="shared" si="19"/>
        <v>33446.431257929493</v>
      </c>
      <c r="U637" s="26">
        <f t="shared" si="18"/>
        <v>33341.431257929493</v>
      </c>
    </row>
    <row r="638" spans="19:21" ht="14.65" thickBot="1" x14ac:dyDescent="0.5">
      <c r="S638" s="37">
        <f t="shared" si="19"/>
        <v>33780.895570508786</v>
      </c>
      <c r="U638" s="26">
        <f t="shared" si="18"/>
        <v>33675.895570508786</v>
      </c>
    </row>
    <row r="639" spans="19:21" ht="14.65" thickBot="1" x14ac:dyDescent="0.5">
      <c r="S639" s="37">
        <f t="shared" si="19"/>
        <v>34118.704526213878</v>
      </c>
      <c r="U639" s="26">
        <f t="shared" si="18"/>
        <v>34013.704526213878</v>
      </c>
    </row>
    <row r="640" spans="19:21" ht="14.65" thickBot="1" x14ac:dyDescent="0.5">
      <c r="S640" s="37">
        <f t="shared" si="19"/>
        <v>34459.891571476015</v>
      </c>
      <c r="U640" s="26">
        <f t="shared" si="18"/>
        <v>34354.891571476015</v>
      </c>
    </row>
    <row r="641" spans="19:21" ht="14.65" thickBot="1" x14ac:dyDescent="0.5">
      <c r="S641" s="37">
        <f t="shared" si="19"/>
        <v>34804.490487190778</v>
      </c>
      <c r="U641" s="26">
        <f t="shared" si="18"/>
        <v>34699.490487190778</v>
      </c>
    </row>
    <row r="642" spans="19:21" ht="14.65" thickBot="1" x14ac:dyDescent="0.5">
      <c r="S642" s="37">
        <f t="shared" si="19"/>
        <v>35152.535392062688</v>
      </c>
      <c r="U642" s="26">
        <f t="shared" si="18"/>
        <v>35047.535392062688</v>
      </c>
    </row>
    <row r="643" spans="19:21" ht="14.65" thickBot="1" x14ac:dyDescent="0.5">
      <c r="S643" s="37">
        <f t="shared" si="19"/>
        <v>35504.060745983312</v>
      </c>
      <c r="U643" s="26">
        <f t="shared" si="18"/>
        <v>35399.060745983312</v>
      </c>
    </row>
    <row r="644" spans="19:21" ht="14.65" thickBot="1" x14ac:dyDescent="0.5">
      <c r="S644" s="37">
        <f t="shared" si="19"/>
        <v>35859.101353443148</v>
      </c>
      <c r="U644" s="26">
        <f t="shared" si="18"/>
        <v>35754.101353443148</v>
      </c>
    </row>
    <row r="645" spans="19:21" ht="14.65" thickBot="1" x14ac:dyDescent="0.5">
      <c r="S645" s="37">
        <f t="shared" si="19"/>
        <v>36217.692366977579</v>
      </c>
      <c r="U645" s="26">
        <f t="shared" si="18"/>
        <v>36112.692366977579</v>
      </c>
    </row>
    <row r="646" spans="19:21" ht="14.65" thickBot="1" x14ac:dyDescent="0.5">
      <c r="S646" s="37">
        <f t="shared" si="19"/>
        <v>36579.869290647352</v>
      </c>
      <c r="U646" s="26">
        <f t="shared" si="18"/>
        <v>36474.869290647352</v>
      </c>
    </row>
    <row r="647" spans="19:21" ht="14.65" thickBot="1" x14ac:dyDescent="0.5">
      <c r="S647" s="37">
        <f t="shared" si="19"/>
        <v>36945.667983553823</v>
      </c>
      <c r="U647" s="26">
        <f t="shared" si="18"/>
        <v>36840.667983553823</v>
      </c>
    </row>
    <row r="648" spans="19:21" ht="14.65" thickBot="1" x14ac:dyDescent="0.5">
      <c r="S648" s="37">
        <f t="shared" si="19"/>
        <v>37315.124663389361</v>
      </c>
      <c r="U648" s="26">
        <f t="shared" si="18"/>
        <v>37210.124663389361</v>
      </c>
    </row>
    <row r="649" spans="19:21" ht="14.65" thickBot="1" x14ac:dyDescent="0.5">
      <c r="S649" s="37">
        <f t="shared" si="19"/>
        <v>37688.275910023258</v>
      </c>
      <c r="U649" s="26">
        <f t="shared" si="18"/>
        <v>37583.275910023258</v>
      </c>
    </row>
    <row r="650" spans="19:21" ht="14.65" thickBot="1" x14ac:dyDescent="0.5">
      <c r="S650" s="37">
        <f t="shared" si="19"/>
        <v>38065.158669123492</v>
      </c>
      <c r="U650" s="26">
        <f t="shared" si="18"/>
        <v>37960.158669123492</v>
      </c>
    </row>
    <row r="651" spans="19:21" ht="14.65" thickBot="1" x14ac:dyDescent="0.5">
      <c r="S651" s="37">
        <f t="shared" si="19"/>
        <v>38445.810255814729</v>
      </c>
      <c r="U651" s="26">
        <f t="shared" si="18"/>
        <v>38340.810255814729</v>
      </c>
    </row>
    <row r="652" spans="19:21" ht="14.65" thickBot="1" x14ac:dyDescent="0.5">
      <c r="S652" s="37">
        <f t="shared" si="19"/>
        <v>38830.268358372879</v>
      </c>
      <c r="U652" s="26">
        <f t="shared" si="18"/>
        <v>38725.268358372879</v>
      </c>
    </row>
    <row r="653" spans="19:21" ht="14.65" thickBot="1" x14ac:dyDescent="0.5">
      <c r="S653" s="37">
        <f t="shared" si="19"/>
        <v>39218.571041956609</v>
      </c>
      <c r="U653" s="26">
        <f t="shared" si="18"/>
        <v>39113.571041956609</v>
      </c>
    </row>
    <row r="654" spans="19:21" ht="14.65" thickBot="1" x14ac:dyDescent="0.5">
      <c r="S654" s="37">
        <f t="shared" si="19"/>
        <v>39610.756752376175</v>
      </c>
      <c r="U654" s="26">
        <f t="shared" si="18"/>
        <v>39505.756752376175</v>
      </c>
    </row>
    <row r="655" spans="19:21" ht="14.65" thickBot="1" x14ac:dyDescent="0.5">
      <c r="S655" s="37">
        <f t="shared" si="19"/>
        <v>40006.864319899934</v>
      </c>
      <c r="U655" s="26">
        <f t="shared" si="18"/>
        <v>39901.864319899934</v>
      </c>
    </row>
    <row r="656" spans="19:21" ht="14.65" thickBot="1" x14ac:dyDescent="0.5">
      <c r="S656" s="37">
        <f t="shared" si="19"/>
        <v>40406.93296309893</v>
      </c>
      <c r="U656" s="26">
        <f t="shared" si="18"/>
        <v>40301.93296309893</v>
      </c>
    </row>
    <row r="657" spans="19:21" ht="14.65" thickBot="1" x14ac:dyDescent="0.5">
      <c r="S657" s="37">
        <f t="shared" si="19"/>
        <v>40811.002292729921</v>
      </c>
      <c r="U657" s="26">
        <f t="shared" si="18"/>
        <v>40706.002292729921</v>
      </c>
    </row>
    <row r="658" spans="19:21" ht="14.65" thickBot="1" x14ac:dyDescent="0.5">
      <c r="S658" s="37">
        <f t="shared" si="19"/>
        <v>41219.112315657221</v>
      </c>
      <c r="U658" s="26">
        <f t="shared" ref="U658:U721" si="20">IF(S658&lt;$D$8,$D$8-$D$7-$D$9,S658-$D$7-$D$9)</f>
        <v>41114.112315657221</v>
      </c>
    </row>
    <row r="659" spans="19:21" ht="14.65" thickBot="1" x14ac:dyDescent="0.5">
      <c r="S659" s="37">
        <f t="shared" ref="S659:S722" si="21">S658*(1.01)</f>
        <v>41631.303438813797</v>
      </c>
      <c r="U659" s="26">
        <f t="shared" si="20"/>
        <v>41526.303438813797</v>
      </c>
    </row>
    <row r="660" spans="19:21" ht="14.65" thickBot="1" x14ac:dyDescent="0.5">
      <c r="S660" s="37">
        <f t="shared" si="21"/>
        <v>42047.616473201932</v>
      </c>
      <c r="U660" s="26">
        <f t="shared" si="20"/>
        <v>41942.616473201932</v>
      </c>
    </row>
    <row r="661" spans="19:21" ht="14.65" thickBot="1" x14ac:dyDescent="0.5">
      <c r="S661" s="37">
        <f t="shared" si="21"/>
        <v>42468.092637933951</v>
      </c>
      <c r="U661" s="26">
        <f t="shared" si="20"/>
        <v>42363.092637933951</v>
      </c>
    </row>
    <row r="662" spans="19:21" ht="14.65" thickBot="1" x14ac:dyDescent="0.5">
      <c r="S662" s="37">
        <f t="shared" si="21"/>
        <v>42892.773564313291</v>
      </c>
      <c r="U662" s="26">
        <f t="shared" si="20"/>
        <v>42787.773564313291</v>
      </c>
    </row>
    <row r="663" spans="19:21" ht="14.65" thickBot="1" x14ac:dyDescent="0.5">
      <c r="S663" s="37">
        <f t="shared" si="21"/>
        <v>43321.701299956425</v>
      </c>
      <c r="U663" s="26">
        <f t="shared" si="20"/>
        <v>43216.701299956425</v>
      </c>
    </row>
    <row r="664" spans="19:21" ht="14.65" thickBot="1" x14ac:dyDescent="0.5">
      <c r="S664" s="37">
        <f t="shared" si="21"/>
        <v>43754.91831295599</v>
      </c>
      <c r="U664" s="26">
        <f t="shared" si="20"/>
        <v>43649.91831295599</v>
      </c>
    </row>
    <row r="665" spans="19:21" ht="14.65" thickBot="1" x14ac:dyDescent="0.5">
      <c r="S665" s="37">
        <f t="shared" si="21"/>
        <v>44192.467496085548</v>
      </c>
      <c r="U665" s="26">
        <f t="shared" si="20"/>
        <v>44087.467496085548</v>
      </c>
    </row>
    <row r="666" spans="19:21" ht="14.65" thickBot="1" x14ac:dyDescent="0.5">
      <c r="S666" s="37">
        <f t="shared" si="21"/>
        <v>44634.392171046406</v>
      </c>
      <c r="U666" s="26">
        <f t="shared" si="20"/>
        <v>44529.392171046406</v>
      </c>
    </row>
    <row r="667" spans="19:21" ht="14.65" thickBot="1" x14ac:dyDescent="0.5">
      <c r="S667" s="37">
        <f t="shared" si="21"/>
        <v>45080.736092756873</v>
      </c>
      <c r="U667" s="26">
        <f t="shared" si="20"/>
        <v>44975.736092756873</v>
      </c>
    </row>
    <row r="668" spans="19:21" ht="14.65" thickBot="1" x14ac:dyDescent="0.5">
      <c r="S668" s="37">
        <f t="shared" si="21"/>
        <v>45531.54345368444</v>
      </c>
      <c r="U668" s="26">
        <f t="shared" si="20"/>
        <v>45426.54345368444</v>
      </c>
    </row>
    <row r="669" spans="19:21" ht="14.65" thickBot="1" x14ac:dyDescent="0.5">
      <c r="S669" s="37">
        <f t="shared" si="21"/>
        <v>45986.858888221286</v>
      </c>
      <c r="U669" s="26">
        <f t="shared" si="20"/>
        <v>45881.858888221286</v>
      </c>
    </row>
    <row r="670" spans="19:21" ht="14.65" thickBot="1" x14ac:dyDescent="0.5">
      <c r="S670" s="37">
        <f t="shared" si="21"/>
        <v>46446.727477103501</v>
      </c>
      <c r="U670" s="26">
        <f t="shared" si="20"/>
        <v>46341.727477103501</v>
      </c>
    </row>
    <row r="671" spans="19:21" ht="14.65" thickBot="1" x14ac:dyDescent="0.5">
      <c r="S671" s="37">
        <f t="shared" si="21"/>
        <v>46911.194751874536</v>
      </c>
      <c r="U671" s="26">
        <f t="shared" si="20"/>
        <v>46806.194751874536</v>
      </c>
    </row>
    <row r="672" spans="19:21" ht="14.65" thickBot="1" x14ac:dyDescent="0.5">
      <c r="S672" s="37">
        <f t="shared" si="21"/>
        <v>47380.306699393281</v>
      </c>
      <c r="U672" s="26">
        <f t="shared" si="20"/>
        <v>47275.306699393281</v>
      </c>
    </row>
    <row r="673" spans="19:21" ht="14.65" thickBot="1" x14ac:dyDescent="0.5">
      <c r="S673" s="37">
        <f t="shared" si="21"/>
        <v>47854.109766387213</v>
      </c>
      <c r="U673" s="26">
        <f t="shared" si="20"/>
        <v>47749.109766387213</v>
      </c>
    </row>
    <row r="674" spans="19:21" ht="14.65" thickBot="1" x14ac:dyDescent="0.5">
      <c r="S674" s="37">
        <f t="shared" si="21"/>
        <v>48332.650864051087</v>
      </c>
      <c r="U674" s="26">
        <f t="shared" si="20"/>
        <v>48227.650864051087</v>
      </c>
    </row>
    <row r="675" spans="19:21" ht="14.65" thickBot="1" x14ac:dyDescent="0.5">
      <c r="S675" s="37">
        <f t="shared" si="21"/>
        <v>48815.977372691596</v>
      </c>
      <c r="U675" s="26">
        <f t="shared" si="20"/>
        <v>48710.977372691596</v>
      </c>
    </row>
    <row r="676" spans="19:21" ht="14.65" thickBot="1" x14ac:dyDescent="0.5">
      <c r="S676" s="37">
        <f t="shared" si="21"/>
        <v>49304.137146418514</v>
      </c>
      <c r="U676" s="26">
        <f t="shared" si="20"/>
        <v>49199.137146418514</v>
      </c>
    </row>
    <row r="677" spans="19:21" ht="14.65" thickBot="1" x14ac:dyDescent="0.5">
      <c r="S677" s="37">
        <f t="shared" si="21"/>
        <v>49797.178517882698</v>
      </c>
      <c r="U677" s="26">
        <f t="shared" si="20"/>
        <v>49692.178517882698</v>
      </c>
    </row>
    <row r="678" spans="19:21" ht="14.65" thickBot="1" x14ac:dyDescent="0.5">
      <c r="S678" s="37">
        <f t="shared" si="21"/>
        <v>50295.150303061528</v>
      </c>
      <c r="U678" s="26">
        <f t="shared" si="20"/>
        <v>50190.150303061528</v>
      </c>
    </row>
    <row r="679" spans="19:21" ht="14.65" thickBot="1" x14ac:dyDescent="0.5">
      <c r="S679" s="37">
        <f t="shared" si="21"/>
        <v>50798.101806092141</v>
      </c>
      <c r="U679" s="26">
        <f t="shared" si="20"/>
        <v>50693.101806092141</v>
      </c>
    </row>
    <row r="680" spans="19:21" ht="14.65" thickBot="1" x14ac:dyDescent="0.5">
      <c r="S680" s="37">
        <f t="shared" si="21"/>
        <v>51306.082824153062</v>
      </c>
      <c r="U680" s="26">
        <f t="shared" si="20"/>
        <v>51201.082824153062</v>
      </c>
    </row>
    <row r="681" spans="19:21" ht="14.65" thickBot="1" x14ac:dyDescent="0.5">
      <c r="S681" s="37">
        <f t="shared" si="21"/>
        <v>51819.143652394596</v>
      </c>
      <c r="U681" s="26">
        <f t="shared" si="20"/>
        <v>51714.143652394596</v>
      </c>
    </row>
    <row r="682" spans="19:21" ht="14.65" thickBot="1" x14ac:dyDescent="0.5">
      <c r="S682" s="37">
        <f t="shared" si="21"/>
        <v>52337.335088918546</v>
      </c>
      <c r="U682" s="26">
        <f t="shared" si="20"/>
        <v>52232.335088918546</v>
      </c>
    </row>
    <row r="683" spans="19:21" ht="14.65" thickBot="1" x14ac:dyDescent="0.5">
      <c r="S683" s="37">
        <f t="shared" si="21"/>
        <v>52860.708439807735</v>
      </c>
      <c r="U683" s="26">
        <f t="shared" si="20"/>
        <v>52755.708439807735</v>
      </c>
    </row>
    <row r="684" spans="19:21" ht="14.65" thickBot="1" x14ac:dyDescent="0.5">
      <c r="S684" s="37">
        <f t="shared" si="21"/>
        <v>53389.315524205813</v>
      </c>
      <c r="U684" s="26">
        <f t="shared" si="20"/>
        <v>53284.315524205813</v>
      </c>
    </row>
    <row r="685" spans="19:21" ht="14.65" thickBot="1" x14ac:dyDescent="0.5">
      <c r="S685" s="37">
        <f t="shared" si="21"/>
        <v>53923.208679447875</v>
      </c>
      <c r="U685" s="26">
        <f t="shared" si="20"/>
        <v>53818.208679447875</v>
      </c>
    </row>
    <row r="686" spans="19:21" ht="14.65" thickBot="1" x14ac:dyDescent="0.5">
      <c r="S686" s="37">
        <f t="shared" si="21"/>
        <v>54462.440766242355</v>
      </c>
      <c r="U686" s="26">
        <f t="shared" si="20"/>
        <v>54357.440766242355</v>
      </c>
    </row>
    <row r="687" spans="19:21" ht="14.65" thickBot="1" x14ac:dyDescent="0.5">
      <c r="S687" s="37">
        <f t="shared" si="21"/>
        <v>55007.065173904775</v>
      </c>
      <c r="U687" s="26">
        <f t="shared" si="20"/>
        <v>54902.065173904775</v>
      </c>
    </row>
    <row r="688" spans="19:21" ht="14.65" thickBot="1" x14ac:dyDescent="0.5">
      <c r="S688" s="37">
        <f t="shared" si="21"/>
        <v>55557.135825643825</v>
      </c>
      <c r="U688" s="26">
        <f t="shared" si="20"/>
        <v>55452.135825643825</v>
      </c>
    </row>
    <row r="689" spans="19:21" ht="14.65" thickBot="1" x14ac:dyDescent="0.5">
      <c r="S689" s="37">
        <f t="shared" si="21"/>
        <v>56112.707183900267</v>
      </c>
      <c r="U689" s="26">
        <f t="shared" si="20"/>
        <v>56007.707183900267</v>
      </c>
    </row>
    <row r="690" spans="19:21" ht="14.65" thickBot="1" x14ac:dyDescent="0.5">
      <c r="S690" s="37">
        <f t="shared" si="21"/>
        <v>56673.834255739268</v>
      </c>
      <c r="U690" s="26">
        <f t="shared" si="20"/>
        <v>56568.834255739268</v>
      </c>
    </row>
    <row r="691" spans="19:21" ht="14.65" thickBot="1" x14ac:dyDescent="0.5">
      <c r="S691" s="37">
        <f t="shared" si="21"/>
        <v>57240.572598296661</v>
      </c>
      <c r="U691" s="26">
        <f t="shared" si="20"/>
        <v>57135.572598296661</v>
      </c>
    </row>
    <row r="692" spans="19:21" ht="14.65" thickBot="1" x14ac:dyDescent="0.5">
      <c r="S692" s="37">
        <f t="shared" si="21"/>
        <v>57812.978324279626</v>
      </c>
      <c r="U692" s="26">
        <f t="shared" si="20"/>
        <v>57707.978324279626</v>
      </c>
    </row>
    <row r="693" spans="19:21" ht="14.65" thickBot="1" x14ac:dyDescent="0.5">
      <c r="S693" s="37">
        <f t="shared" si="21"/>
        <v>58391.108107522421</v>
      </c>
      <c r="U693" s="26">
        <f t="shared" si="20"/>
        <v>58286.108107522421</v>
      </c>
    </row>
    <row r="694" spans="19:21" ht="14.65" thickBot="1" x14ac:dyDescent="0.5">
      <c r="S694" s="37">
        <f t="shared" si="21"/>
        <v>58975.019188597646</v>
      </c>
      <c r="U694" s="26">
        <f t="shared" si="20"/>
        <v>58870.019188597646</v>
      </c>
    </row>
    <row r="695" spans="19:21" ht="14.65" thickBot="1" x14ac:dyDescent="0.5">
      <c r="S695" s="37">
        <f t="shared" si="21"/>
        <v>59564.769380483624</v>
      </c>
      <c r="U695" s="26">
        <f t="shared" si="20"/>
        <v>59459.769380483624</v>
      </c>
    </row>
    <row r="696" spans="19:21" ht="14.65" thickBot="1" x14ac:dyDescent="0.5">
      <c r="S696" s="37">
        <f t="shared" si="21"/>
        <v>60160.41707428846</v>
      </c>
      <c r="U696" s="26">
        <f t="shared" si="20"/>
        <v>60055.41707428846</v>
      </c>
    </row>
    <row r="697" spans="19:21" ht="14.65" thickBot="1" x14ac:dyDescent="0.5">
      <c r="S697" s="37">
        <f t="shared" si="21"/>
        <v>60762.021245031348</v>
      </c>
      <c r="U697" s="26">
        <f t="shared" si="20"/>
        <v>60657.021245031348</v>
      </c>
    </row>
    <row r="698" spans="19:21" ht="14.65" thickBot="1" x14ac:dyDescent="0.5">
      <c r="S698" s="37">
        <f t="shared" si="21"/>
        <v>61369.641457481659</v>
      </c>
      <c r="U698" s="26">
        <f t="shared" si="20"/>
        <v>61264.641457481659</v>
      </c>
    </row>
    <row r="699" spans="19:21" ht="14.65" thickBot="1" x14ac:dyDescent="0.5">
      <c r="S699" s="37">
        <f t="shared" si="21"/>
        <v>61983.33787205648</v>
      </c>
      <c r="U699" s="26">
        <f t="shared" si="20"/>
        <v>61878.33787205648</v>
      </c>
    </row>
    <row r="700" spans="19:21" ht="14.65" thickBot="1" x14ac:dyDescent="0.5">
      <c r="S700" s="37">
        <f t="shared" si="21"/>
        <v>62603.171250777043</v>
      </c>
      <c r="U700" s="26">
        <f t="shared" si="20"/>
        <v>62498.171250777043</v>
      </c>
    </row>
    <row r="701" spans="19:21" ht="14.65" thickBot="1" x14ac:dyDescent="0.5">
      <c r="S701" s="37">
        <f t="shared" si="21"/>
        <v>63229.202963284813</v>
      </c>
      <c r="U701" s="26">
        <f t="shared" si="20"/>
        <v>63124.202963284813</v>
      </c>
    </row>
    <row r="702" spans="19:21" ht="14.65" thickBot="1" x14ac:dyDescent="0.5">
      <c r="S702" s="37">
        <f t="shared" si="21"/>
        <v>63861.494992917666</v>
      </c>
      <c r="U702" s="26">
        <f t="shared" si="20"/>
        <v>63756.494992917666</v>
      </c>
    </row>
    <row r="703" spans="19:21" ht="14.65" thickBot="1" x14ac:dyDescent="0.5">
      <c r="S703" s="37">
        <f t="shared" si="21"/>
        <v>64500.109942846844</v>
      </c>
      <c r="U703" s="26">
        <f t="shared" si="20"/>
        <v>64395.109942846844</v>
      </c>
    </row>
    <row r="704" spans="19:21" ht="14.65" thickBot="1" x14ac:dyDescent="0.5">
      <c r="S704" s="37">
        <f t="shared" si="21"/>
        <v>65145.111042275312</v>
      </c>
      <c r="U704" s="26">
        <f t="shared" si="20"/>
        <v>65040.111042275312</v>
      </c>
    </row>
    <row r="705" spans="19:21" ht="14.65" thickBot="1" x14ac:dyDescent="0.5">
      <c r="S705" s="37">
        <f t="shared" si="21"/>
        <v>65796.562152698069</v>
      </c>
      <c r="U705" s="26">
        <f t="shared" si="20"/>
        <v>65691.562152698069</v>
      </c>
    </row>
    <row r="706" spans="19:21" ht="14.65" thickBot="1" x14ac:dyDescent="0.5">
      <c r="S706" s="37">
        <f t="shared" si="21"/>
        <v>66454.527774225047</v>
      </c>
      <c r="U706" s="26">
        <f t="shared" si="20"/>
        <v>66349.527774225047</v>
      </c>
    </row>
    <row r="707" spans="19:21" ht="14.65" thickBot="1" x14ac:dyDescent="0.5">
      <c r="S707" s="37">
        <f t="shared" si="21"/>
        <v>67119.073051967294</v>
      </c>
      <c r="U707" s="26">
        <f t="shared" si="20"/>
        <v>67014.073051967294</v>
      </c>
    </row>
    <row r="708" spans="19:21" ht="14.65" thickBot="1" x14ac:dyDescent="0.5">
      <c r="S708" s="37">
        <f t="shared" si="21"/>
        <v>67790.263782486974</v>
      </c>
      <c r="U708" s="26">
        <f t="shared" si="20"/>
        <v>67685.263782486974</v>
      </c>
    </row>
    <row r="709" spans="19:21" ht="14.65" thickBot="1" x14ac:dyDescent="0.5">
      <c r="S709" s="37">
        <f t="shared" si="21"/>
        <v>68468.166420311842</v>
      </c>
      <c r="U709" s="26">
        <f t="shared" si="20"/>
        <v>68363.166420311842</v>
      </c>
    </row>
    <row r="710" spans="19:21" ht="14.65" thickBot="1" x14ac:dyDescent="0.5">
      <c r="S710" s="37">
        <f t="shared" si="21"/>
        <v>69152.848084514961</v>
      </c>
      <c r="U710" s="26">
        <f t="shared" si="20"/>
        <v>69047.848084514961</v>
      </c>
    </row>
    <row r="711" spans="19:21" ht="14.65" thickBot="1" x14ac:dyDescent="0.5">
      <c r="S711" s="37">
        <f t="shared" si="21"/>
        <v>69844.376565360115</v>
      </c>
      <c r="U711" s="26">
        <f t="shared" si="20"/>
        <v>69739.376565360115</v>
      </c>
    </row>
    <row r="712" spans="19:21" ht="14.65" thickBot="1" x14ac:dyDescent="0.5">
      <c r="S712" s="37">
        <f t="shared" si="21"/>
        <v>70542.820331013718</v>
      </c>
      <c r="U712" s="26">
        <f t="shared" si="20"/>
        <v>70437.820331013718</v>
      </c>
    </row>
    <row r="713" spans="19:21" ht="14.65" thickBot="1" x14ac:dyDescent="0.5">
      <c r="S713" s="37">
        <f t="shared" si="21"/>
        <v>71248.248534323851</v>
      </c>
      <c r="U713" s="26">
        <f t="shared" si="20"/>
        <v>71143.248534323851</v>
      </c>
    </row>
    <row r="714" spans="19:21" ht="14.65" thickBot="1" x14ac:dyDescent="0.5">
      <c r="S714" s="37">
        <f t="shared" si="21"/>
        <v>71960.731019667088</v>
      </c>
      <c r="U714" s="26">
        <f t="shared" si="20"/>
        <v>71855.731019667088</v>
      </c>
    </row>
    <row r="715" spans="19:21" ht="14.65" thickBot="1" x14ac:dyDescent="0.5">
      <c r="S715" s="37">
        <f t="shared" si="21"/>
        <v>72680.338329863764</v>
      </c>
      <c r="U715" s="26">
        <f t="shared" si="20"/>
        <v>72575.338329863764</v>
      </c>
    </row>
    <row r="716" spans="19:21" ht="14.65" thickBot="1" x14ac:dyDescent="0.5">
      <c r="S716" s="37">
        <f t="shared" si="21"/>
        <v>73407.141713162404</v>
      </c>
      <c r="U716" s="26">
        <f t="shared" si="20"/>
        <v>73302.141713162404</v>
      </c>
    </row>
    <row r="717" spans="19:21" ht="14.65" thickBot="1" x14ac:dyDescent="0.5">
      <c r="S717" s="37">
        <f t="shared" si="21"/>
        <v>74141.213130294025</v>
      </c>
      <c r="U717" s="26">
        <f t="shared" si="20"/>
        <v>74036.213130294025</v>
      </c>
    </row>
    <row r="718" spans="19:21" ht="14.65" thickBot="1" x14ac:dyDescent="0.5">
      <c r="S718" s="37">
        <f t="shared" si="21"/>
        <v>74882.625261596972</v>
      </c>
      <c r="U718" s="26">
        <f t="shared" si="20"/>
        <v>74777.625261596972</v>
      </c>
    </row>
    <row r="719" spans="19:21" ht="14.65" thickBot="1" x14ac:dyDescent="0.5">
      <c r="S719" s="37">
        <f t="shared" si="21"/>
        <v>75631.451514212938</v>
      </c>
      <c r="U719" s="26">
        <f t="shared" si="20"/>
        <v>75526.451514212938</v>
      </c>
    </row>
    <row r="720" spans="19:21" ht="14.65" thickBot="1" x14ac:dyDescent="0.5">
      <c r="S720" s="37">
        <f t="shared" si="21"/>
        <v>76387.766029355073</v>
      </c>
      <c r="U720" s="26">
        <f t="shared" si="20"/>
        <v>76282.766029355073</v>
      </c>
    </row>
    <row r="721" spans="19:21" ht="14.65" thickBot="1" x14ac:dyDescent="0.5">
      <c r="S721" s="37">
        <f t="shared" si="21"/>
        <v>77151.643689648627</v>
      </c>
      <c r="U721" s="26">
        <f t="shared" si="20"/>
        <v>77046.643689648627</v>
      </c>
    </row>
    <row r="722" spans="19:21" ht="14.65" thickBot="1" x14ac:dyDescent="0.5">
      <c r="S722" s="37">
        <f t="shared" si="21"/>
        <v>77923.160126545117</v>
      </c>
      <c r="U722" s="26">
        <f t="shared" ref="U722:U785" si="22">IF(S722&lt;$D$8,$D$8-$D$7-$D$9,S722-$D$7-$D$9)</f>
        <v>77818.160126545117</v>
      </c>
    </row>
    <row r="723" spans="19:21" ht="14.65" thickBot="1" x14ac:dyDescent="0.5">
      <c r="S723" s="37">
        <f t="shared" ref="S723:S786" si="23">S722*(1.01)</f>
        <v>78702.391727810565</v>
      </c>
      <c r="U723" s="26">
        <f t="shared" si="22"/>
        <v>78597.391727810565</v>
      </c>
    </row>
    <row r="724" spans="19:21" ht="14.65" thickBot="1" x14ac:dyDescent="0.5">
      <c r="S724" s="37">
        <f t="shared" si="23"/>
        <v>79489.415645088666</v>
      </c>
      <c r="U724" s="26">
        <f t="shared" si="22"/>
        <v>79384.415645088666</v>
      </c>
    </row>
    <row r="725" spans="19:21" ht="14.65" thickBot="1" x14ac:dyDescent="0.5">
      <c r="S725" s="37">
        <f t="shared" si="23"/>
        <v>80284.309801539552</v>
      </c>
      <c r="U725" s="26">
        <f t="shared" si="22"/>
        <v>80179.309801539552</v>
      </c>
    </row>
    <row r="726" spans="19:21" ht="14.65" thickBot="1" x14ac:dyDescent="0.5">
      <c r="S726" s="37">
        <f t="shared" si="23"/>
        <v>81087.152899554945</v>
      </c>
      <c r="U726" s="26">
        <f t="shared" si="22"/>
        <v>80982.152899554945</v>
      </c>
    </row>
    <row r="727" spans="19:21" ht="14.65" thickBot="1" x14ac:dyDescent="0.5">
      <c r="S727" s="37">
        <f t="shared" si="23"/>
        <v>81898.024428550489</v>
      </c>
      <c r="U727" s="26">
        <f t="shared" si="22"/>
        <v>81793.024428550489</v>
      </c>
    </row>
    <row r="728" spans="19:21" ht="14.65" thickBot="1" x14ac:dyDescent="0.5">
      <c r="S728" s="37">
        <f t="shared" si="23"/>
        <v>82717.004672835988</v>
      </c>
      <c r="U728" s="26">
        <f t="shared" si="22"/>
        <v>82612.004672835988</v>
      </c>
    </row>
    <row r="729" spans="19:21" ht="14.65" thickBot="1" x14ac:dyDescent="0.5">
      <c r="S729" s="37">
        <f t="shared" si="23"/>
        <v>83544.174719564355</v>
      </c>
      <c r="U729" s="26">
        <f t="shared" si="22"/>
        <v>83439.174719564355</v>
      </c>
    </row>
    <row r="730" spans="19:21" ht="14.65" thickBot="1" x14ac:dyDescent="0.5">
      <c r="S730" s="37">
        <f t="shared" si="23"/>
        <v>84379.616466759995</v>
      </c>
      <c r="U730" s="26">
        <f t="shared" si="22"/>
        <v>84274.616466759995</v>
      </c>
    </row>
    <row r="731" spans="19:21" ht="14.65" thickBot="1" x14ac:dyDescent="0.5">
      <c r="S731" s="37">
        <f t="shared" si="23"/>
        <v>85223.412631427593</v>
      </c>
      <c r="U731" s="26">
        <f t="shared" si="22"/>
        <v>85118.412631427593</v>
      </c>
    </row>
    <row r="732" spans="19:21" ht="14.65" thickBot="1" x14ac:dyDescent="0.5">
      <c r="S732" s="37">
        <f t="shared" si="23"/>
        <v>86075.646757741866</v>
      </c>
      <c r="U732" s="26">
        <f t="shared" si="22"/>
        <v>85970.646757741866</v>
      </c>
    </row>
    <row r="733" spans="19:21" ht="14.65" thickBot="1" x14ac:dyDescent="0.5">
      <c r="S733" s="37">
        <f t="shared" si="23"/>
        <v>86936.403225319285</v>
      </c>
      <c r="U733" s="26">
        <f t="shared" si="22"/>
        <v>86831.403225319285</v>
      </c>
    </row>
    <row r="734" spans="19:21" ht="14.65" thickBot="1" x14ac:dyDescent="0.5">
      <c r="S734" s="37">
        <f t="shared" si="23"/>
        <v>87805.767257572472</v>
      </c>
      <c r="U734" s="26">
        <f t="shared" si="22"/>
        <v>87700.767257572472</v>
      </c>
    </row>
    <row r="735" spans="19:21" ht="14.65" thickBot="1" x14ac:dyDescent="0.5">
      <c r="S735" s="37">
        <f t="shared" si="23"/>
        <v>88683.824930148199</v>
      </c>
      <c r="U735" s="26">
        <f t="shared" si="22"/>
        <v>88578.824930148199</v>
      </c>
    </row>
    <row r="736" spans="19:21" ht="14.65" thickBot="1" x14ac:dyDescent="0.5">
      <c r="S736" s="37">
        <f t="shared" si="23"/>
        <v>89570.663179449679</v>
      </c>
      <c r="U736" s="26">
        <f t="shared" si="22"/>
        <v>89465.663179449679</v>
      </c>
    </row>
    <row r="737" spans="19:21" ht="14.65" thickBot="1" x14ac:dyDescent="0.5">
      <c r="S737" s="37">
        <f t="shared" si="23"/>
        <v>90466.369811244178</v>
      </c>
      <c r="U737" s="26">
        <f t="shared" si="22"/>
        <v>90361.369811244178</v>
      </c>
    </row>
    <row r="738" spans="19:21" ht="14.65" thickBot="1" x14ac:dyDescent="0.5">
      <c r="S738" s="37">
        <f t="shared" si="23"/>
        <v>91371.033509356625</v>
      </c>
      <c r="U738" s="26">
        <f t="shared" si="22"/>
        <v>91266.033509356625</v>
      </c>
    </row>
    <row r="739" spans="19:21" ht="14.65" thickBot="1" x14ac:dyDescent="0.5">
      <c r="S739" s="37">
        <f t="shared" si="23"/>
        <v>92284.743844450189</v>
      </c>
      <c r="U739" s="26">
        <f t="shared" si="22"/>
        <v>92179.743844450189</v>
      </c>
    </row>
    <row r="740" spans="19:21" ht="14.65" thickBot="1" x14ac:dyDescent="0.5">
      <c r="S740" s="37">
        <f t="shared" si="23"/>
        <v>93207.591282894689</v>
      </c>
      <c r="U740" s="26">
        <f t="shared" si="22"/>
        <v>93102.591282894689</v>
      </c>
    </row>
    <row r="741" spans="19:21" ht="14.65" thickBot="1" x14ac:dyDescent="0.5">
      <c r="S741" s="37">
        <f t="shared" si="23"/>
        <v>94139.667195723639</v>
      </c>
      <c r="U741" s="26">
        <f t="shared" si="22"/>
        <v>94034.667195723639</v>
      </c>
    </row>
    <row r="742" spans="19:21" ht="14.65" thickBot="1" x14ac:dyDescent="0.5">
      <c r="S742" s="37">
        <f t="shared" si="23"/>
        <v>95081.063867680874</v>
      </c>
      <c r="U742" s="26">
        <f t="shared" si="22"/>
        <v>94976.063867680874</v>
      </c>
    </row>
    <row r="743" spans="19:21" ht="14.65" thickBot="1" x14ac:dyDescent="0.5">
      <c r="S743" s="37">
        <f t="shared" si="23"/>
        <v>96031.874506357679</v>
      </c>
      <c r="U743" s="26">
        <f t="shared" si="22"/>
        <v>95926.874506357679</v>
      </c>
    </row>
    <row r="744" spans="19:21" ht="14.65" thickBot="1" x14ac:dyDescent="0.5">
      <c r="S744" s="37">
        <f t="shared" si="23"/>
        <v>96992.193251421253</v>
      </c>
      <c r="U744" s="26">
        <f t="shared" si="22"/>
        <v>96887.193251421253</v>
      </c>
    </row>
    <row r="745" spans="19:21" ht="14.65" thickBot="1" x14ac:dyDescent="0.5">
      <c r="S745" s="37">
        <f t="shared" si="23"/>
        <v>97962.115183935472</v>
      </c>
      <c r="U745" s="26">
        <f t="shared" si="22"/>
        <v>97857.115183935472</v>
      </c>
    </row>
    <row r="746" spans="19:21" ht="14.65" thickBot="1" x14ac:dyDescent="0.5">
      <c r="S746" s="37">
        <f t="shared" si="23"/>
        <v>98941.736335774825</v>
      </c>
      <c r="U746" s="26">
        <f t="shared" si="22"/>
        <v>98836.736335774825</v>
      </c>
    </row>
    <row r="747" spans="19:21" ht="14.65" thickBot="1" x14ac:dyDescent="0.5">
      <c r="S747" s="37">
        <f t="shared" si="23"/>
        <v>99931.15369913257</v>
      </c>
      <c r="U747" s="26">
        <f t="shared" si="22"/>
        <v>99826.15369913257</v>
      </c>
    </row>
    <row r="748" spans="19:21" ht="14.65" thickBot="1" x14ac:dyDescent="0.5">
      <c r="S748" s="37">
        <f t="shared" si="23"/>
        <v>100930.4652361239</v>
      </c>
      <c r="U748" s="26">
        <f t="shared" si="22"/>
        <v>100825.4652361239</v>
      </c>
    </row>
    <row r="749" spans="19:21" ht="14.65" thickBot="1" x14ac:dyDescent="0.5">
      <c r="S749" s="37">
        <f t="shared" si="23"/>
        <v>101939.76988848514</v>
      </c>
      <c r="U749" s="26">
        <f t="shared" si="22"/>
        <v>101834.76988848514</v>
      </c>
    </row>
    <row r="750" spans="19:21" ht="14.65" thickBot="1" x14ac:dyDescent="0.5">
      <c r="S750" s="37">
        <f t="shared" si="23"/>
        <v>102959.16758737</v>
      </c>
      <c r="U750" s="26">
        <f t="shared" si="22"/>
        <v>102854.16758737</v>
      </c>
    </row>
    <row r="751" spans="19:21" ht="14.65" thickBot="1" x14ac:dyDescent="0.5">
      <c r="S751" s="37">
        <f t="shared" si="23"/>
        <v>103988.7592632437</v>
      </c>
      <c r="U751" s="26">
        <f t="shared" si="22"/>
        <v>103883.7592632437</v>
      </c>
    </row>
    <row r="752" spans="19:21" ht="14.65" thickBot="1" x14ac:dyDescent="0.5">
      <c r="S752" s="37">
        <f t="shared" si="23"/>
        <v>105028.64685587614</v>
      </c>
      <c r="U752" s="26">
        <f t="shared" si="22"/>
        <v>104923.64685587614</v>
      </c>
    </row>
    <row r="753" spans="19:21" ht="14.65" thickBot="1" x14ac:dyDescent="0.5">
      <c r="S753" s="37">
        <f t="shared" si="23"/>
        <v>106078.9333244349</v>
      </c>
      <c r="U753" s="26">
        <f t="shared" si="22"/>
        <v>105973.9333244349</v>
      </c>
    </row>
    <row r="754" spans="19:21" ht="14.65" thickBot="1" x14ac:dyDescent="0.5">
      <c r="S754" s="37">
        <f t="shared" si="23"/>
        <v>107139.72265767925</v>
      </c>
      <c r="U754" s="26">
        <f t="shared" si="22"/>
        <v>107034.72265767925</v>
      </c>
    </row>
    <row r="755" spans="19:21" ht="14.65" thickBot="1" x14ac:dyDescent="0.5">
      <c r="S755" s="37">
        <f t="shared" si="23"/>
        <v>108211.11988425604</v>
      </c>
      <c r="U755" s="26">
        <f t="shared" si="22"/>
        <v>108106.11988425604</v>
      </c>
    </row>
    <row r="756" spans="19:21" ht="14.65" thickBot="1" x14ac:dyDescent="0.5">
      <c r="S756" s="37">
        <f t="shared" si="23"/>
        <v>109293.2310830986</v>
      </c>
      <c r="U756" s="26">
        <f t="shared" si="22"/>
        <v>109188.2310830986</v>
      </c>
    </row>
    <row r="757" spans="19:21" ht="14.65" thickBot="1" x14ac:dyDescent="0.5">
      <c r="S757" s="37">
        <f t="shared" si="23"/>
        <v>110386.16339392959</v>
      </c>
      <c r="U757" s="26">
        <f t="shared" si="22"/>
        <v>110281.16339392959</v>
      </c>
    </row>
    <row r="758" spans="19:21" ht="14.65" thickBot="1" x14ac:dyDescent="0.5">
      <c r="S758" s="37">
        <f t="shared" si="23"/>
        <v>111490.02502786888</v>
      </c>
      <c r="U758" s="26">
        <f t="shared" si="22"/>
        <v>111385.02502786888</v>
      </c>
    </row>
    <row r="759" spans="19:21" ht="14.65" thickBot="1" x14ac:dyDescent="0.5">
      <c r="S759" s="37">
        <f t="shared" si="23"/>
        <v>112604.92527814757</v>
      </c>
      <c r="U759" s="26">
        <f t="shared" si="22"/>
        <v>112499.92527814757</v>
      </c>
    </row>
    <row r="760" spans="19:21" ht="14.65" thickBot="1" x14ac:dyDescent="0.5">
      <c r="S760" s="37">
        <f t="shared" si="23"/>
        <v>113730.97453092904</v>
      </c>
      <c r="U760" s="26">
        <f t="shared" si="22"/>
        <v>113625.97453092904</v>
      </c>
    </row>
    <row r="761" spans="19:21" ht="14.65" thickBot="1" x14ac:dyDescent="0.5">
      <c r="S761" s="37">
        <f t="shared" si="23"/>
        <v>114868.28427623834</v>
      </c>
      <c r="U761" s="26">
        <f t="shared" si="22"/>
        <v>114763.28427623834</v>
      </c>
    </row>
    <row r="762" spans="19:21" ht="14.65" thickBot="1" x14ac:dyDescent="0.5">
      <c r="S762" s="37">
        <f t="shared" si="23"/>
        <v>116016.96711900072</v>
      </c>
      <c r="U762" s="26">
        <f t="shared" si="22"/>
        <v>115911.96711900072</v>
      </c>
    </row>
    <row r="763" spans="19:21" ht="14.65" thickBot="1" x14ac:dyDescent="0.5">
      <c r="S763" s="37">
        <f t="shared" si="23"/>
        <v>117177.13679019074</v>
      </c>
      <c r="U763" s="26">
        <f t="shared" si="22"/>
        <v>117072.13679019074</v>
      </c>
    </row>
    <row r="764" spans="19:21" ht="14.65" thickBot="1" x14ac:dyDescent="0.5">
      <c r="S764" s="37">
        <f t="shared" si="23"/>
        <v>118348.90815809264</v>
      </c>
      <c r="U764" s="26">
        <f t="shared" si="22"/>
        <v>118243.90815809264</v>
      </c>
    </row>
    <row r="765" spans="19:21" ht="14.65" thickBot="1" x14ac:dyDescent="0.5">
      <c r="S765" s="37">
        <f t="shared" si="23"/>
        <v>119532.39723967358</v>
      </c>
      <c r="U765" s="26">
        <f t="shared" si="22"/>
        <v>119427.39723967358</v>
      </c>
    </row>
    <row r="766" spans="19:21" ht="14.65" thickBot="1" x14ac:dyDescent="0.5">
      <c r="S766" s="37">
        <f t="shared" si="23"/>
        <v>120727.72121207032</v>
      </c>
      <c r="U766" s="26">
        <f t="shared" si="22"/>
        <v>120622.72121207032</v>
      </c>
    </row>
    <row r="767" spans="19:21" ht="14.65" thickBot="1" x14ac:dyDescent="0.5">
      <c r="S767" s="37">
        <f t="shared" si="23"/>
        <v>121934.99842419103</v>
      </c>
      <c r="U767" s="26">
        <f t="shared" si="22"/>
        <v>121829.99842419103</v>
      </c>
    </row>
    <row r="768" spans="19:21" ht="14.65" thickBot="1" x14ac:dyDescent="0.5">
      <c r="S768" s="37">
        <f t="shared" si="23"/>
        <v>123154.34840843294</v>
      </c>
      <c r="U768" s="26">
        <f t="shared" si="22"/>
        <v>123049.34840843294</v>
      </c>
    </row>
    <row r="769" spans="19:21" ht="14.65" thickBot="1" x14ac:dyDescent="0.5">
      <c r="S769" s="37">
        <f t="shared" si="23"/>
        <v>124385.89189251728</v>
      </c>
      <c r="U769" s="26">
        <f t="shared" si="22"/>
        <v>124280.89189251728</v>
      </c>
    </row>
    <row r="770" spans="19:21" ht="14.65" thickBot="1" x14ac:dyDescent="0.5">
      <c r="S770" s="37">
        <f t="shared" si="23"/>
        <v>125629.75081144246</v>
      </c>
      <c r="U770" s="26">
        <f t="shared" si="22"/>
        <v>125524.75081144246</v>
      </c>
    </row>
    <row r="771" spans="19:21" ht="14.65" thickBot="1" x14ac:dyDescent="0.5">
      <c r="S771" s="37">
        <f t="shared" si="23"/>
        <v>126886.04831955688</v>
      </c>
      <c r="U771" s="26">
        <f t="shared" si="22"/>
        <v>126781.04831955688</v>
      </c>
    </row>
    <row r="772" spans="19:21" ht="14.65" thickBot="1" x14ac:dyDescent="0.5">
      <c r="S772" s="37">
        <f t="shared" si="23"/>
        <v>128154.90880275246</v>
      </c>
      <c r="U772" s="26">
        <f t="shared" si="22"/>
        <v>128049.90880275246</v>
      </c>
    </row>
    <row r="773" spans="19:21" ht="14.65" thickBot="1" x14ac:dyDescent="0.5">
      <c r="S773" s="37">
        <f t="shared" si="23"/>
        <v>129436.45789077999</v>
      </c>
      <c r="U773" s="26">
        <f t="shared" si="22"/>
        <v>129331.45789077999</v>
      </c>
    </row>
    <row r="774" spans="19:21" ht="14.65" thickBot="1" x14ac:dyDescent="0.5">
      <c r="S774" s="37">
        <f t="shared" si="23"/>
        <v>130730.82246968779</v>
      </c>
      <c r="U774" s="26">
        <f t="shared" si="22"/>
        <v>130625.82246968779</v>
      </c>
    </row>
    <row r="775" spans="19:21" ht="14.65" thickBot="1" x14ac:dyDescent="0.5">
      <c r="S775" s="37">
        <f t="shared" si="23"/>
        <v>132038.13069438466</v>
      </c>
      <c r="U775" s="26">
        <f t="shared" si="22"/>
        <v>131933.13069438466</v>
      </c>
    </row>
    <row r="776" spans="19:21" ht="14.65" thickBot="1" x14ac:dyDescent="0.5">
      <c r="S776" s="37">
        <f t="shared" si="23"/>
        <v>133358.51200132852</v>
      </c>
      <c r="U776" s="26">
        <f t="shared" si="22"/>
        <v>133253.51200132852</v>
      </c>
    </row>
    <row r="777" spans="19:21" ht="14.65" thickBot="1" x14ac:dyDescent="0.5">
      <c r="S777" s="37">
        <f t="shared" si="23"/>
        <v>134692.09712134179</v>
      </c>
      <c r="U777" s="26">
        <f t="shared" si="22"/>
        <v>134587.09712134179</v>
      </c>
    </row>
    <row r="778" spans="19:21" ht="14.65" thickBot="1" x14ac:dyDescent="0.5">
      <c r="S778" s="37">
        <f t="shared" si="23"/>
        <v>136039.01809255523</v>
      </c>
      <c r="U778" s="26">
        <f t="shared" si="22"/>
        <v>135934.01809255523</v>
      </c>
    </row>
    <row r="779" spans="19:21" ht="14.65" thickBot="1" x14ac:dyDescent="0.5">
      <c r="S779" s="37">
        <f t="shared" si="23"/>
        <v>137399.40827348077</v>
      </c>
      <c r="U779" s="26">
        <f t="shared" si="22"/>
        <v>137294.40827348077</v>
      </c>
    </row>
    <row r="780" spans="19:21" ht="14.65" thickBot="1" x14ac:dyDescent="0.5">
      <c r="S780" s="37">
        <f t="shared" si="23"/>
        <v>138773.40235621558</v>
      </c>
      <c r="U780" s="26">
        <f t="shared" si="22"/>
        <v>138668.40235621558</v>
      </c>
    </row>
    <row r="781" spans="19:21" ht="14.65" thickBot="1" x14ac:dyDescent="0.5">
      <c r="S781" s="37">
        <f t="shared" si="23"/>
        <v>140161.13637977774</v>
      </c>
      <c r="U781" s="26">
        <f t="shared" si="22"/>
        <v>140056.13637977774</v>
      </c>
    </row>
    <row r="782" spans="19:21" ht="14.65" thickBot="1" x14ac:dyDescent="0.5">
      <c r="S782" s="37">
        <f t="shared" si="23"/>
        <v>141562.74774357551</v>
      </c>
      <c r="U782" s="26">
        <f t="shared" si="22"/>
        <v>141457.74774357551</v>
      </c>
    </row>
    <row r="783" spans="19:21" ht="14.65" thickBot="1" x14ac:dyDescent="0.5">
      <c r="S783" s="37">
        <f t="shared" si="23"/>
        <v>142978.37522101126</v>
      </c>
      <c r="U783" s="26">
        <f t="shared" si="22"/>
        <v>142873.37522101126</v>
      </c>
    </row>
    <row r="784" spans="19:21" ht="14.65" thickBot="1" x14ac:dyDescent="0.5">
      <c r="S784" s="37">
        <f t="shared" si="23"/>
        <v>144408.15897322138</v>
      </c>
      <c r="U784" s="26">
        <f t="shared" si="22"/>
        <v>144303.15897322138</v>
      </c>
    </row>
    <row r="785" spans="19:21" ht="14.65" thickBot="1" x14ac:dyDescent="0.5">
      <c r="S785" s="37">
        <f t="shared" si="23"/>
        <v>145852.24056295358</v>
      </c>
      <c r="U785" s="26">
        <f t="shared" si="22"/>
        <v>145747.24056295358</v>
      </c>
    </row>
    <row r="786" spans="19:21" ht="14.65" thickBot="1" x14ac:dyDescent="0.5">
      <c r="S786" s="37">
        <f t="shared" si="23"/>
        <v>147310.76296858312</v>
      </c>
      <c r="U786" s="26">
        <f t="shared" ref="U786:U849" si="24">IF(S786&lt;$D$8,$D$8-$D$7-$D$9,S786-$D$7-$D$9)</f>
        <v>147205.76296858312</v>
      </c>
    </row>
    <row r="787" spans="19:21" ht="14.65" thickBot="1" x14ac:dyDescent="0.5">
      <c r="S787" s="37">
        <f t="shared" ref="S787:S850" si="25">S786*(1.01)</f>
        <v>148783.87059826896</v>
      </c>
      <c r="U787" s="26">
        <f t="shared" si="24"/>
        <v>148678.87059826896</v>
      </c>
    </row>
    <row r="788" spans="19:21" ht="14.65" thickBot="1" x14ac:dyDescent="0.5">
      <c r="S788" s="37">
        <f t="shared" si="25"/>
        <v>150271.70930425165</v>
      </c>
      <c r="U788" s="26">
        <f t="shared" si="24"/>
        <v>150166.70930425165</v>
      </c>
    </row>
    <row r="789" spans="19:21" ht="14.65" thickBot="1" x14ac:dyDescent="0.5">
      <c r="S789" s="37">
        <f t="shared" si="25"/>
        <v>151774.42639729416</v>
      </c>
      <c r="U789" s="26">
        <f t="shared" si="24"/>
        <v>151669.42639729416</v>
      </c>
    </row>
    <row r="790" spans="19:21" ht="14.65" thickBot="1" x14ac:dyDescent="0.5">
      <c r="S790" s="37">
        <f t="shared" si="25"/>
        <v>153292.1706612671</v>
      </c>
      <c r="U790" s="26">
        <f t="shared" si="24"/>
        <v>153187.1706612671</v>
      </c>
    </row>
    <row r="791" spans="19:21" ht="14.65" thickBot="1" x14ac:dyDescent="0.5">
      <c r="S791" s="37">
        <f t="shared" si="25"/>
        <v>154825.09236787976</v>
      </c>
      <c r="U791" s="26">
        <f t="shared" si="24"/>
        <v>154720.09236787976</v>
      </c>
    </row>
    <row r="792" spans="19:21" ht="14.65" thickBot="1" x14ac:dyDescent="0.5">
      <c r="S792" s="37">
        <f t="shared" si="25"/>
        <v>156373.34329155856</v>
      </c>
      <c r="U792" s="26">
        <f t="shared" si="24"/>
        <v>156268.34329155856</v>
      </c>
    </row>
    <row r="793" spans="19:21" ht="14.65" thickBot="1" x14ac:dyDescent="0.5">
      <c r="S793" s="37">
        <f t="shared" si="25"/>
        <v>157937.07672447414</v>
      </c>
      <c r="U793" s="26">
        <f t="shared" si="24"/>
        <v>157832.07672447414</v>
      </c>
    </row>
    <row r="794" spans="19:21" ht="14.65" thickBot="1" x14ac:dyDescent="0.5">
      <c r="S794" s="37">
        <f t="shared" si="25"/>
        <v>159516.44749171889</v>
      </c>
      <c r="U794" s="26">
        <f t="shared" si="24"/>
        <v>159411.44749171889</v>
      </c>
    </row>
    <row r="795" spans="19:21" ht="14.65" thickBot="1" x14ac:dyDescent="0.5">
      <c r="S795" s="37">
        <f t="shared" si="25"/>
        <v>161111.61196663609</v>
      </c>
      <c r="U795" s="26">
        <f t="shared" si="24"/>
        <v>161006.61196663609</v>
      </c>
    </row>
    <row r="796" spans="19:21" ht="14.65" thickBot="1" x14ac:dyDescent="0.5">
      <c r="S796" s="37">
        <f t="shared" si="25"/>
        <v>162722.72808630246</v>
      </c>
      <c r="U796" s="26">
        <f t="shared" si="24"/>
        <v>162617.72808630246</v>
      </c>
    </row>
    <row r="797" spans="19:21" ht="14.65" thickBot="1" x14ac:dyDescent="0.5">
      <c r="S797" s="37">
        <f t="shared" si="25"/>
        <v>164349.9553671655</v>
      </c>
      <c r="U797" s="26">
        <f t="shared" si="24"/>
        <v>164244.9553671655</v>
      </c>
    </row>
    <row r="798" spans="19:21" ht="14.65" thickBot="1" x14ac:dyDescent="0.5">
      <c r="S798" s="37">
        <f t="shared" si="25"/>
        <v>165993.45492083716</v>
      </c>
      <c r="U798" s="26">
        <f t="shared" si="24"/>
        <v>165888.45492083716</v>
      </c>
    </row>
    <row r="799" spans="19:21" ht="14.65" thickBot="1" x14ac:dyDescent="0.5">
      <c r="S799" s="37">
        <f t="shared" si="25"/>
        <v>167653.38947004554</v>
      </c>
      <c r="U799" s="26">
        <f t="shared" si="24"/>
        <v>167548.38947004554</v>
      </c>
    </row>
    <row r="800" spans="19:21" ht="14.65" thickBot="1" x14ac:dyDescent="0.5">
      <c r="S800" s="37">
        <f t="shared" si="25"/>
        <v>169329.92336474601</v>
      </c>
      <c r="U800" s="26">
        <f t="shared" si="24"/>
        <v>169224.92336474601</v>
      </c>
    </row>
    <row r="801" spans="19:21" ht="14.65" thickBot="1" x14ac:dyDescent="0.5">
      <c r="S801" s="37">
        <f t="shared" si="25"/>
        <v>171023.22259839348</v>
      </c>
      <c r="U801" s="26">
        <f t="shared" si="24"/>
        <v>170918.22259839348</v>
      </c>
    </row>
    <row r="802" spans="19:21" ht="14.65" thickBot="1" x14ac:dyDescent="0.5">
      <c r="S802" s="37">
        <f t="shared" si="25"/>
        <v>172733.4548243774</v>
      </c>
      <c r="U802" s="26">
        <f t="shared" si="24"/>
        <v>172628.4548243774</v>
      </c>
    </row>
    <row r="803" spans="19:21" ht="14.65" thickBot="1" x14ac:dyDescent="0.5">
      <c r="S803" s="37">
        <f t="shared" si="25"/>
        <v>174460.78937262119</v>
      </c>
      <c r="U803" s="26">
        <f t="shared" si="24"/>
        <v>174355.78937262119</v>
      </c>
    </row>
    <row r="804" spans="19:21" ht="14.65" thickBot="1" x14ac:dyDescent="0.5">
      <c r="S804" s="37">
        <f t="shared" si="25"/>
        <v>176205.3972663474</v>
      </c>
      <c r="U804" s="26">
        <f t="shared" si="24"/>
        <v>176100.3972663474</v>
      </c>
    </row>
    <row r="805" spans="19:21" ht="14.65" thickBot="1" x14ac:dyDescent="0.5">
      <c r="S805" s="37">
        <f t="shared" si="25"/>
        <v>177967.45123901087</v>
      </c>
      <c r="U805" s="26">
        <f t="shared" si="24"/>
        <v>177862.45123901087</v>
      </c>
    </row>
    <row r="806" spans="19:21" ht="14.65" thickBot="1" x14ac:dyDescent="0.5">
      <c r="S806" s="37">
        <f t="shared" si="25"/>
        <v>179747.12575140098</v>
      </c>
      <c r="U806" s="26">
        <f t="shared" si="24"/>
        <v>179642.12575140098</v>
      </c>
    </row>
    <row r="807" spans="19:21" ht="14.65" thickBot="1" x14ac:dyDescent="0.5">
      <c r="S807" s="37">
        <f t="shared" si="25"/>
        <v>181544.59700891498</v>
      </c>
      <c r="U807" s="26">
        <f t="shared" si="24"/>
        <v>181439.59700891498</v>
      </c>
    </row>
    <row r="808" spans="19:21" ht="14.65" thickBot="1" x14ac:dyDescent="0.5">
      <c r="S808" s="37">
        <f t="shared" si="25"/>
        <v>183360.04297900412</v>
      </c>
      <c r="U808" s="26">
        <f t="shared" si="24"/>
        <v>183255.04297900412</v>
      </c>
    </row>
    <row r="809" spans="19:21" ht="14.65" thickBot="1" x14ac:dyDescent="0.5">
      <c r="S809" s="37">
        <f t="shared" si="25"/>
        <v>185193.64340879416</v>
      </c>
      <c r="U809" s="26">
        <f t="shared" si="24"/>
        <v>185088.64340879416</v>
      </c>
    </row>
    <row r="810" spans="19:21" ht="14.65" thickBot="1" x14ac:dyDescent="0.5">
      <c r="S810" s="37">
        <f t="shared" si="25"/>
        <v>187045.57984288211</v>
      </c>
      <c r="U810" s="26">
        <f t="shared" si="24"/>
        <v>186940.57984288211</v>
      </c>
    </row>
    <row r="811" spans="19:21" ht="14.65" thickBot="1" x14ac:dyDescent="0.5">
      <c r="S811" s="37">
        <f t="shared" si="25"/>
        <v>188916.03564131094</v>
      </c>
      <c r="U811" s="26">
        <f t="shared" si="24"/>
        <v>188811.03564131094</v>
      </c>
    </row>
    <row r="812" spans="19:21" ht="14.65" thickBot="1" x14ac:dyDescent="0.5">
      <c r="S812" s="37">
        <f t="shared" si="25"/>
        <v>190805.19599772405</v>
      </c>
      <c r="U812" s="26">
        <f t="shared" si="24"/>
        <v>190700.19599772405</v>
      </c>
    </row>
    <row r="813" spans="19:21" ht="14.65" thickBot="1" x14ac:dyDescent="0.5">
      <c r="S813" s="37">
        <f t="shared" si="25"/>
        <v>192713.2479577013</v>
      </c>
      <c r="U813" s="26">
        <f t="shared" si="24"/>
        <v>192608.2479577013</v>
      </c>
    </row>
    <row r="814" spans="19:21" ht="14.65" thickBot="1" x14ac:dyDescent="0.5">
      <c r="S814" s="37">
        <f t="shared" si="25"/>
        <v>194640.38043727831</v>
      </c>
      <c r="U814" s="26">
        <f t="shared" si="24"/>
        <v>194535.38043727831</v>
      </c>
    </row>
    <row r="815" spans="19:21" ht="14.65" thickBot="1" x14ac:dyDescent="0.5">
      <c r="S815" s="37">
        <f t="shared" si="25"/>
        <v>196586.7842416511</v>
      </c>
      <c r="U815" s="26">
        <f t="shared" si="24"/>
        <v>196481.7842416511</v>
      </c>
    </row>
    <row r="816" spans="19:21" ht="14.65" thickBot="1" x14ac:dyDescent="0.5">
      <c r="S816" s="37">
        <f t="shared" si="25"/>
        <v>198552.65208406761</v>
      </c>
      <c r="U816" s="26">
        <f t="shared" si="24"/>
        <v>198447.65208406761</v>
      </c>
    </row>
    <row r="817" spans="19:21" ht="14.65" thickBot="1" x14ac:dyDescent="0.5">
      <c r="S817" s="37">
        <f t="shared" si="25"/>
        <v>200538.17860490829</v>
      </c>
      <c r="U817" s="26">
        <f t="shared" si="24"/>
        <v>200433.17860490829</v>
      </c>
    </row>
    <row r="818" spans="19:21" ht="14.65" thickBot="1" x14ac:dyDescent="0.5">
      <c r="S818" s="37">
        <f t="shared" si="25"/>
        <v>202543.56039095737</v>
      </c>
      <c r="U818" s="26">
        <f t="shared" si="24"/>
        <v>202438.56039095737</v>
      </c>
    </row>
    <row r="819" spans="19:21" ht="14.65" thickBot="1" x14ac:dyDescent="0.5">
      <c r="S819" s="37">
        <f t="shared" si="25"/>
        <v>204568.99599486694</v>
      </c>
      <c r="U819" s="26">
        <f t="shared" si="24"/>
        <v>204463.99599486694</v>
      </c>
    </row>
    <row r="820" spans="19:21" ht="14.65" thickBot="1" x14ac:dyDescent="0.5">
      <c r="S820" s="37">
        <f t="shared" si="25"/>
        <v>206614.68595481562</v>
      </c>
      <c r="U820" s="26">
        <f t="shared" si="24"/>
        <v>206509.68595481562</v>
      </c>
    </row>
    <row r="821" spans="19:21" ht="14.65" thickBot="1" x14ac:dyDescent="0.5">
      <c r="S821" s="37">
        <f t="shared" si="25"/>
        <v>208680.83281436379</v>
      </c>
      <c r="U821" s="26">
        <f t="shared" si="24"/>
        <v>208575.83281436379</v>
      </c>
    </row>
    <row r="822" spans="19:21" ht="14.65" thickBot="1" x14ac:dyDescent="0.5">
      <c r="S822" s="37">
        <f t="shared" si="25"/>
        <v>210767.64114250743</v>
      </c>
      <c r="U822" s="26">
        <f t="shared" si="24"/>
        <v>210662.64114250743</v>
      </c>
    </row>
    <row r="823" spans="19:21" ht="14.65" thickBot="1" x14ac:dyDescent="0.5">
      <c r="S823" s="37">
        <f t="shared" si="25"/>
        <v>212875.31755393252</v>
      </c>
      <c r="U823" s="26">
        <f t="shared" si="24"/>
        <v>212770.31755393252</v>
      </c>
    </row>
    <row r="824" spans="19:21" ht="14.65" thickBot="1" x14ac:dyDescent="0.5">
      <c r="S824" s="37">
        <f t="shared" si="25"/>
        <v>215004.07072947183</v>
      </c>
      <c r="U824" s="26">
        <f t="shared" si="24"/>
        <v>214899.07072947183</v>
      </c>
    </row>
    <row r="825" spans="19:21" ht="14.65" thickBot="1" x14ac:dyDescent="0.5">
      <c r="S825" s="37">
        <f t="shared" si="25"/>
        <v>217154.11143676654</v>
      </c>
      <c r="U825" s="26">
        <f t="shared" si="24"/>
        <v>217049.11143676654</v>
      </c>
    </row>
    <row r="826" spans="19:21" ht="14.65" thickBot="1" x14ac:dyDescent="0.5">
      <c r="S826" s="37">
        <f t="shared" si="25"/>
        <v>219325.6525511342</v>
      </c>
      <c r="U826" s="26">
        <f t="shared" si="24"/>
        <v>219220.6525511342</v>
      </c>
    </row>
    <row r="827" spans="19:21" ht="14.65" thickBot="1" x14ac:dyDescent="0.5">
      <c r="S827" s="37">
        <f t="shared" si="25"/>
        <v>221518.90907664553</v>
      </c>
      <c r="U827" s="26">
        <f t="shared" si="24"/>
        <v>221413.90907664553</v>
      </c>
    </row>
    <row r="828" spans="19:21" ht="14.65" thickBot="1" x14ac:dyDescent="0.5">
      <c r="S828" s="37">
        <f t="shared" si="25"/>
        <v>223734.09816741198</v>
      </c>
      <c r="U828" s="26">
        <f t="shared" si="24"/>
        <v>223629.09816741198</v>
      </c>
    </row>
    <row r="829" spans="19:21" ht="14.65" thickBot="1" x14ac:dyDescent="0.5">
      <c r="S829" s="37">
        <f t="shared" si="25"/>
        <v>225971.4391490861</v>
      </c>
      <c r="U829" s="26">
        <f t="shared" si="24"/>
        <v>225866.4391490861</v>
      </c>
    </row>
    <row r="830" spans="19:21" ht="14.65" thickBot="1" x14ac:dyDescent="0.5">
      <c r="S830" s="37">
        <f t="shared" si="25"/>
        <v>228231.15354057695</v>
      </c>
      <c r="U830" s="26">
        <f t="shared" si="24"/>
        <v>228126.15354057695</v>
      </c>
    </row>
    <row r="831" spans="19:21" ht="14.65" thickBot="1" x14ac:dyDescent="0.5">
      <c r="S831" s="37">
        <f t="shared" si="25"/>
        <v>230513.46507598273</v>
      </c>
      <c r="U831" s="26">
        <f t="shared" si="24"/>
        <v>230408.46507598273</v>
      </c>
    </row>
    <row r="832" spans="19:21" ht="14.65" thickBot="1" x14ac:dyDescent="0.5">
      <c r="S832" s="37">
        <f t="shared" si="25"/>
        <v>232818.59972674257</v>
      </c>
      <c r="U832" s="26">
        <f t="shared" si="24"/>
        <v>232713.59972674257</v>
      </c>
    </row>
    <row r="833" spans="19:21" ht="14.65" thickBot="1" x14ac:dyDescent="0.5">
      <c r="S833" s="37">
        <f t="shared" si="25"/>
        <v>235146.78572401</v>
      </c>
      <c r="U833" s="26">
        <f t="shared" si="24"/>
        <v>235041.78572401</v>
      </c>
    </row>
    <row r="834" spans="19:21" ht="14.65" thickBot="1" x14ac:dyDescent="0.5">
      <c r="S834" s="37">
        <f t="shared" si="25"/>
        <v>237498.25358125009</v>
      </c>
      <c r="U834" s="26">
        <f t="shared" si="24"/>
        <v>237393.25358125009</v>
      </c>
    </row>
    <row r="835" spans="19:21" ht="14.65" thickBot="1" x14ac:dyDescent="0.5">
      <c r="S835" s="37">
        <f t="shared" si="25"/>
        <v>239873.2361170626</v>
      </c>
      <c r="U835" s="26">
        <f t="shared" si="24"/>
        <v>239768.2361170626</v>
      </c>
    </row>
    <row r="836" spans="19:21" ht="14.65" thickBot="1" x14ac:dyDescent="0.5">
      <c r="S836" s="37">
        <f t="shared" si="25"/>
        <v>242271.96847823323</v>
      </c>
      <c r="U836" s="26">
        <f t="shared" si="24"/>
        <v>242166.96847823323</v>
      </c>
    </row>
    <row r="837" spans="19:21" ht="14.65" thickBot="1" x14ac:dyDescent="0.5">
      <c r="S837" s="37">
        <f t="shared" si="25"/>
        <v>244694.68816301555</v>
      </c>
      <c r="U837" s="26">
        <f t="shared" si="24"/>
        <v>244589.68816301555</v>
      </c>
    </row>
    <row r="838" spans="19:21" ht="14.65" thickBot="1" x14ac:dyDescent="0.5">
      <c r="S838" s="37">
        <f t="shared" si="25"/>
        <v>247141.63504464572</v>
      </c>
      <c r="U838" s="26">
        <f t="shared" si="24"/>
        <v>247036.63504464572</v>
      </c>
    </row>
    <row r="839" spans="19:21" ht="14.65" thickBot="1" x14ac:dyDescent="0.5">
      <c r="S839" s="37">
        <f t="shared" si="25"/>
        <v>249613.05139509219</v>
      </c>
      <c r="U839" s="26">
        <f t="shared" si="24"/>
        <v>249508.05139509219</v>
      </c>
    </row>
    <row r="840" spans="19:21" ht="14.65" thickBot="1" x14ac:dyDescent="0.5">
      <c r="S840" s="37">
        <f t="shared" si="25"/>
        <v>252109.18190904311</v>
      </c>
      <c r="U840" s="26">
        <f t="shared" si="24"/>
        <v>252004.18190904311</v>
      </c>
    </row>
    <row r="841" spans="19:21" ht="14.65" thickBot="1" x14ac:dyDescent="0.5">
      <c r="S841" s="37">
        <f t="shared" si="25"/>
        <v>254630.27372813353</v>
      </c>
      <c r="U841" s="26">
        <f t="shared" si="24"/>
        <v>254525.27372813353</v>
      </c>
    </row>
    <row r="842" spans="19:21" ht="14.65" thickBot="1" x14ac:dyDescent="0.5">
      <c r="S842" s="37">
        <f t="shared" si="25"/>
        <v>257176.57646541487</v>
      </c>
      <c r="U842" s="26">
        <f t="shared" si="24"/>
        <v>257071.57646541487</v>
      </c>
    </row>
    <row r="843" spans="19:21" ht="14.65" thickBot="1" x14ac:dyDescent="0.5">
      <c r="S843" s="37">
        <f t="shared" si="25"/>
        <v>259748.34223006901</v>
      </c>
      <c r="U843" s="26">
        <f t="shared" si="24"/>
        <v>259643.34223006901</v>
      </c>
    </row>
    <row r="844" spans="19:21" ht="14.65" thickBot="1" x14ac:dyDescent="0.5">
      <c r="S844" s="37">
        <f t="shared" si="25"/>
        <v>262345.82565236971</v>
      </c>
      <c r="U844" s="26">
        <f t="shared" si="24"/>
        <v>262240.82565236971</v>
      </c>
    </row>
    <row r="845" spans="19:21" ht="14.65" thickBot="1" x14ac:dyDescent="0.5">
      <c r="S845" s="37">
        <f t="shared" si="25"/>
        <v>264969.28390889341</v>
      </c>
      <c r="U845" s="26">
        <f t="shared" si="24"/>
        <v>264864.28390889341</v>
      </c>
    </row>
    <row r="846" spans="19:21" ht="14.65" thickBot="1" x14ac:dyDescent="0.5">
      <c r="S846" s="37">
        <f t="shared" si="25"/>
        <v>267618.97674798232</v>
      </c>
      <c r="U846" s="26">
        <f t="shared" si="24"/>
        <v>267513.97674798232</v>
      </c>
    </row>
    <row r="847" spans="19:21" ht="14.65" thickBot="1" x14ac:dyDescent="0.5">
      <c r="S847" s="37">
        <f t="shared" si="25"/>
        <v>270295.16651546216</v>
      </c>
      <c r="U847" s="26">
        <f t="shared" si="24"/>
        <v>270190.16651546216</v>
      </c>
    </row>
    <row r="848" spans="19:21" ht="14.65" thickBot="1" x14ac:dyDescent="0.5">
      <c r="S848" s="37">
        <f t="shared" si="25"/>
        <v>272998.11818061676</v>
      </c>
      <c r="U848" s="26">
        <f t="shared" si="24"/>
        <v>272893.11818061676</v>
      </c>
    </row>
    <row r="849" spans="19:21" ht="14.65" thickBot="1" x14ac:dyDescent="0.5">
      <c r="S849" s="37">
        <f t="shared" si="25"/>
        <v>275728.09936242294</v>
      </c>
      <c r="U849" s="26">
        <f t="shared" si="24"/>
        <v>275623.09936242294</v>
      </c>
    </row>
    <row r="850" spans="19:21" ht="14.65" thickBot="1" x14ac:dyDescent="0.5">
      <c r="S850" s="37">
        <f t="shared" si="25"/>
        <v>278485.38035604719</v>
      </c>
      <c r="U850" s="26">
        <f t="shared" ref="U850:U913" si="26">IF(S850&lt;$D$8,$D$8-$D$7-$D$9,S850-$D$7-$D$9)</f>
        <v>278380.38035604719</v>
      </c>
    </row>
    <row r="851" spans="19:21" ht="14.65" thickBot="1" x14ac:dyDescent="0.5">
      <c r="S851" s="37">
        <f t="shared" ref="S851:S914" si="27">S850*(1.01)</f>
        <v>281270.23415960767</v>
      </c>
      <c r="U851" s="26">
        <f t="shared" si="26"/>
        <v>281165.23415960767</v>
      </c>
    </row>
    <row r="852" spans="19:21" ht="14.65" thickBot="1" x14ac:dyDescent="0.5">
      <c r="S852" s="37">
        <f t="shared" si="27"/>
        <v>284082.93650120375</v>
      </c>
      <c r="U852" s="26">
        <f t="shared" si="26"/>
        <v>283977.93650120375</v>
      </c>
    </row>
    <row r="853" spans="19:21" ht="14.65" thickBot="1" x14ac:dyDescent="0.5">
      <c r="S853" s="37">
        <f t="shared" si="27"/>
        <v>286923.76586621581</v>
      </c>
      <c r="U853" s="26">
        <f t="shared" si="26"/>
        <v>286818.76586621581</v>
      </c>
    </row>
    <row r="854" spans="19:21" ht="14.65" thickBot="1" x14ac:dyDescent="0.5">
      <c r="S854" s="37">
        <f t="shared" si="27"/>
        <v>289793.00352487795</v>
      </c>
      <c r="U854" s="26">
        <f t="shared" si="26"/>
        <v>289688.00352487795</v>
      </c>
    </row>
    <row r="855" spans="19:21" ht="14.65" thickBot="1" x14ac:dyDescent="0.5">
      <c r="S855" s="37">
        <f t="shared" si="27"/>
        <v>292690.93356012675</v>
      </c>
      <c r="U855" s="26">
        <f t="shared" si="26"/>
        <v>292585.93356012675</v>
      </c>
    </row>
    <row r="856" spans="19:21" ht="14.65" thickBot="1" x14ac:dyDescent="0.5">
      <c r="S856" s="37">
        <f t="shared" si="27"/>
        <v>295617.84289572801</v>
      </c>
      <c r="U856" s="26">
        <f t="shared" si="26"/>
        <v>295512.84289572801</v>
      </c>
    </row>
    <row r="857" spans="19:21" ht="14.65" thickBot="1" x14ac:dyDescent="0.5">
      <c r="S857" s="37">
        <f t="shared" si="27"/>
        <v>298574.02132468531</v>
      </c>
      <c r="U857" s="26">
        <f t="shared" si="26"/>
        <v>298469.02132468531</v>
      </c>
    </row>
    <row r="858" spans="19:21" ht="14.65" thickBot="1" x14ac:dyDescent="0.5">
      <c r="S858" s="37">
        <f t="shared" si="27"/>
        <v>301559.76153793215</v>
      </c>
      <c r="U858" s="26">
        <f t="shared" si="26"/>
        <v>301454.76153793215</v>
      </c>
    </row>
    <row r="859" spans="19:21" ht="14.65" thickBot="1" x14ac:dyDescent="0.5">
      <c r="S859" s="37">
        <f t="shared" si="27"/>
        <v>304575.35915331147</v>
      </c>
      <c r="U859" s="26">
        <f t="shared" si="26"/>
        <v>304470.35915331147</v>
      </c>
    </row>
    <row r="860" spans="19:21" ht="14.65" thickBot="1" x14ac:dyDescent="0.5">
      <c r="S860" s="37">
        <f t="shared" si="27"/>
        <v>307621.11274484458</v>
      </c>
      <c r="U860" s="26">
        <f t="shared" si="26"/>
        <v>307516.11274484458</v>
      </c>
    </row>
    <row r="861" spans="19:21" ht="14.65" thickBot="1" x14ac:dyDescent="0.5">
      <c r="S861" s="37">
        <f t="shared" si="27"/>
        <v>310697.323872293</v>
      </c>
      <c r="U861" s="26">
        <f t="shared" si="26"/>
        <v>310592.323872293</v>
      </c>
    </row>
    <row r="862" spans="19:21" ht="14.65" thickBot="1" x14ac:dyDescent="0.5">
      <c r="S862" s="37">
        <f t="shared" si="27"/>
        <v>313804.29711101594</v>
      </c>
      <c r="U862" s="26">
        <f t="shared" si="26"/>
        <v>313699.29711101594</v>
      </c>
    </row>
    <row r="863" spans="19:21" ht="14.65" thickBot="1" x14ac:dyDescent="0.5">
      <c r="S863" s="37">
        <f t="shared" si="27"/>
        <v>316942.34008212609</v>
      </c>
      <c r="U863" s="26">
        <f t="shared" si="26"/>
        <v>316837.34008212609</v>
      </c>
    </row>
    <row r="864" spans="19:21" ht="14.65" thickBot="1" x14ac:dyDescent="0.5">
      <c r="S864" s="37">
        <f t="shared" si="27"/>
        <v>320111.76348294737</v>
      </c>
      <c r="U864" s="26">
        <f t="shared" si="26"/>
        <v>320006.76348294737</v>
      </c>
    </row>
    <row r="865" spans="19:21" ht="14.65" thickBot="1" x14ac:dyDescent="0.5">
      <c r="S865" s="37">
        <f t="shared" si="27"/>
        <v>323312.88111777685</v>
      </c>
      <c r="U865" s="26">
        <f t="shared" si="26"/>
        <v>323207.88111777685</v>
      </c>
    </row>
    <row r="866" spans="19:21" ht="14.65" thickBot="1" x14ac:dyDescent="0.5">
      <c r="S866" s="37">
        <f t="shared" si="27"/>
        <v>326546.00992895465</v>
      </c>
      <c r="U866" s="26">
        <f t="shared" si="26"/>
        <v>326441.00992895465</v>
      </c>
    </row>
    <row r="867" spans="19:21" ht="14.65" thickBot="1" x14ac:dyDescent="0.5">
      <c r="S867" s="37">
        <f t="shared" si="27"/>
        <v>329811.47002824419</v>
      </c>
      <c r="U867" s="26">
        <f t="shared" si="26"/>
        <v>329706.47002824419</v>
      </c>
    </row>
    <row r="868" spans="19:21" ht="14.65" thickBot="1" x14ac:dyDescent="0.5">
      <c r="S868" s="37">
        <f t="shared" si="27"/>
        <v>333109.58472852665</v>
      </c>
      <c r="U868" s="26">
        <f t="shared" si="26"/>
        <v>333004.58472852665</v>
      </c>
    </row>
    <row r="869" spans="19:21" ht="14.65" thickBot="1" x14ac:dyDescent="0.5">
      <c r="S869" s="37">
        <f t="shared" si="27"/>
        <v>336440.68057581194</v>
      </c>
      <c r="U869" s="26">
        <f t="shared" si="26"/>
        <v>336335.68057581194</v>
      </c>
    </row>
    <row r="870" spans="19:21" ht="14.65" thickBot="1" x14ac:dyDescent="0.5">
      <c r="S870" s="37">
        <f t="shared" si="27"/>
        <v>339805.08738157008</v>
      </c>
      <c r="U870" s="26">
        <f t="shared" si="26"/>
        <v>339700.08738157008</v>
      </c>
    </row>
    <row r="871" spans="19:21" ht="14.65" thickBot="1" x14ac:dyDescent="0.5">
      <c r="S871" s="37">
        <f t="shared" si="27"/>
        <v>343203.1382553858</v>
      </c>
      <c r="U871" s="26">
        <f t="shared" si="26"/>
        <v>343098.1382553858</v>
      </c>
    </row>
    <row r="872" spans="19:21" ht="14.65" thickBot="1" x14ac:dyDescent="0.5">
      <c r="S872" s="37">
        <f t="shared" si="27"/>
        <v>346635.16963793966</v>
      </c>
      <c r="U872" s="26">
        <f t="shared" si="26"/>
        <v>346530.16963793966</v>
      </c>
    </row>
    <row r="873" spans="19:21" ht="14.65" thickBot="1" x14ac:dyDescent="0.5">
      <c r="S873" s="37">
        <f t="shared" si="27"/>
        <v>350101.52133431908</v>
      </c>
      <c r="U873" s="26">
        <f t="shared" si="26"/>
        <v>349996.52133431908</v>
      </c>
    </row>
    <row r="874" spans="19:21" ht="14.65" thickBot="1" x14ac:dyDescent="0.5">
      <c r="S874" s="37">
        <f t="shared" si="27"/>
        <v>353602.53654766228</v>
      </c>
      <c r="U874" s="26">
        <f t="shared" si="26"/>
        <v>353497.53654766228</v>
      </c>
    </row>
    <row r="875" spans="19:21" ht="14.65" thickBot="1" x14ac:dyDescent="0.5">
      <c r="S875" s="37">
        <f t="shared" si="27"/>
        <v>357138.5619131389</v>
      </c>
      <c r="U875" s="26">
        <f t="shared" si="26"/>
        <v>357033.5619131389</v>
      </c>
    </row>
    <row r="876" spans="19:21" ht="14.65" thickBot="1" x14ac:dyDescent="0.5">
      <c r="S876" s="37">
        <f t="shared" si="27"/>
        <v>360709.94753227028</v>
      </c>
      <c r="U876" s="26">
        <f t="shared" si="26"/>
        <v>360604.94753227028</v>
      </c>
    </row>
    <row r="877" spans="19:21" ht="14.65" thickBot="1" x14ac:dyDescent="0.5">
      <c r="S877" s="37">
        <f t="shared" si="27"/>
        <v>364317.04700759298</v>
      </c>
      <c r="U877" s="26">
        <f t="shared" si="26"/>
        <v>364212.04700759298</v>
      </c>
    </row>
    <row r="878" spans="19:21" ht="14.65" thickBot="1" x14ac:dyDescent="0.5">
      <c r="S878" s="37">
        <f t="shared" si="27"/>
        <v>367960.21747766889</v>
      </c>
      <c r="U878" s="26">
        <f t="shared" si="26"/>
        <v>367855.21747766889</v>
      </c>
    </row>
    <row r="879" spans="19:21" ht="14.65" thickBot="1" x14ac:dyDescent="0.5">
      <c r="S879" s="37">
        <f t="shared" si="27"/>
        <v>371639.81965244556</v>
      </c>
      <c r="U879" s="26">
        <f t="shared" si="26"/>
        <v>371534.81965244556</v>
      </c>
    </row>
    <row r="880" spans="19:21" ht="14.65" thickBot="1" x14ac:dyDescent="0.5">
      <c r="S880" s="37">
        <f t="shared" si="27"/>
        <v>375356.21784897003</v>
      </c>
      <c r="U880" s="26">
        <f t="shared" si="26"/>
        <v>375251.21784897003</v>
      </c>
    </row>
    <row r="881" spans="19:21" ht="14.65" thickBot="1" x14ac:dyDescent="0.5">
      <c r="S881" s="37">
        <f t="shared" si="27"/>
        <v>379109.78002745972</v>
      </c>
      <c r="U881" s="26">
        <f t="shared" si="26"/>
        <v>379004.78002745972</v>
      </c>
    </row>
    <row r="882" spans="19:21" ht="14.65" thickBot="1" x14ac:dyDescent="0.5">
      <c r="S882" s="37">
        <f t="shared" si="27"/>
        <v>382900.87782773434</v>
      </c>
      <c r="U882" s="26">
        <f t="shared" si="26"/>
        <v>382795.87782773434</v>
      </c>
    </row>
    <row r="883" spans="19:21" ht="14.65" thickBot="1" x14ac:dyDescent="0.5">
      <c r="S883" s="37">
        <f t="shared" si="27"/>
        <v>386729.88660601166</v>
      </c>
      <c r="U883" s="26">
        <f t="shared" si="26"/>
        <v>386624.88660601166</v>
      </c>
    </row>
    <row r="884" spans="19:21" ht="14.65" thickBot="1" x14ac:dyDescent="0.5">
      <c r="S884" s="37">
        <f t="shared" si="27"/>
        <v>390597.18547207175</v>
      </c>
      <c r="U884" s="26">
        <f t="shared" si="26"/>
        <v>390492.18547207175</v>
      </c>
    </row>
    <row r="885" spans="19:21" ht="14.65" thickBot="1" x14ac:dyDescent="0.5">
      <c r="S885" s="37">
        <f t="shared" si="27"/>
        <v>394503.15732679248</v>
      </c>
      <c r="U885" s="26">
        <f t="shared" si="26"/>
        <v>394398.15732679248</v>
      </c>
    </row>
    <row r="886" spans="19:21" ht="14.65" thickBot="1" x14ac:dyDescent="0.5">
      <c r="S886" s="37">
        <f t="shared" si="27"/>
        <v>398448.18890006043</v>
      </c>
      <c r="U886" s="26">
        <f t="shared" si="26"/>
        <v>398343.18890006043</v>
      </c>
    </row>
    <row r="887" spans="19:21" ht="14.65" thickBot="1" x14ac:dyDescent="0.5">
      <c r="S887" s="37">
        <f t="shared" si="27"/>
        <v>402432.67078906106</v>
      </c>
      <c r="U887" s="26">
        <f t="shared" si="26"/>
        <v>402327.67078906106</v>
      </c>
    </row>
    <row r="888" spans="19:21" ht="14.65" thickBot="1" x14ac:dyDescent="0.5">
      <c r="S888" s="37">
        <f t="shared" si="27"/>
        <v>406456.99749695166</v>
      </c>
      <c r="U888" s="26">
        <f t="shared" si="26"/>
        <v>406351.99749695166</v>
      </c>
    </row>
    <row r="889" spans="19:21" ht="14.65" thickBot="1" x14ac:dyDescent="0.5">
      <c r="S889" s="37">
        <f t="shared" si="27"/>
        <v>410521.56747192121</v>
      </c>
      <c r="U889" s="26">
        <f t="shared" si="26"/>
        <v>410416.56747192121</v>
      </c>
    </row>
    <row r="890" spans="19:21" ht="14.65" thickBot="1" x14ac:dyDescent="0.5">
      <c r="S890" s="37">
        <f t="shared" si="27"/>
        <v>414626.7831466404</v>
      </c>
      <c r="U890" s="26">
        <f t="shared" si="26"/>
        <v>414521.7831466404</v>
      </c>
    </row>
    <row r="891" spans="19:21" ht="14.65" thickBot="1" x14ac:dyDescent="0.5">
      <c r="S891" s="37">
        <f t="shared" si="27"/>
        <v>418773.0509781068</v>
      </c>
      <c r="U891" s="26">
        <f t="shared" si="26"/>
        <v>418668.0509781068</v>
      </c>
    </row>
    <row r="892" spans="19:21" ht="14.65" thickBot="1" x14ac:dyDescent="0.5">
      <c r="S892" s="37">
        <f t="shared" si="27"/>
        <v>422960.78148788784</v>
      </c>
      <c r="U892" s="26">
        <f t="shared" si="26"/>
        <v>422855.78148788784</v>
      </c>
    </row>
    <row r="893" spans="19:21" ht="14.65" thickBot="1" x14ac:dyDescent="0.5">
      <c r="S893" s="37">
        <f t="shared" si="27"/>
        <v>427190.38930276671</v>
      </c>
      <c r="U893" s="26">
        <f t="shared" si="26"/>
        <v>427085.38930276671</v>
      </c>
    </row>
    <row r="894" spans="19:21" ht="14.65" thickBot="1" x14ac:dyDescent="0.5">
      <c r="S894" s="37">
        <f t="shared" si="27"/>
        <v>431462.29319579439</v>
      </c>
      <c r="U894" s="26">
        <f t="shared" si="26"/>
        <v>431357.29319579439</v>
      </c>
    </row>
    <row r="895" spans="19:21" ht="14.65" thickBot="1" x14ac:dyDescent="0.5">
      <c r="S895" s="37">
        <f t="shared" si="27"/>
        <v>435776.91612775234</v>
      </c>
      <c r="U895" s="26">
        <f t="shared" si="26"/>
        <v>435671.91612775234</v>
      </c>
    </row>
    <row r="896" spans="19:21" ht="14.65" thickBot="1" x14ac:dyDescent="0.5">
      <c r="S896" s="37">
        <f t="shared" si="27"/>
        <v>440134.68528902985</v>
      </c>
      <c r="U896" s="26">
        <f t="shared" si="26"/>
        <v>440029.68528902985</v>
      </c>
    </row>
    <row r="897" spans="19:21" ht="14.65" thickBot="1" x14ac:dyDescent="0.5">
      <c r="S897" s="37">
        <f t="shared" si="27"/>
        <v>444536.03214192012</v>
      </c>
      <c r="U897" s="26">
        <f t="shared" si="26"/>
        <v>444431.03214192012</v>
      </c>
    </row>
    <row r="898" spans="19:21" ht="14.65" thickBot="1" x14ac:dyDescent="0.5">
      <c r="S898" s="37">
        <f t="shared" si="27"/>
        <v>448981.39246333932</v>
      </c>
      <c r="U898" s="26">
        <f t="shared" si="26"/>
        <v>448876.39246333932</v>
      </c>
    </row>
    <row r="899" spans="19:21" ht="14.65" thickBot="1" x14ac:dyDescent="0.5">
      <c r="S899" s="37">
        <f t="shared" si="27"/>
        <v>453471.20638797269</v>
      </c>
      <c r="U899" s="26">
        <f t="shared" si="26"/>
        <v>453366.20638797269</v>
      </c>
    </row>
    <row r="900" spans="19:21" ht="14.65" thickBot="1" x14ac:dyDescent="0.5">
      <c r="S900" s="37">
        <f t="shared" si="27"/>
        <v>458005.9184518524</v>
      </c>
      <c r="U900" s="26">
        <f t="shared" si="26"/>
        <v>457900.9184518524</v>
      </c>
    </row>
    <row r="901" spans="19:21" ht="14.65" thickBot="1" x14ac:dyDescent="0.5">
      <c r="S901" s="37">
        <f t="shared" si="27"/>
        <v>462585.97763637092</v>
      </c>
      <c r="U901" s="26">
        <f t="shared" si="26"/>
        <v>462480.97763637092</v>
      </c>
    </row>
    <row r="902" spans="19:21" ht="14.65" thickBot="1" x14ac:dyDescent="0.5">
      <c r="S902" s="37">
        <f t="shared" si="27"/>
        <v>467211.83741273463</v>
      </c>
      <c r="U902" s="26">
        <f t="shared" si="26"/>
        <v>467106.83741273463</v>
      </c>
    </row>
    <row r="903" spans="19:21" ht="14.65" thickBot="1" x14ac:dyDescent="0.5">
      <c r="S903" s="37">
        <f t="shared" si="27"/>
        <v>471883.955786862</v>
      </c>
      <c r="U903" s="26">
        <f t="shared" si="26"/>
        <v>471778.955786862</v>
      </c>
    </row>
    <row r="904" spans="19:21" ht="14.65" thickBot="1" x14ac:dyDescent="0.5">
      <c r="S904" s="37">
        <f t="shared" si="27"/>
        <v>476602.79534473061</v>
      </c>
      <c r="U904" s="26">
        <f t="shared" si="26"/>
        <v>476497.79534473061</v>
      </c>
    </row>
    <row r="905" spans="19:21" ht="14.65" thickBot="1" x14ac:dyDescent="0.5">
      <c r="S905" s="37">
        <f t="shared" si="27"/>
        <v>481368.82329817791</v>
      </c>
      <c r="U905" s="26">
        <f t="shared" si="26"/>
        <v>481263.82329817791</v>
      </c>
    </row>
    <row r="906" spans="19:21" ht="14.65" thickBot="1" x14ac:dyDescent="0.5">
      <c r="S906" s="37">
        <f t="shared" si="27"/>
        <v>486182.51153115969</v>
      </c>
      <c r="U906" s="26">
        <f t="shared" si="26"/>
        <v>486077.51153115969</v>
      </c>
    </row>
    <row r="907" spans="19:21" ht="14.65" thickBot="1" x14ac:dyDescent="0.5">
      <c r="S907" s="37">
        <f t="shared" si="27"/>
        <v>491044.33664647129</v>
      </c>
      <c r="U907" s="26">
        <f t="shared" si="26"/>
        <v>490939.33664647129</v>
      </c>
    </row>
    <row r="908" spans="19:21" ht="14.65" thickBot="1" x14ac:dyDescent="0.5">
      <c r="S908" s="37">
        <f t="shared" si="27"/>
        <v>495954.78001293598</v>
      </c>
      <c r="U908" s="26">
        <f t="shared" si="26"/>
        <v>495849.78001293598</v>
      </c>
    </row>
    <row r="909" spans="19:21" ht="14.65" thickBot="1" x14ac:dyDescent="0.5">
      <c r="S909" s="37">
        <f t="shared" si="27"/>
        <v>500914.32781306532</v>
      </c>
      <c r="U909" s="26">
        <f t="shared" si="26"/>
        <v>500809.32781306532</v>
      </c>
    </row>
    <row r="910" spans="19:21" ht="14.65" thickBot="1" x14ac:dyDescent="0.5">
      <c r="S910" s="37">
        <f t="shared" si="27"/>
        <v>505923.471091196</v>
      </c>
      <c r="U910" s="26">
        <f t="shared" si="26"/>
        <v>505818.471091196</v>
      </c>
    </row>
    <row r="911" spans="19:21" ht="14.65" thickBot="1" x14ac:dyDescent="0.5">
      <c r="S911" s="37">
        <f t="shared" si="27"/>
        <v>510982.70580210799</v>
      </c>
      <c r="U911" s="26">
        <f t="shared" si="26"/>
        <v>510877.70580210799</v>
      </c>
    </row>
    <row r="912" spans="19:21" ht="14.65" thickBot="1" x14ac:dyDescent="0.5">
      <c r="S912" s="37">
        <f t="shared" si="27"/>
        <v>516092.53286012908</v>
      </c>
      <c r="U912" s="26">
        <f t="shared" si="26"/>
        <v>515987.53286012908</v>
      </c>
    </row>
    <row r="913" spans="19:21" ht="14.65" thickBot="1" x14ac:dyDescent="0.5">
      <c r="S913" s="37">
        <f t="shared" si="27"/>
        <v>521253.45818873035</v>
      </c>
      <c r="U913" s="26">
        <f t="shared" si="26"/>
        <v>521148.45818873035</v>
      </c>
    </row>
    <row r="914" spans="19:21" ht="14.65" thickBot="1" x14ac:dyDescent="0.5">
      <c r="S914" s="37">
        <f t="shared" si="27"/>
        <v>526465.99277061771</v>
      </c>
      <c r="U914" s="26">
        <f t="shared" ref="U914:U977" si="28">IF(S914&lt;$D$8,$D$8-$D$7-$D$9,S914-$D$7-$D$9)</f>
        <v>526360.99277061771</v>
      </c>
    </row>
    <row r="915" spans="19:21" ht="14.65" thickBot="1" x14ac:dyDescent="0.5">
      <c r="S915" s="37">
        <f t="shared" ref="S915:S978" si="29">S914*(1.01)</f>
        <v>531730.65269832395</v>
      </c>
      <c r="U915" s="26">
        <f t="shared" si="28"/>
        <v>531625.65269832395</v>
      </c>
    </row>
    <row r="916" spans="19:21" ht="14.65" thickBot="1" x14ac:dyDescent="0.5">
      <c r="S916" s="37">
        <f t="shared" si="29"/>
        <v>537047.95922530722</v>
      </c>
      <c r="U916" s="26">
        <f t="shared" si="28"/>
        <v>536942.95922530722</v>
      </c>
    </row>
    <row r="917" spans="19:21" ht="14.65" thickBot="1" x14ac:dyDescent="0.5">
      <c r="S917" s="37">
        <f t="shared" si="29"/>
        <v>542418.43881756032</v>
      </c>
      <c r="U917" s="26">
        <f t="shared" si="28"/>
        <v>542313.43881756032</v>
      </c>
    </row>
    <row r="918" spans="19:21" ht="14.65" thickBot="1" x14ac:dyDescent="0.5">
      <c r="S918" s="37">
        <f t="shared" si="29"/>
        <v>547842.62320573593</v>
      </c>
      <c r="U918" s="26">
        <f t="shared" si="28"/>
        <v>547737.62320573593</v>
      </c>
    </row>
    <row r="919" spans="19:21" ht="14.65" thickBot="1" x14ac:dyDescent="0.5">
      <c r="S919" s="37">
        <f t="shared" si="29"/>
        <v>553321.04943779332</v>
      </c>
      <c r="U919" s="26">
        <f t="shared" si="28"/>
        <v>553216.04943779332</v>
      </c>
    </row>
    <row r="920" spans="19:21" ht="14.65" thickBot="1" x14ac:dyDescent="0.5">
      <c r="S920" s="37">
        <f t="shared" si="29"/>
        <v>558854.2599321712</v>
      </c>
      <c r="U920" s="26">
        <f t="shared" si="28"/>
        <v>558749.2599321712</v>
      </c>
    </row>
    <row r="921" spans="19:21" ht="14.65" thickBot="1" x14ac:dyDescent="0.5">
      <c r="S921" s="37">
        <f t="shared" si="29"/>
        <v>564442.8025314929</v>
      </c>
      <c r="U921" s="26">
        <f t="shared" si="28"/>
        <v>564337.8025314929</v>
      </c>
    </row>
    <row r="922" spans="19:21" ht="14.65" thickBot="1" x14ac:dyDescent="0.5">
      <c r="S922" s="37">
        <f t="shared" si="29"/>
        <v>570087.23055680783</v>
      </c>
      <c r="U922" s="26">
        <f t="shared" si="28"/>
        <v>569982.23055680783</v>
      </c>
    </row>
    <row r="923" spans="19:21" ht="14.65" thickBot="1" x14ac:dyDescent="0.5">
      <c r="S923" s="37">
        <f t="shared" si="29"/>
        <v>575788.1028623759</v>
      </c>
      <c r="U923" s="26">
        <f t="shared" si="28"/>
        <v>575683.1028623759</v>
      </c>
    </row>
    <row r="924" spans="19:21" ht="14.65" thickBot="1" x14ac:dyDescent="0.5">
      <c r="S924" s="37">
        <f t="shared" si="29"/>
        <v>581545.98389099969</v>
      </c>
      <c r="U924" s="26">
        <f t="shared" si="28"/>
        <v>581440.98389099969</v>
      </c>
    </row>
    <row r="925" spans="19:21" ht="14.65" thickBot="1" x14ac:dyDescent="0.5">
      <c r="S925" s="37">
        <f t="shared" si="29"/>
        <v>587361.44372990972</v>
      </c>
      <c r="U925" s="26">
        <f t="shared" si="28"/>
        <v>587256.44372990972</v>
      </c>
    </row>
    <row r="926" spans="19:21" ht="14.65" thickBot="1" x14ac:dyDescent="0.5">
      <c r="S926" s="37">
        <f t="shared" si="29"/>
        <v>593235.0581672088</v>
      </c>
      <c r="U926" s="26">
        <f t="shared" si="28"/>
        <v>593130.0581672088</v>
      </c>
    </row>
    <row r="927" spans="19:21" ht="14.65" thickBot="1" x14ac:dyDescent="0.5">
      <c r="S927" s="37">
        <f t="shared" si="29"/>
        <v>599167.40874888084</v>
      </c>
      <c r="U927" s="26">
        <f t="shared" si="28"/>
        <v>599062.40874888084</v>
      </c>
    </row>
    <row r="928" spans="19:21" ht="14.65" thickBot="1" x14ac:dyDescent="0.5">
      <c r="S928" s="37">
        <f t="shared" si="29"/>
        <v>605159.08283636963</v>
      </c>
      <c r="U928" s="26">
        <f t="shared" si="28"/>
        <v>605054.08283636963</v>
      </c>
    </row>
    <row r="929" spans="19:21" ht="14.65" thickBot="1" x14ac:dyDescent="0.5">
      <c r="S929" s="37">
        <f t="shared" si="29"/>
        <v>611210.6736647333</v>
      </c>
      <c r="U929" s="26">
        <f t="shared" si="28"/>
        <v>611105.6736647333</v>
      </c>
    </row>
    <row r="930" spans="19:21" ht="14.65" thickBot="1" x14ac:dyDescent="0.5">
      <c r="S930" s="37">
        <f t="shared" si="29"/>
        <v>617322.78040138062</v>
      </c>
      <c r="U930" s="26">
        <f t="shared" si="28"/>
        <v>617217.78040138062</v>
      </c>
    </row>
    <row r="931" spans="19:21" ht="14.65" thickBot="1" x14ac:dyDescent="0.5">
      <c r="S931" s="37">
        <f t="shared" si="29"/>
        <v>623496.00820539438</v>
      </c>
      <c r="U931" s="26">
        <f t="shared" si="28"/>
        <v>623391.00820539438</v>
      </c>
    </row>
    <row r="932" spans="19:21" ht="14.65" thickBot="1" x14ac:dyDescent="0.5">
      <c r="S932" s="37">
        <f t="shared" si="29"/>
        <v>629730.96828744828</v>
      </c>
      <c r="U932" s="26">
        <f t="shared" si="28"/>
        <v>629625.96828744828</v>
      </c>
    </row>
    <row r="933" spans="19:21" ht="14.65" thickBot="1" x14ac:dyDescent="0.5">
      <c r="S933" s="37">
        <f t="shared" si="29"/>
        <v>636028.27797032276</v>
      </c>
      <c r="U933" s="26">
        <f t="shared" si="28"/>
        <v>635923.27797032276</v>
      </c>
    </row>
    <row r="934" spans="19:21" ht="14.65" thickBot="1" x14ac:dyDescent="0.5">
      <c r="S934" s="37">
        <f t="shared" si="29"/>
        <v>642388.56075002602</v>
      </c>
      <c r="U934" s="26">
        <f t="shared" si="28"/>
        <v>642283.56075002602</v>
      </c>
    </row>
    <row r="935" spans="19:21" ht="14.65" thickBot="1" x14ac:dyDescent="0.5">
      <c r="S935" s="37">
        <f t="shared" si="29"/>
        <v>648812.44635752623</v>
      </c>
      <c r="U935" s="26">
        <f t="shared" si="28"/>
        <v>648707.44635752623</v>
      </c>
    </row>
    <row r="936" spans="19:21" ht="14.65" thickBot="1" x14ac:dyDescent="0.5">
      <c r="S936" s="37">
        <f t="shared" si="29"/>
        <v>655300.57082110154</v>
      </c>
      <c r="U936" s="26">
        <f t="shared" si="28"/>
        <v>655195.57082110154</v>
      </c>
    </row>
    <row r="937" spans="19:21" ht="14.65" thickBot="1" x14ac:dyDescent="0.5">
      <c r="S937" s="37">
        <f t="shared" si="29"/>
        <v>661853.57652931253</v>
      </c>
      <c r="U937" s="26">
        <f t="shared" si="28"/>
        <v>661748.57652931253</v>
      </c>
    </row>
    <row r="938" spans="19:21" ht="14.65" thickBot="1" x14ac:dyDescent="0.5">
      <c r="S938" s="37">
        <f t="shared" si="29"/>
        <v>668472.1122946057</v>
      </c>
      <c r="U938" s="26">
        <f t="shared" si="28"/>
        <v>668367.1122946057</v>
      </c>
    </row>
    <row r="939" spans="19:21" ht="14.65" thickBot="1" x14ac:dyDescent="0.5">
      <c r="S939" s="37">
        <f t="shared" si="29"/>
        <v>675156.83341755171</v>
      </c>
      <c r="U939" s="26">
        <f t="shared" si="28"/>
        <v>675051.83341755171</v>
      </c>
    </row>
    <row r="940" spans="19:21" ht="14.65" thickBot="1" x14ac:dyDescent="0.5">
      <c r="S940" s="37">
        <f t="shared" si="29"/>
        <v>681908.40175172722</v>
      </c>
      <c r="U940" s="26">
        <f t="shared" si="28"/>
        <v>681803.40175172722</v>
      </c>
    </row>
    <row r="941" spans="19:21" ht="14.65" thickBot="1" x14ac:dyDescent="0.5">
      <c r="S941" s="37">
        <f t="shared" si="29"/>
        <v>688727.48576924449</v>
      </c>
      <c r="U941" s="26">
        <f t="shared" si="28"/>
        <v>688622.48576924449</v>
      </c>
    </row>
    <row r="942" spans="19:21" ht="14.65" thickBot="1" x14ac:dyDescent="0.5">
      <c r="S942" s="37">
        <f t="shared" si="29"/>
        <v>695614.76062693691</v>
      </c>
      <c r="U942" s="26">
        <f t="shared" si="28"/>
        <v>695509.76062693691</v>
      </c>
    </row>
    <row r="943" spans="19:21" ht="14.65" thickBot="1" x14ac:dyDescent="0.5">
      <c r="S943" s="37">
        <f t="shared" si="29"/>
        <v>702570.90823320625</v>
      </c>
      <c r="U943" s="26">
        <f t="shared" si="28"/>
        <v>702465.90823320625</v>
      </c>
    </row>
    <row r="944" spans="19:21" ht="14.65" thickBot="1" x14ac:dyDescent="0.5">
      <c r="S944" s="37">
        <f t="shared" si="29"/>
        <v>709596.61731553834</v>
      </c>
      <c r="U944" s="26">
        <f t="shared" si="28"/>
        <v>709491.61731553834</v>
      </c>
    </row>
    <row r="945" spans="19:21" ht="14.65" thickBot="1" x14ac:dyDescent="0.5">
      <c r="S945" s="37">
        <f t="shared" si="29"/>
        <v>716692.58348869369</v>
      </c>
      <c r="U945" s="26">
        <f t="shared" si="28"/>
        <v>716587.58348869369</v>
      </c>
    </row>
    <row r="946" spans="19:21" ht="14.65" thickBot="1" x14ac:dyDescent="0.5">
      <c r="S946" s="37">
        <f t="shared" si="29"/>
        <v>723859.50932358066</v>
      </c>
      <c r="U946" s="26">
        <f t="shared" si="28"/>
        <v>723754.50932358066</v>
      </c>
    </row>
    <row r="947" spans="19:21" ht="14.65" thickBot="1" x14ac:dyDescent="0.5">
      <c r="S947" s="37">
        <f t="shared" si="29"/>
        <v>731098.1044168165</v>
      </c>
      <c r="U947" s="26">
        <f t="shared" si="28"/>
        <v>730993.1044168165</v>
      </c>
    </row>
    <row r="948" spans="19:21" ht="14.65" thickBot="1" x14ac:dyDescent="0.5">
      <c r="S948" s="37">
        <f t="shared" si="29"/>
        <v>738409.08546098461</v>
      </c>
      <c r="U948" s="26">
        <f t="shared" si="28"/>
        <v>738304.08546098461</v>
      </c>
    </row>
    <row r="949" spans="19:21" ht="14.65" thickBot="1" x14ac:dyDescent="0.5">
      <c r="S949" s="37">
        <f t="shared" si="29"/>
        <v>745793.17631559446</v>
      </c>
      <c r="U949" s="26">
        <f t="shared" si="28"/>
        <v>745688.17631559446</v>
      </c>
    </row>
    <row r="950" spans="19:21" ht="14.65" thickBot="1" x14ac:dyDescent="0.5">
      <c r="S950" s="37">
        <f t="shared" si="29"/>
        <v>753251.10807875043</v>
      </c>
      <c r="U950" s="26">
        <f t="shared" si="28"/>
        <v>753146.10807875043</v>
      </c>
    </row>
    <row r="951" spans="19:21" ht="14.65" thickBot="1" x14ac:dyDescent="0.5">
      <c r="S951" s="37">
        <f t="shared" si="29"/>
        <v>760783.61915953795</v>
      </c>
      <c r="U951" s="26">
        <f t="shared" si="28"/>
        <v>760678.61915953795</v>
      </c>
    </row>
    <row r="952" spans="19:21" ht="14.65" thickBot="1" x14ac:dyDescent="0.5">
      <c r="S952" s="37">
        <f t="shared" si="29"/>
        <v>768391.45535113337</v>
      </c>
      <c r="U952" s="26">
        <f t="shared" si="28"/>
        <v>768286.45535113337</v>
      </c>
    </row>
    <row r="953" spans="19:21" ht="14.65" thickBot="1" x14ac:dyDescent="0.5">
      <c r="S953" s="37">
        <f t="shared" si="29"/>
        <v>776075.36990464467</v>
      </c>
      <c r="U953" s="26">
        <f t="shared" si="28"/>
        <v>775970.36990464467</v>
      </c>
    </row>
    <row r="954" spans="19:21" ht="14.65" thickBot="1" x14ac:dyDescent="0.5">
      <c r="S954" s="37">
        <f t="shared" si="29"/>
        <v>783836.12360369111</v>
      </c>
      <c r="U954" s="26">
        <f t="shared" si="28"/>
        <v>783731.12360369111</v>
      </c>
    </row>
    <row r="955" spans="19:21" ht="14.65" thickBot="1" x14ac:dyDescent="0.5">
      <c r="S955" s="37">
        <f t="shared" si="29"/>
        <v>791674.48483972799</v>
      </c>
      <c r="U955" s="26">
        <f t="shared" si="28"/>
        <v>791569.48483972799</v>
      </c>
    </row>
    <row r="956" spans="19:21" ht="14.65" thickBot="1" x14ac:dyDescent="0.5">
      <c r="S956" s="37">
        <f t="shared" si="29"/>
        <v>799591.22968812531</v>
      </c>
      <c r="U956" s="26">
        <f t="shared" si="28"/>
        <v>799486.22968812531</v>
      </c>
    </row>
    <row r="957" spans="19:21" ht="14.65" thickBot="1" x14ac:dyDescent="0.5">
      <c r="S957" s="37">
        <f t="shared" si="29"/>
        <v>807587.14198500663</v>
      </c>
      <c r="U957" s="26">
        <f t="shared" si="28"/>
        <v>807482.14198500663</v>
      </c>
    </row>
    <row r="958" spans="19:21" ht="14.65" thickBot="1" x14ac:dyDescent="0.5">
      <c r="S958" s="37">
        <f t="shared" si="29"/>
        <v>815663.01340485667</v>
      </c>
      <c r="U958" s="26">
        <f t="shared" si="28"/>
        <v>815558.01340485667</v>
      </c>
    </row>
    <row r="959" spans="19:21" ht="14.65" thickBot="1" x14ac:dyDescent="0.5">
      <c r="S959" s="37">
        <f t="shared" si="29"/>
        <v>823819.64353890519</v>
      </c>
      <c r="U959" s="26">
        <f t="shared" si="28"/>
        <v>823714.64353890519</v>
      </c>
    </row>
    <row r="960" spans="19:21" ht="14.65" thickBot="1" x14ac:dyDescent="0.5">
      <c r="S960" s="37">
        <f t="shared" si="29"/>
        <v>832057.8399742943</v>
      </c>
      <c r="U960" s="26">
        <f t="shared" si="28"/>
        <v>831952.8399742943</v>
      </c>
    </row>
    <row r="961" spans="19:21" ht="14.65" thickBot="1" x14ac:dyDescent="0.5">
      <c r="S961" s="37">
        <f t="shared" si="29"/>
        <v>840378.41837403725</v>
      </c>
      <c r="U961" s="26">
        <f t="shared" si="28"/>
        <v>840273.41837403725</v>
      </c>
    </row>
    <row r="962" spans="19:21" ht="14.65" thickBot="1" x14ac:dyDescent="0.5">
      <c r="S962" s="37">
        <f t="shared" si="29"/>
        <v>848782.20255777764</v>
      </c>
      <c r="U962" s="26">
        <f t="shared" si="28"/>
        <v>848677.20255777764</v>
      </c>
    </row>
    <row r="963" spans="19:21" ht="14.65" thickBot="1" x14ac:dyDescent="0.5">
      <c r="S963" s="37">
        <f t="shared" si="29"/>
        <v>857270.02458335541</v>
      </c>
      <c r="U963" s="26">
        <f t="shared" si="28"/>
        <v>857165.02458335541</v>
      </c>
    </row>
    <row r="964" spans="19:21" ht="14.65" thickBot="1" x14ac:dyDescent="0.5">
      <c r="S964" s="37">
        <f t="shared" si="29"/>
        <v>865842.72482918901</v>
      </c>
      <c r="U964" s="26">
        <f t="shared" si="28"/>
        <v>865737.72482918901</v>
      </c>
    </row>
    <row r="965" spans="19:21" ht="14.65" thickBot="1" x14ac:dyDescent="0.5">
      <c r="S965" s="37">
        <f t="shared" si="29"/>
        <v>874501.15207748092</v>
      </c>
      <c r="U965" s="26">
        <f t="shared" si="28"/>
        <v>874396.15207748092</v>
      </c>
    </row>
    <row r="966" spans="19:21" ht="14.65" thickBot="1" x14ac:dyDescent="0.5">
      <c r="S966" s="37">
        <f t="shared" si="29"/>
        <v>883246.16359825572</v>
      </c>
      <c r="U966" s="26">
        <f t="shared" si="28"/>
        <v>883141.16359825572</v>
      </c>
    </row>
    <row r="967" spans="19:21" ht="14.65" thickBot="1" x14ac:dyDescent="0.5">
      <c r="S967" s="37">
        <f t="shared" si="29"/>
        <v>892078.62523423834</v>
      </c>
      <c r="U967" s="26">
        <f t="shared" si="28"/>
        <v>891973.62523423834</v>
      </c>
    </row>
    <row r="968" spans="19:21" ht="14.65" thickBot="1" x14ac:dyDescent="0.5">
      <c r="S968" s="37">
        <f t="shared" si="29"/>
        <v>900999.41148658074</v>
      </c>
      <c r="U968" s="26">
        <f t="shared" si="28"/>
        <v>900894.41148658074</v>
      </c>
    </row>
    <row r="969" spans="19:21" ht="14.65" thickBot="1" x14ac:dyDescent="0.5">
      <c r="S969" s="37">
        <f t="shared" si="29"/>
        <v>910009.40560144652</v>
      </c>
      <c r="U969" s="26">
        <f t="shared" si="28"/>
        <v>909904.40560144652</v>
      </c>
    </row>
    <row r="970" spans="19:21" ht="14.65" thickBot="1" x14ac:dyDescent="0.5">
      <c r="S970" s="37">
        <f t="shared" si="29"/>
        <v>919109.49965746095</v>
      </c>
      <c r="U970" s="26">
        <f t="shared" si="28"/>
        <v>919004.49965746095</v>
      </c>
    </row>
    <row r="971" spans="19:21" ht="14.65" thickBot="1" x14ac:dyDescent="0.5">
      <c r="S971" s="37">
        <f t="shared" si="29"/>
        <v>928300.59465403552</v>
      </c>
      <c r="U971" s="26">
        <f t="shared" si="28"/>
        <v>928195.59465403552</v>
      </c>
    </row>
    <row r="972" spans="19:21" ht="14.65" thickBot="1" x14ac:dyDescent="0.5">
      <c r="S972" s="37">
        <f t="shared" si="29"/>
        <v>937583.60060057591</v>
      </c>
      <c r="U972" s="26">
        <f t="shared" si="28"/>
        <v>937478.60060057591</v>
      </c>
    </row>
    <row r="973" spans="19:21" ht="14.65" thickBot="1" x14ac:dyDescent="0.5">
      <c r="S973" s="37">
        <f t="shared" si="29"/>
        <v>946959.43660658167</v>
      </c>
      <c r="U973" s="26">
        <f t="shared" si="28"/>
        <v>946854.43660658167</v>
      </c>
    </row>
    <row r="974" spans="19:21" ht="14.65" thickBot="1" x14ac:dyDescent="0.5">
      <c r="S974" s="37">
        <f t="shared" si="29"/>
        <v>956429.03097264748</v>
      </c>
      <c r="U974" s="26">
        <f t="shared" si="28"/>
        <v>956324.03097264748</v>
      </c>
    </row>
    <row r="975" spans="19:21" ht="14.65" thickBot="1" x14ac:dyDescent="0.5">
      <c r="S975" s="37">
        <f t="shared" si="29"/>
        <v>965993.32128237397</v>
      </c>
      <c r="U975" s="26">
        <f t="shared" si="28"/>
        <v>965888.32128237397</v>
      </c>
    </row>
    <row r="976" spans="19:21" ht="14.65" thickBot="1" x14ac:dyDescent="0.5">
      <c r="S976" s="37">
        <f t="shared" si="29"/>
        <v>975653.25449519767</v>
      </c>
      <c r="U976" s="26">
        <f t="shared" si="28"/>
        <v>975548.25449519767</v>
      </c>
    </row>
    <row r="977" spans="19:21" ht="14.65" thickBot="1" x14ac:dyDescent="0.5">
      <c r="S977" s="37">
        <f t="shared" si="29"/>
        <v>985409.78704014968</v>
      </c>
      <c r="U977" s="26">
        <f t="shared" si="28"/>
        <v>985304.78704014968</v>
      </c>
    </row>
    <row r="978" spans="19:21" ht="14.65" thickBot="1" x14ac:dyDescent="0.5">
      <c r="S978" s="37">
        <f t="shared" si="29"/>
        <v>995263.88491055113</v>
      </c>
      <c r="U978" s="26">
        <f t="shared" ref="U978:U1032" si="30">IF(S978&lt;$D$8,$D$8-$D$7-$D$9,S978-$D$7-$D$9)</f>
        <v>995158.88491055113</v>
      </c>
    </row>
    <row r="979" spans="19:21" ht="14.65" thickBot="1" x14ac:dyDescent="0.5">
      <c r="S979" s="37">
        <f t="shared" ref="S979:S1032" si="31">S978*(1.01)</f>
        <v>1005216.5237596567</v>
      </c>
      <c r="U979" s="26">
        <f t="shared" si="30"/>
        <v>1005111.5237596567</v>
      </c>
    </row>
    <row r="980" spans="19:21" ht="14.65" thickBot="1" x14ac:dyDescent="0.5">
      <c r="S980" s="37">
        <f t="shared" si="31"/>
        <v>1015268.6889972533</v>
      </c>
      <c r="U980" s="26">
        <f t="shared" si="30"/>
        <v>1015163.6889972533</v>
      </c>
    </row>
    <row r="981" spans="19:21" ht="14.65" thickBot="1" x14ac:dyDescent="0.5">
      <c r="S981" s="37">
        <f t="shared" si="31"/>
        <v>1025421.3758872258</v>
      </c>
      <c r="U981" s="26">
        <f t="shared" si="30"/>
        <v>1025316.3758872258</v>
      </c>
    </row>
    <row r="982" spans="19:21" ht="14.65" thickBot="1" x14ac:dyDescent="0.5">
      <c r="S982" s="37">
        <f t="shared" si="31"/>
        <v>1035675.5896460981</v>
      </c>
      <c r="U982" s="26">
        <f t="shared" si="30"/>
        <v>1035570.5896460981</v>
      </c>
    </row>
    <row r="983" spans="19:21" ht="14.65" thickBot="1" x14ac:dyDescent="0.5">
      <c r="S983" s="37">
        <f t="shared" si="31"/>
        <v>1046032.3455425591</v>
      </c>
      <c r="U983" s="26">
        <f t="shared" si="30"/>
        <v>1045927.3455425591</v>
      </c>
    </row>
    <row r="984" spans="19:21" ht="14.65" thickBot="1" x14ac:dyDescent="0.5">
      <c r="S984" s="37">
        <f t="shared" si="31"/>
        <v>1056492.6689979846</v>
      </c>
      <c r="U984" s="26">
        <f t="shared" si="30"/>
        <v>1056387.6689979846</v>
      </c>
    </row>
    <row r="985" spans="19:21" ht="14.65" thickBot="1" x14ac:dyDescent="0.5">
      <c r="S985" s="37">
        <f t="shared" si="31"/>
        <v>1067057.5956879645</v>
      </c>
      <c r="U985" s="26">
        <f t="shared" si="30"/>
        <v>1066952.5956879645</v>
      </c>
    </row>
    <row r="986" spans="19:21" ht="14.65" thickBot="1" x14ac:dyDescent="0.5">
      <c r="S986" s="37">
        <f t="shared" si="31"/>
        <v>1077728.1716448441</v>
      </c>
      <c r="U986" s="26">
        <f t="shared" si="30"/>
        <v>1077623.1716448441</v>
      </c>
    </row>
    <row r="987" spans="19:21" ht="14.65" thickBot="1" x14ac:dyDescent="0.5">
      <c r="S987" s="37">
        <f t="shared" si="31"/>
        <v>1088505.4533612926</v>
      </c>
      <c r="U987" s="26">
        <f t="shared" si="30"/>
        <v>1088400.4533612926</v>
      </c>
    </row>
    <row r="988" spans="19:21" ht="14.65" thickBot="1" x14ac:dyDescent="0.5">
      <c r="S988" s="37">
        <f t="shared" si="31"/>
        <v>1099390.5078949055</v>
      </c>
      <c r="U988" s="26">
        <f t="shared" si="30"/>
        <v>1099285.5078949055</v>
      </c>
    </row>
    <row r="989" spans="19:21" ht="14.65" thickBot="1" x14ac:dyDescent="0.5">
      <c r="S989" s="37">
        <f t="shared" si="31"/>
        <v>1110384.4129738547</v>
      </c>
      <c r="U989" s="26">
        <f t="shared" si="30"/>
        <v>1110279.4129738547</v>
      </c>
    </row>
    <row r="990" spans="19:21" ht="14.65" thickBot="1" x14ac:dyDescent="0.5">
      <c r="S990" s="37">
        <f t="shared" si="31"/>
        <v>1121488.2571035933</v>
      </c>
      <c r="U990" s="26">
        <f t="shared" si="30"/>
        <v>1121383.2571035933</v>
      </c>
    </row>
    <row r="991" spans="19:21" ht="14.65" thickBot="1" x14ac:dyDescent="0.5">
      <c r="S991" s="37">
        <f t="shared" si="31"/>
        <v>1132703.1396746293</v>
      </c>
      <c r="U991" s="26">
        <f t="shared" si="30"/>
        <v>1132598.1396746293</v>
      </c>
    </row>
    <row r="992" spans="19:21" ht="14.65" thickBot="1" x14ac:dyDescent="0.5">
      <c r="S992" s="37">
        <f t="shared" si="31"/>
        <v>1144030.1710713757</v>
      </c>
      <c r="U992" s="26">
        <f t="shared" si="30"/>
        <v>1143925.1710713757</v>
      </c>
    </row>
    <row r="993" spans="19:21" ht="14.65" thickBot="1" x14ac:dyDescent="0.5">
      <c r="S993" s="37">
        <f t="shared" si="31"/>
        <v>1155470.4727820894</v>
      </c>
      <c r="U993" s="26">
        <f t="shared" si="30"/>
        <v>1155365.4727820894</v>
      </c>
    </row>
    <row r="994" spans="19:21" ht="14.65" thickBot="1" x14ac:dyDescent="0.5">
      <c r="S994" s="37">
        <f t="shared" si="31"/>
        <v>1167025.1775099102</v>
      </c>
      <c r="U994" s="26">
        <f t="shared" si="30"/>
        <v>1166920.1775099102</v>
      </c>
    </row>
    <row r="995" spans="19:21" ht="14.65" thickBot="1" x14ac:dyDescent="0.5">
      <c r="S995" s="37">
        <f t="shared" si="31"/>
        <v>1178695.4292850094</v>
      </c>
      <c r="U995" s="26">
        <f t="shared" si="30"/>
        <v>1178590.4292850094</v>
      </c>
    </row>
    <row r="996" spans="19:21" ht="14.65" thickBot="1" x14ac:dyDescent="0.5">
      <c r="S996" s="37">
        <f t="shared" si="31"/>
        <v>1190482.3835778595</v>
      </c>
      <c r="U996" s="26">
        <f t="shared" si="30"/>
        <v>1190377.3835778595</v>
      </c>
    </row>
    <row r="997" spans="19:21" ht="14.65" thickBot="1" x14ac:dyDescent="0.5">
      <c r="S997" s="37">
        <f t="shared" si="31"/>
        <v>1202387.207413638</v>
      </c>
      <c r="U997" s="26">
        <f t="shared" si="30"/>
        <v>1202282.207413638</v>
      </c>
    </row>
    <row r="998" spans="19:21" ht="14.65" thickBot="1" x14ac:dyDescent="0.5">
      <c r="S998" s="37">
        <f t="shared" si="31"/>
        <v>1214411.0794877743</v>
      </c>
      <c r="U998" s="26">
        <f t="shared" si="30"/>
        <v>1214306.0794877743</v>
      </c>
    </row>
    <row r="999" spans="19:21" ht="14.65" thickBot="1" x14ac:dyDescent="0.5">
      <c r="S999" s="37">
        <f t="shared" si="31"/>
        <v>1226555.1902826522</v>
      </c>
      <c r="U999" s="26">
        <f t="shared" si="30"/>
        <v>1226450.1902826522</v>
      </c>
    </row>
    <row r="1000" spans="19:21" ht="14.65" thickBot="1" x14ac:dyDescent="0.5">
      <c r="S1000" s="37">
        <f t="shared" si="31"/>
        <v>1238820.7421854788</v>
      </c>
      <c r="U1000" s="26">
        <f t="shared" si="30"/>
        <v>1238715.7421854788</v>
      </c>
    </row>
    <row r="1001" spans="19:21" ht="14.65" thickBot="1" x14ac:dyDescent="0.5">
      <c r="S1001" s="37">
        <f t="shared" si="31"/>
        <v>1251208.9496073336</v>
      </c>
      <c r="U1001" s="26">
        <f t="shared" si="30"/>
        <v>1251103.9496073336</v>
      </c>
    </row>
    <row r="1002" spans="19:21" ht="14.65" thickBot="1" x14ac:dyDescent="0.5">
      <c r="S1002" s="37">
        <f t="shared" si="31"/>
        <v>1263721.0391034069</v>
      </c>
      <c r="U1002" s="26">
        <f t="shared" si="30"/>
        <v>1263616.0391034069</v>
      </c>
    </row>
    <row r="1003" spans="19:21" ht="14.65" thickBot="1" x14ac:dyDescent="0.5">
      <c r="S1003" s="37">
        <f t="shared" si="31"/>
        <v>1276358.2494944411</v>
      </c>
      <c r="U1003" s="26">
        <f t="shared" si="30"/>
        <v>1276253.2494944411</v>
      </c>
    </row>
    <row r="1004" spans="19:21" ht="14.65" thickBot="1" x14ac:dyDescent="0.5">
      <c r="S1004" s="37">
        <f t="shared" si="31"/>
        <v>1289121.8319893854</v>
      </c>
      <c r="U1004" s="26">
        <f t="shared" si="30"/>
        <v>1289016.8319893854</v>
      </c>
    </row>
    <row r="1005" spans="19:21" ht="14.65" thickBot="1" x14ac:dyDescent="0.5">
      <c r="S1005" s="37">
        <f t="shared" si="31"/>
        <v>1302013.0503092792</v>
      </c>
      <c r="U1005" s="26">
        <f t="shared" si="30"/>
        <v>1301908.0503092792</v>
      </c>
    </row>
    <row r="1006" spans="19:21" ht="14.65" thickBot="1" x14ac:dyDescent="0.5">
      <c r="S1006" s="37">
        <f t="shared" si="31"/>
        <v>1315033.1808123721</v>
      </c>
      <c r="U1006" s="26">
        <f t="shared" si="30"/>
        <v>1314928.1808123721</v>
      </c>
    </row>
    <row r="1007" spans="19:21" ht="14.65" thickBot="1" x14ac:dyDescent="0.5">
      <c r="S1007" s="37">
        <f t="shared" si="31"/>
        <v>1328183.5126204959</v>
      </c>
      <c r="U1007" s="26">
        <f t="shared" si="30"/>
        <v>1328078.5126204959</v>
      </c>
    </row>
    <row r="1008" spans="19:21" ht="14.65" thickBot="1" x14ac:dyDescent="0.5">
      <c r="S1008" s="37">
        <f t="shared" si="31"/>
        <v>1341465.3477467007</v>
      </c>
      <c r="U1008" s="26">
        <f t="shared" si="30"/>
        <v>1341360.3477467007</v>
      </c>
    </row>
    <row r="1009" spans="19:21" ht="14.65" thickBot="1" x14ac:dyDescent="0.5">
      <c r="S1009" s="37">
        <f t="shared" si="31"/>
        <v>1354880.0012241679</v>
      </c>
      <c r="U1009" s="26">
        <f t="shared" si="30"/>
        <v>1354775.0012241679</v>
      </c>
    </row>
    <row r="1010" spans="19:21" ht="14.65" thickBot="1" x14ac:dyDescent="0.5">
      <c r="S1010" s="37">
        <f t="shared" si="31"/>
        <v>1368428.8012364095</v>
      </c>
      <c r="U1010" s="26">
        <f t="shared" si="30"/>
        <v>1368323.8012364095</v>
      </c>
    </row>
    <row r="1011" spans="19:21" ht="14.65" thickBot="1" x14ac:dyDescent="0.5">
      <c r="S1011" s="37">
        <f t="shared" si="31"/>
        <v>1382113.0892487736</v>
      </c>
      <c r="U1011" s="26">
        <f t="shared" si="30"/>
        <v>1382008.0892487736</v>
      </c>
    </row>
    <row r="1012" spans="19:21" ht="14.65" thickBot="1" x14ac:dyDescent="0.5">
      <c r="S1012" s="37">
        <f t="shared" si="31"/>
        <v>1395934.2201412614</v>
      </c>
      <c r="U1012" s="26">
        <f t="shared" si="30"/>
        <v>1395829.2201412614</v>
      </c>
    </row>
    <row r="1013" spans="19:21" ht="14.65" thickBot="1" x14ac:dyDescent="0.5">
      <c r="S1013" s="37">
        <f t="shared" si="31"/>
        <v>1409893.562342674</v>
      </c>
      <c r="U1013" s="26">
        <f t="shared" si="30"/>
        <v>1409788.562342674</v>
      </c>
    </row>
    <row r="1014" spans="19:21" ht="14.65" thickBot="1" x14ac:dyDescent="0.5">
      <c r="S1014" s="37">
        <f t="shared" si="31"/>
        <v>1423992.4979661007</v>
      </c>
      <c r="U1014" s="26">
        <f t="shared" si="30"/>
        <v>1423887.4979661007</v>
      </c>
    </row>
    <row r="1015" spans="19:21" ht="14.65" thickBot="1" x14ac:dyDescent="0.5">
      <c r="S1015" s="37">
        <f t="shared" si="31"/>
        <v>1438232.4229457618</v>
      </c>
      <c r="U1015" s="26">
        <f t="shared" si="30"/>
        <v>1438127.4229457618</v>
      </c>
    </row>
    <row r="1016" spans="19:21" ht="14.65" thickBot="1" x14ac:dyDescent="0.5">
      <c r="S1016" s="37">
        <f t="shared" si="31"/>
        <v>1452614.7471752195</v>
      </c>
      <c r="U1016" s="26">
        <f t="shared" si="30"/>
        <v>1452509.7471752195</v>
      </c>
    </row>
    <row r="1017" spans="19:21" ht="14.65" thickBot="1" x14ac:dyDescent="0.5">
      <c r="S1017" s="37">
        <f t="shared" si="31"/>
        <v>1467140.8946469717</v>
      </c>
      <c r="U1017" s="26">
        <f t="shared" si="30"/>
        <v>1467035.8946469717</v>
      </c>
    </row>
    <row r="1018" spans="19:21" ht="14.65" thickBot="1" x14ac:dyDescent="0.5">
      <c r="S1018" s="37">
        <f t="shared" si="31"/>
        <v>1481812.3035934414</v>
      </c>
      <c r="U1018" s="26">
        <f t="shared" si="30"/>
        <v>1481707.3035934414</v>
      </c>
    </row>
    <row r="1019" spans="19:21" ht="14.65" thickBot="1" x14ac:dyDescent="0.5">
      <c r="S1019" s="37">
        <f t="shared" si="31"/>
        <v>1496630.4266293759</v>
      </c>
      <c r="U1019" s="26">
        <f t="shared" si="30"/>
        <v>1496525.4266293759</v>
      </c>
    </row>
    <row r="1020" spans="19:21" ht="14.65" thickBot="1" x14ac:dyDescent="0.5">
      <c r="S1020" s="37">
        <f t="shared" si="31"/>
        <v>1511596.7308956697</v>
      </c>
      <c r="U1020" s="26">
        <f t="shared" si="30"/>
        <v>1511491.7308956697</v>
      </c>
    </row>
    <row r="1021" spans="19:21" ht="14.65" thickBot="1" x14ac:dyDescent="0.5">
      <c r="S1021" s="37">
        <f t="shared" si="31"/>
        <v>1526712.6982046263</v>
      </c>
      <c r="U1021" s="26">
        <f t="shared" si="30"/>
        <v>1526607.6982046263</v>
      </c>
    </row>
    <row r="1022" spans="19:21" ht="14.65" thickBot="1" x14ac:dyDescent="0.5">
      <c r="S1022" s="37">
        <f t="shared" si="31"/>
        <v>1541979.8251866726</v>
      </c>
      <c r="U1022" s="26">
        <f t="shared" si="30"/>
        <v>1541874.8251866726</v>
      </c>
    </row>
    <row r="1023" spans="19:21" ht="14.65" thickBot="1" x14ac:dyDescent="0.5">
      <c r="S1023" s="37">
        <f t="shared" si="31"/>
        <v>1557399.6234385394</v>
      </c>
      <c r="U1023" s="26">
        <f t="shared" si="30"/>
        <v>1557294.6234385394</v>
      </c>
    </row>
    <row r="1024" spans="19:21" ht="14.65" thickBot="1" x14ac:dyDescent="0.5">
      <c r="S1024" s="37">
        <f t="shared" si="31"/>
        <v>1572973.6196729247</v>
      </c>
      <c r="U1024" s="26">
        <f t="shared" si="30"/>
        <v>1572868.6196729247</v>
      </c>
    </row>
    <row r="1025" spans="19:21" ht="14.65" thickBot="1" x14ac:dyDescent="0.5">
      <c r="S1025" s="37">
        <f t="shared" si="31"/>
        <v>1588703.3558696541</v>
      </c>
      <c r="U1025" s="26">
        <f t="shared" si="30"/>
        <v>1588598.3558696541</v>
      </c>
    </row>
    <row r="1026" spans="19:21" ht="14.65" thickBot="1" x14ac:dyDescent="0.5">
      <c r="S1026" s="37">
        <f t="shared" si="31"/>
        <v>1604590.3894283506</v>
      </c>
      <c r="U1026" s="26">
        <f t="shared" si="30"/>
        <v>1604485.3894283506</v>
      </c>
    </row>
    <row r="1027" spans="19:21" ht="14.65" thickBot="1" x14ac:dyDescent="0.5">
      <c r="S1027" s="37">
        <f t="shared" si="31"/>
        <v>1620636.2933226342</v>
      </c>
      <c r="U1027" s="26">
        <f t="shared" si="30"/>
        <v>1620531.2933226342</v>
      </c>
    </row>
    <row r="1028" spans="19:21" ht="14.65" thickBot="1" x14ac:dyDescent="0.5">
      <c r="S1028" s="37">
        <f t="shared" si="31"/>
        <v>1636842.6562558606</v>
      </c>
      <c r="U1028" s="26">
        <f t="shared" si="30"/>
        <v>1636737.6562558606</v>
      </c>
    </row>
    <row r="1029" spans="19:21" ht="14.65" thickBot="1" x14ac:dyDescent="0.5">
      <c r="S1029" s="37">
        <f t="shared" si="31"/>
        <v>1653211.0828184192</v>
      </c>
      <c r="U1029" s="26">
        <f t="shared" si="30"/>
        <v>1653106.0828184192</v>
      </c>
    </row>
    <row r="1030" spans="19:21" ht="14.65" thickBot="1" x14ac:dyDescent="0.5">
      <c r="S1030" s="37">
        <f t="shared" si="31"/>
        <v>1669743.1936466035</v>
      </c>
      <c r="U1030" s="26">
        <f t="shared" si="30"/>
        <v>1669638.1936466035</v>
      </c>
    </row>
    <row r="1031" spans="19:21" ht="14.65" thickBot="1" x14ac:dyDescent="0.5">
      <c r="S1031" s="37">
        <f t="shared" si="31"/>
        <v>1686440.6255830696</v>
      </c>
      <c r="U1031" s="26">
        <f t="shared" si="30"/>
        <v>1686335.6255830696</v>
      </c>
    </row>
    <row r="1032" spans="19:21" ht="14.65" thickBot="1" x14ac:dyDescent="0.5">
      <c r="S1032" s="37">
        <f t="shared" si="31"/>
        <v>1703305.0318389004</v>
      </c>
      <c r="U1032" s="26">
        <f t="shared" si="30"/>
        <v>1703200.0318389004</v>
      </c>
    </row>
  </sheetData>
  <conditionalFormatting sqref="D12">
    <cfRule type="cellIs" dxfId="7" priority="3" operator="greaterThan">
      <formula>0</formula>
    </cfRule>
    <cfRule type="cellIs" dxfId="6" priority="4" operator="lessThan">
      <formula>0</formula>
    </cfRule>
  </conditionalFormatting>
  <conditionalFormatting sqref="U17:U1032">
    <cfRule type="cellIs" dxfId="5" priority="1" operator="greaterThan">
      <formula>0</formula>
    </cfRule>
    <cfRule type="cellIs" dxfId="4" priority="2" operator="lessThan">
      <formula>0</formula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24F75-F9E8-4F73-86B6-E5BD2F301D45}">
  <dimension ref="A1:U1032"/>
  <sheetViews>
    <sheetView tabSelected="1" zoomScaleNormal="100" workbookViewId="0">
      <selection activeCell="S18" sqref="S18:S1032"/>
    </sheetView>
  </sheetViews>
  <sheetFormatPr defaultColWidth="9.1328125" defaultRowHeight="14.25" x14ac:dyDescent="0.45"/>
  <cols>
    <col min="1" max="1" width="12.1328125" style="1" customWidth="1"/>
    <col min="2" max="2" width="1.59765625" style="1" customWidth="1"/>
    <col min="3" max="7" width="33.3984375" style="1" customWidth="1"/>
    <col min="8" max="8" width="42.3984375" style="1" customWidth="1"/>
    <col min="9" max="10" width="9.1328125" style="1"/>
    <col min="11" max="11" width="13.3984375" style="1" customWidth="1"/>
    <col min="12" max="12" width="20" style="1" customWidth="1"/>
    <col min="13" max="14" width="11.86328125" style="1" customWidth="1"/>
    <col min="15" max="18" width="9.1328125" style="1"/>
    <col min="19" max="19" width="12.73046875" style="1" customWidth="1"/>
    <col min="20" max="16384" width="9.1328125" style="1"/>
  </cols>
  <sheetData>
    <row r="1" spans="1:19" ht="18" x14ac:dyDescent="0.55000000000000004">
      <c r="A1" s="28" t="s">
        <v>98</v>
      </c>
    </row>
    <row r="2" spans="1:19" x14ac:dyDescent="0.45">
      <c r="C2" s="20"/>
      <c r="E2" s="20" t="s">
        <v>102</v>
      </c>
    </row>
    <row r="3" spans="1:19" ht="14.65" thickBot="1" x14ac:dyDescent="0.5">
      <c r="E3" s="20" t="s">
        <v>103</v>
      </c>
    </row>
    <row r="4" spans="1:19" ht="30.75" customHeight="1" x14ac:dyDescent="0.45">
      <c r="C4" s="6" t="s">
        <v>30</v>
      </c>
      <c r="D4" s="7" t="s">
        <v>15</v>
      </c>
      <c r="E4" s="7" t="s">
        <v>31</v>
      </c>
      <c r="F4" s="7" t="s">
        <v>35</v>
      </c>
      <c r="G4" s="7" t="s">
        <v>34</v>
      </c>
      <c r="H4" s="8" t="s">
        <v>78</v>
      </c>
      <c r="J4" s="4"/>
    </row>
    <row r="5" spans="1:19" ht="30.75" customHeight="1" thickBot="1" x14ac:dyDescent="0.5">
      <c r="C5" s="27" t="s">
        <v>41</v>
      </c>
      <c r="D5" s="9" t="s">
        <v>32</v>
      </c>
      <c r="E5" s="9" t="s">
        <v>100</v>
      </c>
      <c r="F5" s="9" t="s">
        <v>105</v>
      </c>
      <c r="G5" s="9" t="s">
        <v>99</v>
      </c>
      <c r="H5" s="10" t="s">
        <v>99</v>
      </c>
      <c r="J5" s="4"/>
    </row>
    <row r="6" spans="1:19" ht="30.75" customHeight="1" thickBot="1" x14ac:dyDescent="0.5">
      <c r="E6" s="4">
        <f>D7-D8-D9</f>
        <v>-25</v>
      </c>
    </row>
    <row r="7" spans="1:19" ht="18" customHeight="1" x14ac:dyDescent="0.45">
      <c r="C7" s="6" t="s">
        <v>101</v>
      </c>
      <c r="D7" s="31">
        <v>100</v>
      </c>
      <c r="E7" s="4"/>
    </row>
    <row r="8" spans="1:19" x14ac:dyDescent="0.45">
      <c r="C8" s="29" t="s">
        <v>79</v>
      </c>
      <c r="D8" s="22">
        <v>120</v>
      </c>
    </row>
    <row r="9" spans="1:19" x14ac:dyDescent="0.45">
      <c r="C9" s="29" t="s">
        <v>66</v>
      </c>
      <c r="D9" s="22">
        <v>5</v>
      </c>
    </row>
    <row r="10" spans="1:19" x14ac:dyDescent="0.45">
      <c r="C10" s="29" t="s">
        <v>28</v>
      </c>
      <c r="D10" s="22">
        <v>150</v>
      </c>
    </row>
    <row r="11" spans="1:19" x14ac:dyDescent="0.45">
      <c r="C11" s="29" t="s">
        <v>27</v>
      </c>
      <c r="D11" s="24">
        <f>D7-D9</f>
        <v>95</v>
      </c>
    </row>
    <row r="12" spans="1:19" ht="14.65" thickBot="1" x14ac:dyDescent="0.5">
      <c r="C12" s="30" t="s">
        <v>29</v>
      </c>
      <c r="D12" s="26">
        <f>IF(D10&lt;D8,D7-D10-D9,D7-D8-D9)</f>
        <v>-25</v>
      </c>
    </row>
    <row r="16" spans="1:19" x14ac:dyDescent="0.45">
      <c r="S16" s="1" t="s">
        <v>25</v>
      </c>
    </row>
    <row r="17" spans="19:21" ht="14.65" thickBot="1" x14ac:dyDescent="0.5">
      <c r="S17" s="37">
        <f>ROUND((D7-(0.3*D7)),0)</f>
        <v>70</v>
      </c>
      <c r="U17" s="26">
        <f>IF(S17&lt;$D$8,$D$7-S17-$D$9,$D$7-$D$8-$D$9)</f>
        <v>25</v>
      </c>
    </row>
    <row r="18" spans="19:21" ht="14.65" thickBot="1" x14ac:dyDescent="0.5">
      <c r="S18" s="37">
        <f>S17*(1.01)</f>
        <v>70.7</v>
      </c>
      <c r="U18" s="26">
        <f t="shared" ref="U18:U81" si="0">IF(S18&lt;$D$8,$D$7-S18-$D$9,$D$7-$D$8-$D$9)</f>
        <v>24.299999999999997</v>
      </c>
    </row>
    <row r="19" spans="19:21" ht="14.65" thickBot="1" x14ac:dyDescent="0.5">
      <c r="S19" s="37">
        <f t="shared" ref="S19:S82" si="1">S18*(1.01)</f>
        <v>71.406999999999996</v>
      </c>
      <c r="U19" s="26">
        <f t="shared" si="0"/>
        <v>23.593000000000004</v>
      </c>
    </row>
    <row r="20" spans="19:21" ht="14.65" thickBot="1" x14ac:dyDescent="0.5">
      <c r="S20" s="37">
        <f t="shared" si="1"/>
        <v>72.121070000000003</v>
      </c>
      <c r="U20" s="26">
        <f t="shared" si="0"/>
        <v>22.878929999999997</v>
      </c>
    </row>
    <row r="21" spans="19:21" ht="14.65" thickBot="1" x14ac:dyDescent="0.5">
      <c r="S21" s="37">
        <f t="shared" si="1"/>
        <v>72.842280700000003</v>
      </c>
      <c r="U21" s="26">
        <f t="shared" si="0"/>
        <v>22.157719299999997</v>
      </c>
    </row>
    <row r="22" spans="19:21" ht="14.65" thickBot="1" x14ac:dyDescent="0.5">
      <c r="S22" s="37">
        <f t="shared" si="1"/>
        <v>73.570703507000005</v>
      </c>
      <c r="U22" s="26">
        <f t="shared" si="0"/>
        <v>21.429296492999995</v>
      </c>
    </row>
    <row r="23" spans="19:21" ht="14.65" thickBot="1" x14ac:dyDescent="0.5">
      <c r="S23" s="37">
        <f t="shared" si="1"/>
        <v>74.306410542070012</v>
      </c>
      <c r="U23" s="26">
        <f t="shared" si="0"/>
        <v>20.693589457929988</v>
      </c>
    </row>
    <row r="24" spans="19:21" ht="14.65" thickBot="1" x14ac:dyDescent="0.5">
      <c r="S24" s="37">
        <f t="shared" si="1"/>
        <v>75.049474647490712</v>
      </c>
      <c r="U24" s="26">
        <f t="shared" si="0"/>
        <v>19.950525352509288</v>
      </c>
    </row>
    <row r="25" spans="19:21" ht="14.65" thickBot="1" x14ac:dyDescent="0.5">
      <c r="S25" s="37">
        <f t="shared" si="1"/>
        <v>75.799969393965625</v>
      </c>
      <c r="U25" s="26">
        <f t="shared" si="0"/>
        <v>19.200030606034375</v>
      </c>
    </row>
    <row r="26" spans="19:21" ht="14.65" thickBot="1" x14ac:dyDescent="0.5">
      <c r="S26" s="37">
        <f t="shared" si="1"/>
        <v>76.557969087905278</v>
      </c>
      <c r="U26" s="26">
        <f t="shared" si="0"/>
        <v>18.442030912094722</v>
      </c>
    </row>
    <row r="27" spans="19:21" ht="14.65" thickBot="1" x14ac:dyDescent="0.5">
      <c r="S27" s="37">
        <f t="shared" si="1"/>
        <v>77.323548778784328</v>
      </c>
      <c r="U27" s="26">
        <f t="shared" si="0"/>
        <v>17.676451221215672</v>
      </c>
    </row>
    <row r="28" spans="19:21" ht="14.65" thickBot="1" x14ac:dyDescent="0.5">
      <c r="S28" s="37">
        <f t="shared" si="1"/>
        <v>78.096784266572172</v>
      </c>
      <c r="U28" s="26">
        <f t="shared" si="0"/>
        <v>16.903215733427828</v>
      </c>
    </row>
    <row r="29" spans="19:21" ht="14.65" thickBot="1" x14ac:dyDescent="0.5">
      <c r="S29" s="37">
        <f t="shared" si="1"/>
        <v>78.877752109237889</v>
      </c>
      <c r="U29" s="26">
        <f t="shared" si="0"/>
        <v>16.122247890762111</v>
      </c>
    </row>
    <row r="30" spans="19:21" ht="14.65" thickBot="1" x14ac:dyDescent="0.5">
      <c r="S30" s="37">
        <f t="shared" si="1"/>
        <v>79.666529630330274</v>
      </c>
      <c r="U30" s="26">
        <f t="shared" si="0"/>
        <v>15.333470369669726</v>
      </c>
    </row>
    <row r="31" spans="19:21" ht="14.65" thickBot="1" x14ac:dyDescent="0.5">
      <c r="S31" s="37">
        <f t="shared" si="1"/>
        <v>80.463194926633577</v>
      </c>
      <c r="U31" s="26">
        <f t="shared" si="0"/>
        <v>14.536805073366423</v>
      </c>
    </row>
    <row r="32" spans="19:21" ht="14.65" thickBot="1" x14ac:dyDescent="0.5">
      <c r="S32" s="37">
        <f t="shared" si="1"/>
        <v>81.267826875899914</v>
      </c>
      <c r="U32" s="26">
        <f t="shared" si="0"/>
        <v>13.732173124100086</v>
      </c>
    </row>
    <row r="33" spans="19:21" ht="14.65" thickBot="1" x14ac:dyDescent="0.5">
      <c r="S33" s="37">
        <f t="shared" si="1"/>
        <v>82.080505144658915</v>
      </c>
      <c r="U33" s="26">
        <f t="shared" si="0"/>
        <v>12.919494855341085</v>
      </c>
    </row>
    <row r="34" spans="19:21" ht="14.65" thickBot="1" x14ac:dyDescent="0.5">
      <c r="S34" s="37">
        <f t="shared" si="1"/>
        <v>82.901310196105499</v>
      </c>
      <c r="U34" s="26">
        <f t="shared" si="0"/>
        <v>12.098689803894501</v>
      </c>
    </row>
    <row r="35" spans="19:21" ht="14.65" thickBot="1" x14ac:dyDescent="0.5">
      <c r="S35" s="37">
        <f t="shared" si="1"/>
        <v>83.730323298066551</v>
      </c>
      <c r="U35" s="26">
        <f t="shared" si="0"/>
        <v>11.269676701933449</v>
      </c>
    </row>
    <row r="36" spans="19:21" ht="14.65" thickBot="1" x14ac:dyDescent="0.5">
      <c r="S36" s="37">
        <f t="shared" si="1"/>
        <v>84.567626531047225</v>
      </c>
      <c r="U36" s="26">
        <f t="shared" si="0"/>
        <v>10.432373468952775</v>
      </c>
    </row>
    <row r="37" spans="19:21" ht="14.65" thickBot="1" x14ac:dyDescent="0.5">
      <c r="S37" s="37">
        <f t="shared" si="1"/>
        <v>85.413302796357698</v>
      </c>
      <c r="U37" s="26">
        <f t="shared" si="0"/>
        <v>9.5866972036423022</v>
      </c>
    </row>
    <row r="38" spans="19:21" ht="14.65" thickBot="1" x14ac:dyDescent="0.5">
      <c r="S38" s="37">
        <f t="shared" si="1"/>
        <v>86.267435824321282</v>
      </c>
      <c r="U38" s="26">
        <f t="shared" si="0"/>
        <v>8.7325641756787178</v>
      </c>
    </row>
    <row r="39" spans="19:21" ht="14.65" thickBot="1" x14ac:dyDescent="0.5">
      <c r="S39" s="37">
        <f t="shared" si="1"/>
        <v>87.130110182564493</v>
      </c>
      <c r="U39" s="26">
        <f t="shared" si="0"/>
        <v>7.8698898174355065</v>
      </c>
    </row>
    <row r="40" spans="19:21" ht="14.65" thickBot="1" x14ac:dyDescent="0.5">
      <c r="S40" s="37">
        <f t="shared" si="1"/>
        <v>88.001411284390144</v>
      </c>
      <c r="U40" s="26">
        <f t="shared" si="0"/>
        <v>6.9985887156098556</v>
      </c>
    </row>
    <row r="41" spans="19:21" ht="14.65" thickBot="1" x14ac:dyDescent="0.5">
      <c r="S41" s="37">
        <f t="shared" si="1"/>
        <v>88.88142539723404</v>
      </c>
      <c r="U41" s="26">
        <f t="shared" si="0"/>
        <v>6.1185746027659604</v>
      </c>
    </row>
    <row r="42" spans="19:21" ht="14.65" thickBot="1" x14ac:dyDescent="0.5">
      <c r="S42" s="37">
        <f t="shared" si="1"/>
        <v>89.770239651206381</v>
      </c>
      <c r="U42" s="26">
        <f t="shared" si="0"/>
        <v>5.2297603487936186</v>
      </c>
    </row>
    <row r="43" spans="19:21" ht="14.65" thickBot="1" x14ac:dyDescent="0.5">
      <c r="S43" s="37">
        <f t="shared" si="1"/>
        <v>90.667942047718441</v>
      </c>
      <c r="U43" s="26">
        <f t="shared" si="0"/>
        <v>4.3320579522815592</v>
      </c>
    </row>
    <row r="44" spans="19:21" ht="14.65" thickBot="1" x14ac:dyDescent="0.5">
      <c r="S44" s="37">
        <f t="shared" si="1"/>
        <v>91.57462146819563</v>
      </c>
      <c r="U44" s="26">
        <f t="shared" si="0"/>
        <v>3.4253785318043697</v>
      </c>
    </row>
    <row r="45" spans="19:21" ht="14.65" thickBot="1" x14ac:dyDescent="0.5">
      <c r="S45" s="37">
        <f t="shared" si="1"/>
        <v>92.49036768287759</v>
      </c>
      <c r="U45" s="26">
        <f t="shared" si="0"/>
        <v>2.50963231712241</v>
      </c>
    </row>
    <row r="46" spans="19:21" ht="14.65" thickBot="1" x14ac:dyDescent="0.5">
      <c r="S46" s="37">
        <f t="shared" si="1"/>
        <v>93.415271359706367</v>
      </c>
      <c r="U46" s="26">
        <f t="shared" si="0"/>
        <v>1.5847286402936334</v>
      </c>
    </row>
    <row r="47" spans="19:21" ht="14.65" thickBot="1" x14ac:dyDescent="0.5">
      <c r="S47" s="37">
        <f t="shared" si="1"/>
        <v>94.349424073303425</v>
      </c>
      <c r="U47" s="26">
        <f t="shared" si="0"/>
        <v>0.65057592669657538</v>
      </c>
    </row>
    <row r="48" spans="19:21" ht="14.65" thickBot="1" x14ac:dyDescent="0.5">
      <c r="S48" s="37">
        <f t="shared" si="1"/>
        <v>95.292918314036456</v>
      </c>
      <c r="U48" s="26">
        <f t="shared" si="0"/>
        <v>-0.29291831403645574</v>
      </c>
    </row>
    <row r="49" spans="19:21" ht="14.65" thickBot="1" x14ac:dyDescent="0.5">
      <c r="S49" s="37">
        <f t="shared" si="1"/>
        <v>96.245847497176825</v>
      </c>
      <c r="U49" s="26">
        <f t="shared" si="0"/>
        <v>-1.2458474971768254</v>
      </c>
    </row>
    <row r="50" spans="19:21" ht="14.65" thickBot="1" x14ac:dyDescent="0.5">
      <c r="S50" s="37">
        <f t="shared" si="1"/>
        <v>97.208305972148594</v>
      </c>
      <c r="U50" s="26">
        <f t="shared" si="0"/>
        <v>-2.2083059721485938</v>
      </c>
    </row>
    <row r="51" spans="19:21" ht="14.65" thickBot="1" x14ac:dyDescent="0.5">
      <c r="S51" s="37">
        <f t="shared" si="1"/>
        <v>98.180389031870078</v>
      </c>
      <c r="U51" s="26">
        <f t="shared" si="0"/>
        <v>-3.180389031870078</v>
      </c>
    </row>
    <row r="52" spans="19:21" ht="14.65" thickBot="1" x14ac:dyDescent="0.5">
      <c r="S52" s="37">
        <f t="shared" si="1"/>
        <v>99.16219292218878</v>
      </c>
      <c r="U52" s="26">
        <f t="shared" si="0"/>
        <v>-4.1621929221887797</v>
      </c>
    </row>
    <row r="53" spans="19:21" ht="14.65" thickBot="1" x14ac:dyDescent="0.5">
      <c r="S53" s="37">
        <f t="shared" si="1"/>
        <v>100.15381485141067</v>
      </c>
      <c r="U53" s="26">
        <f t="shared" si="0"/>
        <v>-5.1538148514106723</v>
      </c>
    </row>
    <row r="54" spans="19:21" ht="14.65" thickBot="1" x14ac:dyDescent="0.5">
      <c r="S54" s="37">
        <f t="shared" si="1"/>
        <v>101.15535299992477</v>
      </c>
      <c r="U54" s="26">
        <f t="shared" si="0"/>
        <v>-6.1553529999247729</v>
      </c>
    </row>
    <row r="55" spans="19:21" ht="14.65" thickBot="1" x14ac:dyDescent="0.5">
      <c r="S55" s="37">
        <f t="shared" si="1"/>
        <v>102.16690652992402</v>
      </c>
      <c r="U55" s="26">
        <f t="shared" si="0"/>
        <v>-7.1669065299240202</v>
      </c>
    </row>
    <row r="56" spans="19:21" ht="14.65" thickBot="1" x14ac:dyDescent="0.5">
      <c r="S56" s="37">
        <f t="shared" si="1"/>
        <v>103.18857559522326</v>
      </c>
      <c r="U56" s="26">
        <f t="shared" si="0"/>
        <v>-8.1885755952232557</v>
      </c>
    </row>
    <row r="57" spans="19:21" ht="14.65" thickBot="1" x14ac:dyDescent="0.5">
      <c r="S57" s="37">
        <f t="shared" si="1"/>
        <v>104.22046135117549</v>
      </c>
      <c r="U57" s="26">
        <f t="shared" si="0"/>
        <v>-9.2204613511754872</v>
      </c>
    </row>
    <row r="58" spans="19:21" ht="14.65" thickBot="1" x14ac:dyDescent="0.5">
      <c r="S58" s="37">
        <f t="shared" si="1"/>
        <v>105.26266596468724</v>
      </c>
      <c r="U58" s="26">
        <f t="shared" si="0"/>
        <v>-10.262665964687244</v>
      </c>
    </row>
    <row r="59" spans="19:21" ht="14.65" thickBot="1" x14ac:dyDescent="0.5">
      <c r="S59" s="37">
        <f t="shared" si="1"/>
        <v>106.31529262433412</v>
      </c>
      <c r="U59" s="26">
        <f t="shared" si="0"/>
        <v>-11.31529262433412</v>
      </c>
    </row>
    <row r="60" spans="19:21" ht="14.65" thickBot="1" x14ac:dyDescent="0.5">
      <c r="S60" s="37">
        <f t="shared" si="1"/>
        <v>107.37844555057747</v>
      </c>
      <c r="U60" s="26">
        <f t="shared" si="0"/>
        <v>-12.378445550577467</v>
      </c>
    </row>
    <row r="61" spans="19:21" ht="14.65" thickBot="1" x14ac:dyDescent="0.5">
      <c r="S61" s="37">
        <f t="shared" si="1"/>
        <v>108.45223000608324</v>
      </c>
      <c r="U61" s="26">
        <f t="shared" si="0"/>
        <v>-13.452230006083241</v>
      </c>
    </row>
    <row r="62" spans="19:21" ht="14.65" thickBot="1" x14ac:dyDescent="0.5">
      <c r="S62" s="37">
        <f t="shared" si="1"/>
        <v>109.53675230614408</v>
      </c>
      <c r="U62" s="26">
        <f t="shared" si="0"/>
        <v>-14.536752306144081</v>
      </c>
    </row>
    <row r="63" spans="19:21" ht="14.65" thickBot="1" x14ac:dyDescent="0.5">
      <c r="S63" s="37">
        <f t="shared" si="1"/>
        <v>110.63211982920552</v>
      </c>
      <c r="U63" s="26">
        <f t="shared" si="0"/>
        <v>-15.632119829205521</v>
      </c>
    </row>
    <row r="64" spans="19:21" ht="14.65" thickBot="1" x14ac:dyDescent="0.5">
      <c r="S64" s="37">
        <f t="shared" si="1"/>
        <v>111.73844102749757</v>
      </c>
      <c r="U64" s="26">
        <f t="shared" si="0"/>
        <v>-16.738441027497572</v>
      </c>
    </row>
    <row r="65" spans="19:21" ht="14.65" thickBot="1" x14ac:dyDescent="0.5">
      <c r="S65" s="37">
        <f t="shared" si="1"/>
        <v>112.85582543777255</v>
      </c>
      <c r="U65" s="26">
        <f t="shared" si="0"/>
        <v>-17.855825437772552</v>
      </c>
    </row>
    <row r="66" spans="19:21" ht="14.65" thickBot="1" x14ac:dyDescent="0.5">
      <c r="S66" s="37">
        <f t="shared" si="1"/>
        <v>113.98438369215027</v>
      </c>
      <c r="U66" s="26">
        <f t="shared" si="0"/>
        <v>-18.984383692150274</v>
      </c>
    </row>
    <row r="67" spans="19:21" ht="14.65" thickBot="1" x14ac:dyDescent="0.5">
      <c r="S67" s="37">
        <f t="shared" si="1"/>
        <v>115.12422752907177</v>
      </c>
      <c r="U67" s="26">
        <f t="shared" si="0"/>
        <v>-20.124227529071774</v>
      </c>
    </row>
    <row r="68" spans="19:21" ht="14.65" thickBot="1" x14ac:dyDescent="0.5">
      <c r="S68" s="37">
        <f t="shared" si="1"/>
        <v>116.27546980436249</v>
      </c>
      <c r="U68" s="26">
        <f t="shared" si="0"/>
        <v>-21.275469804362487</v>
      </c>
    </row>
    <row r="69" spans="19:21" ht="14.65" thickBot="1" x14ac:dyDescent="0.5">
      <c r="S69" s="37">
        <f t="shared" si="1"/>
        <v>117.43822450240611</v>
      </c>
      <c r="U69" s="26">
        <f t="shared" si="0"/>
        <v>-22.438224502406115</v>
      </c>
    </row>
    <row r="70" spans="19:21" ht="14.65" thickBot="1" x14ac:dyDescent="0.5">
      <c r="S70" s="37">
        <f t="shared" si="1"/>
        <v>118.61260674743018</v>
      </c>
      <c r="U70" s="26">
        <f t="shared" si="0"/>
        <v>-23.612606747430178</v>
      </c>
    </row>
    <row r="71" spans="19:21" ht="14.65" thickBot="1" x14ac:dyDescent="0.5">
      <c r="S71" s="37">
        <f t="shared" si="1"/>
        <v>119.79873281490448</v>
      </c>
      <c r="U71" s="26">
        <f t="shared" si="0"/>
        <v>-24.798732814904483</v>
      </c>
    </row>
    <row r="72" spans="19:21" ht="14.65" thickBot="1" x14ac:dyDescent="0.5">
      <c r="S72" s="37">
        <f t="shared" si="1"/>
        <v>120.99672014305352</v>
      </c>
      <c r="U72" s="26">
        <f t="shared" si="0"/>
        <v>-25</v>
      </c>
    </row>
    <row r="73" spans="19:21" ht="14.65" thickBot="1" x14ac:dyDescent="0.5">
      <c r="S73" s="37">
        <f t="shared" si="1"/>
        <v>122.20668734448405</v>
      </c>
      <c r="U73" s="26">
        <f t="shared" si="0"/>
        <v>-25</v>
      </c>
    </row>
    <row r="74" spans="19:21" ht="14.65" thickBot="1" x14ac:dyDescent="0.5">
      <c r="S74" s="37">
        <f t="shared" si="1"/>
        <v>123.4287542179289</v>
      </c>
      <c r="U74" s="26">
        <f t="shared" si="0"/>
        <v>-25</v>
      </c>
    </row>
    <row r="75" spans="19:21" ht="14.65" thickBot="1" x14ac:dyDescent="0.5">
      <c r="S75" s="37">
        <f t="shared" si="1"/>
        <v>124.66304176010819</v>
      </c>
      <c r="U75" s="26">
        <f t="shared" si="0"/>
        <v>-25</v>
      </c>
    </row>
    <row r="76" spans="19:21" ht="14.65" thickBot="1" x14ac:dyDescent="0.5">
      <c r="S76" s="37">
        <f t="shared" si="1"/>
        <v>125.90967217770927</v>
      </c>
      <c r="U76" s="26">
        <f t="shared" si="0"/>
        <v>-25</v>
      </c>
    </row>
    <row r="77" spans="19:21" ht="14.65" thickBot="1" x14ac:dyDescent="0.5">
      <c r="S77" s="37">
        <f t="shared" si="1"/>
        <v>127.16876889948637</v>
      </c>
      <c r="U77" s="26">
        <f t="shared" si="0"/>
        <v>-25</v>
      </c>
    </row>
    <row r="78" spans="19:21" ht="14.65" thickBot="1" x14ac:dyDescent="0.5">
      <c r="S78" s="37">
        <f t="shared" si="1"/>
        <v>128.44045658848123</v>
      </c>
      <c r="U78" s="26">
        <f t="shared" si="0"/>
        <v>-25</v>
      </c>
    </row>
    <row r="79" spans="19:21" ht="14.65" thickBot="1" x14ac:dyDescent="0.5">
      <c r="S79" s="37">
        <f t="shared" si="1"/>
        <v>129.72486115436604</v>
      </c>
      <c r="U79" s="26">
        <f t="shared" si="0"/>
        <v>-25</v>
      </c>
    </row>
    <row r="80" spans="19:21" ht="14.65" thickBot="1" x14ac:dyDescent="0.5">
      <c r="S80" s="37">
        <f t="shared" si="1"/>
        <v>131.0221097659097</v>
      </c>
      <c r="U80" s="26">
        <f t="shared" si="0"/>
        <v>-25</v>
      </c>
    </row>
    <row r="81" spans="19:21" ht="14.65" thickBot="1" x14ac:dyDescent="0.5">
      <c r="S81" s="37">
        <f t="shared" si="1"/>
        <v>132.33233086356881</v>
      </c>
      <c r="U81" s="26">
        <f t="shared" si="0"/>
        <v>-25</v>
      </c>
    </row>
    <row r="82" spans="19:21" ht="14.65" thickBot="1" x14ac:dyDescent="0.5">
      <c r="S82" s="37">
        <f t="shared" si="1"/>
        <v>133.65565417220449</v>
      </c>
      <c r="U82" s="26">
        <f t="shared" ref="U82:U145" si="2">IF(S82&lt;$D$8,$D$7-S82-$D$9,$D$7-$D$8-$D$9)</f>
        <v>-25</v>
      </c>
    </row>
    <row r="83" spans="19:21" ht="14.65" thickBot="1" x14ac:dyDescent="0.5">
      <c r="S83" s="37">
        <f t="shared" ref="S83:S146" si="3">S82*(1.01)</f>
        <v>134.99221071392654</v>
      </c>
      <c r="U83" s="26">
        <f t="shared" si="2"/>
        <v>-25</v>
      </c>
    </row>
    <row r="84" spans="19:21" ht="14.65" thickBot="1" x14ac:dyDescent="0.5">
      <c r="S84" s="37">
        <f t="shared" si="3"/>
        <v>136.3421328210658</v>
      </c>
      <c r="U84" s="26">
        <f t="shared" si="2"/>
        <v>-25</v>
      </c>
    </row>
    <row r="85" spans="19:21" ht="14.65" thickBot="1" x14ac:dyDescent="0.5">
      <c r="S85" s="37">
        <f t="shared" si="3"/>
        <v>137.70555414927645</v>
      </c>
      <c r="U85" s="26">
        <f t="shared" si="2"/>
        <v>-25</v>
      </c>
    </row>
    <row r="86" spans="19:21" ht="14.65" thickBot="1" x14ac:dyDescent="0.5">
      <c r="S86" s="37">
        <f t="shared" si="3"/>
        <v>139.08260969076923</v>
      </c>
      <c r="U86" s="26">
        <f t="shared" si="2"/>
        <v>-25</v>
      </c>
    </row>
    <row r="87" spans="19:21" ht="14.65" thickBot="1" x14ac:dyDescent="0.5">
      <c r="S87" s="37">
        <f t="shared" si="3"/>
        <v>140.47343578767692</v>
      </c>
      <c r="U87" s="26">
        <f t="shared" si="2"/>
        <v>-25</v>
      </c>
    </row>
    <row r="88" spans="19:21" ht="14.65" thickBot="1" x14ac:dyDescent="0.5">
      <c r="S88" s="37">
        <f t="shared" si="3"/>
        <v>141.8781701455537</v>
      </c>
      <c r="U88" s="26">
        <f t="shared" si="2"/>
        <v>-25</v>
      </c>
    </row>
    <row r="89" spans="19:21" ht="14.65" thickBot="1" x14ac:dyDescent="0.5">
      <c r="S89" s="37">
        <f t="shared" si="3"/>
        <v>143.29695184700924</v>
      </c>
      <c r="U89" s="26">
        <f t="shared" si="2"/>
        <v>-25</v>
      </c>
    </row>
    <row r="90" spans="19:21" ht="14.65" thickBot="1" x14ac:dyDescent="0.5">
      <c r="S90" s="37">
        <f t="shared" si="3"/>
        <v>144.72992136547933</v>
      </c>
      <c r="U90" s="26">
        <f t="shared" si="2"/>
        <v>-25</v>
      </c>
    </row>
    <row r="91" spans="19:21" ht="14.65" thickBot="1" x14ac:dyDescent="0.5">
      <c r="S91" s="37">
        <f t="shared" si="3"/>
        <v>146.17722057913412</v>
      </c>
      <c r="U91" s="26">
        <f t="shared" si="2"/>
        <v>-25</v>
      </c>
    </row>
    <row r="92" spans="19:21" ht="14.65" thickBot="1" x14ac:dyDescent="0.5">
      <c r="S92" s="37">
        <f t="shared" si="3"/>
        <v>147.63899278492545</v>
      </c>
      <c r="U92" s="26">
        <f t="shared" si="2"/>
        <v>-25</v>
      </c>
    </row>
    <row r="93" spans="19:21" ht="14.65" thickBot="1" x14ac:dyDescent="0.5">
      <c r="S93" s="37">
        <f t="shared" si="3"/>
        <v>149.1153827127747</v>
      </c>
      <c r="U93" s="26">
        <f t="shared" si="2"/>
        <v>-25</v>
      </c>
    </row>
    <row r="94" spans="19:21" ht="14.65" thickBot="1" x14ac:dyDescent="0.5">
      <c r="S94" s="37">
        <f t="shared" si="3"/>
        <v>150.60653653990246</v>
      </c>
      <c r="U94" s="26">
        <f t="shared" si="2"/>
        <v>-25</v>
      </c>
    </row>
    <row r="95" spans="19:21" ht="14.65" thickBot="1" x14ac:dyDescent="0.5">
      <c r="S95" s="37">
        <f t="shared" si="3"/>
        <v>152.11260190530149</v>
      </c>
      <c r="U95" s="26">
        <f t="shared" si="2"/>
        <v>-25</v>
      </c>
    </row>
    <row r="96" spans="19:21" ht="14.65" thickBot="1" x14ac:dyDescent="0.5">
      <c r="S96" s="37">
        <f t="shared" si="3"/>
        <v>153.6337279243545</v>
      </c>
      <c r="U96" s="26">
        <f t="shared" si="2"/>
        <v>-25</v>
      </c>
    </row>
    <row r="97" spans="19:21" ht="14.65" thickBot="1" x14ac:dyDescent="0.5">
      <c r="S97" s="37">
        <f t="shared" si="3"/>
        <v>155.17006520359806</v>
      </c>
      <c r="U97" s="26">
        <f t="shared" si="2"/>
        <v>-25</v>
      </c>
    </row>
    <row r="98" spans="19:21" ht="14.65" thickBot="1" x14ac:dyDescent="0.5">
      <c r="S98" s="37">
        <f t="shared" si="3"/>
        <v>156.72176585563403</v>
      </c>
      <c r="U98" s="26">
        <f t="shared" si="2"/>
        <v>-25</v>
      </c>
    </row>
    <row r="99" spans="19:21" ht="14.65" thickBot="1" x14ac:dyDescent="0.5">
      <c r="S99" s="37">
        <f t="shared" si="3"/>
        <v>158.28898351419036</v>
      </c>
      <c r="U99" s="26">
        <f t="shared" si="2"/>
        <v>-25</v>
      </c>
    </row>
    <row r="100" spans="19:21" ht="14.65" thickBot="1" x14ac:dyDescent="0.5">
      <c r="S100" s="37">
        <f t="shared" si="3"/>
        <v>159.87187334933228</v>
      </c>
      <c r="U100" s="26">
        <f t="shared" si="2"/>
        <v>-25</v>
      </c>
    </row>
    <row r="101" spans="19:21" ht="14.65" thickBot="1" x14ac:dyDescent="0.5">
      <c r="S101" s="37">
        <f t="shared" si="3"/>
        <v>161.47059208282559</v>
      </c>
      <c r="U101" s="26">
        <f t="shared" si="2"/>
        <v>-25</v>
      </c>
    </row>
    <row r="102" spans="19:21" ht="14.65" thickBot="1" x14ac:dyDescent="0.5">
      <c r="S102" s="37">
        <f t="shared" si="3"/>
        <v>163.08529800365386</v>
      </c>
      <c r="U102" s="26">
        <f t="shared" si="2"/>
        <v>-25</v>
      </c>
    </row>
    <row r="103" spans="19:21" ht="14.65" thickBot="1" x14ac:dyDescent="0.5">
      <c r="S103" s="37">
        <f t="shared" si="3"/>
        <v>164.7161509836904</v>
      </c>
      <c r="U103" s="26">
        <f t="shared" si="2"/>
        <v>-25</v>
      </c>
    </row>
    <row r="104" spans="19:21" ht="14.65" thickBot="1" x14ac:dyDescent="0.5">
      <c r="S104" s="37">
        <f t="shared" si="3"/>
        <v>166.3633124935273</v>
      </c>
      <c r="U104" s="26">
        <f t="shared" si="2"/>
        <v>-25</v>
      </c>
    </row>
    <row r="105" spans="19:21" ht="14.65" thickBot="1" x14ac:dyDescent="0.5">
      <c r="S105" s="37">
        <f t="shared" si="3"/>
        <v>168.02694561846258</v>
      </c>
      <c r="U105" s="26">
        <f t="shared" si="2"/>
        <v>-25</v>
      </c>
    </row>
    <row r="106" spans="19:21" ht="14.65" thickBot="1" x14ac:dyDescent="0.5">
      <c r="S106" s="37">
        <f t="shared" si="3"/>
        <v>169.70721507464719</v>
      </c>
      <c r="U106" s="26">
        <f t="shared" si="2"/>
        <v>-25</v>
      </c>
    </row>
    <row r="107" spans="19:21" ht="14.65" thickBot="1" x14ac:dyDescent="0.5">
      <c r="S107" s="37">
        <f t="shared" si="3"/>
        <v>171.40428722539366</v>
      </c>
      <c r="U107" s="26">
        <f t="shared" si="2"/>
        <v>-25</v>
      </c>
    </row>
    <row r="108" spans="19:21" ht="14.65" thickBot="1" x14ac:dyDescent="0.5">
      <c r="S108" s="37">
        <f t="shared" si="3"/>
        <v>173.1183300976476</v>
      </c>
      <c r="U108" s="26">
        <f t="shared" si="2"/>
        <v>-25</v>
      </c>
    </row>
    <row r="109" spans="19:21" ht="14.65" thickBot="1" x14ac:dyDescent="0.5">
      <c r="S109" s="37">
        <f t="shared" si="3"/>
        <v>174.84951339862408</v>
      </c>
      <c r="U109" s="26">
        <f t="shared" si="2"/>
        <v>-25</v>
      </c>
    </row>
    <row r="110" spans="19:21" ht="14.65" thickBot="1" x14ac:dyDescent="0.5">
      <c r="S110" s="37">
        <f t="shared" si="3"/>
        <v>176.59800853261032</v>
      </c>
      <c r="U110" s="26">
        <f t="shared" si="2"/>
        <v>-25</v>
      </c>
    </row>
    <row r="111" spans="19:21" ht="14.65" thickBot="1" x14ac:dyDescent="0.5">
      <c r="S111" s="37">
        <f t="shared" si="3"/>
        <v>178.36398861793643</v>
      </c>
      <c r="U111" s="26">
        <f t="shared" si="2"/>
        <v>-25</v>
      </c>
    </row>
    <row r="112" spans="19:21" ht="14.65" thickBot="1" x14ac:dyDescent="0.5">
      <c r="S112" s="37">
        <f t="shared" si="3"/>
        <v>180.1476285041158</v>
      </c>
      <c r="U112" s="26">
        <f t="shared" si="2"/>
        <v>-25</v>
      </c>
    </row>
    <row r="113" spans="19:21" ht="14.65" thickBot="1" x14ac:dyDescent="0.5">
      <c r="S113" s="37">
        <f t="shared" si="3"/>
        <v>181.94910478915696</v>
      </c>
      <c r="U113" s="26">
        <f t="shared" si="2"/>
        <v>-25</v>
      </c>
    </row>
    <row r="114" spans="19:21" ht="14.65" thickBot="1" x14ac:dyDescent="0.5">
      <c r="S114" s="37">
        <f t="shared" si="3"/>
        <v>183.76859583704854</v>
      </c>
      <c r="U114" s="26">
        <f t="shared" si="2"/>
        <v>-25</v>
      </c>
    </row>
    <row r="115" spans="19:21" ht="14.65" thickBot="1" x14ac:dyDescent="0.5">
      <c r="S115" s="37">
        <f t="shared" si="3"/>
        <v>185.60628179541902</v>
      </c>
      <c r="U115" s="26">
        <f t="shared" si="2"/>
        <v>-25</v>
      </c>
    </row>
    <row r="116" spans="19:21" ht="14.65" thickBot="1" x14ac:dyDescent="0.5">
      <c r="S116" s="37">
        <f t="shared" si="3"/>
        <v>187.4623446133732</v>
      </c>
      <c r="U116" s="26">
        <f t="shared" si="2"/>
        <v>-25</v>
      </c>
    </row>
    <row r="117" spans="19:21" ht="14.65" thickBot="1" x14ac:dyDescent="0.5">
      <c r="S117" s="37">
        <f t="shared" si="3"/>
        <v>189.33696805950694</v>
      </c>
      <c r="U117" s="26">
        <f t="shared" si="2"/>
        <v>-25</v>
      </c>
    </row>
    <row r="118" spans="19:21" ht="14.65" thickBot="1" x14ac:dyDescent="0.5">
      <c r="S118" s="37">
        <f t="shared" si="3"/>
        <v>191.23033774010202</v>
      </c>
      <c r="U118" s="26">
        <f t="shared" si="2"/>
        <v>-25</v>
      </c>
    </row>
    <row r="119" spans="19:21" ht="14.65" thickBot="1" x14ac:dyDescent="0.5">
      <c r="S119" s="37">
        <f t="shared" si="3"/>
        <v>193.14264111750305</v>
      </c>
      <c r="U119" s="26">
        <f t="shared" si="2"/>
        <v>-25</v>
      </c>
    </row>
    <row r="120" spans="19:21" ht="14.65" thickBot="1" x14ac:dyDescent="0.5">
      <c r="S120" s="37">
        <f t="shared" si="3"/>
        <v>195.07406752867809</v>
      </c>
      <c r="U120" s="26">
        <f t="shared" si="2"/>
        <v>-25</v>
      </c>
    </row>
    <row r="121" spans="19:21" ht="14.65" thickBot="1" x14ac:dyDescent="0.5">
      <c r="S121" s="37">
        <f t="shared" si="3"/>
        <v>197.02480820396488</v>
      </c>
      <c r="U121" s="26">
        <f t="shared" si="2"/>
        <v>-25</v>
      </c>
    </row>
    <row r="122" spans="19:21" ht="14.65" thickBot="1" x14ac:dyDescent="0.5">
      <c r="S122" s="37">
        <f t="shared" si="3"/>
        <v>198.99505628600454</v>
      </c>
      <c r="U122" s="26">
        <f t="shared" si="2"/>
        <v>-25</v>
      </c>
    </row>
    <row r="123" spans="19:21" ht="14.65" thickBot="1" x14ac:dyDescent="0.5">
      <c r="S123" s="37">
        <f t="shared" si="3"/>
        <v>200.9850068488646</v>
      </c>
      <c r="U123" s="26">
        <f t="shared" si="2"/>
        <v>-25</v>
      </c>
    </row>
    <row r="124" spans="19:21" ht="14.65" thickBot="1" x14ac:dyDescent="0.5">
      <c r="S124" s="37">
        <f t="shared" si="3"/>
        <v>202.99485691735325</v>
      </c>
      <c r="U124" s="26">
        <f t="shared" si="2"/>
        <v>-25</v>
      </c>
    </row>
    <row r="125" spans="19:21" ht="14.65" thickBot="1" x14ac:dyDescent="0.5">
      <c r="S125" s="37">
        <f t="shared" si="3"/>
        <v>205.02480548652679</v>
      </c>
      <c r="U125" s="26">
        <f t="shared" si="2"/>
        <v>-25</v>
      </c>
    </row>
    <row r="126" spans="19:21" ht="14.65" thickBot="1" x14ac:dyDescent="0.5">
      <c r="S126" s="37">
        <f t="shared" si="3"/>
        <v>207.07505354139207</v>
      </c>
      <c r="U126" s="26">
        <f t="shared" si="2"/>
        <v>-25</v>
      </c>
    </row>
    <row r="127" spans="19:21" ht="14.65" thickBot="1" x14ac:dyDescent="0.5">
      <c r="S127" s="37">
        <f t="shared" si="3"/>
        <v>209.145804076806</v>
      </c>
      <c r="U127" s="26">
        <f t="shared" si="2"/>
        <v>-25</v>
      </c>
    </row>
    <row r="128" spans="19:21" ht="14.65" thickBot="1" x14ac:dyDescent="0.5">
      <c r="S128" s="37">
        <f t="shared" si="3"/>
        <v>211.23726211757406</v>
      </c>
      <c r="U128" s="26">
        <f t="shared" si="2"/>
        <v>-25</v>
      </c>
    </row>
    <row r="129" spans="19:21" ht="14.65" thickBot="1" x14ac:dyDescent="0.5">
      <c r="S129" s="37">
        <f t="shared" si="3"/>
        <v>213.34963473874981</v>
      </c>
      <c r="U129" s="26">
        <f t="shared" si="2"/>
        <v>-25</v>
      </c>
    </row>
    <row r="130" spans="19:21" ht="14.65" thickBot="1" x14ac:dyDescent="0.5">
      <c r="S130" s="37">
        <f t="shared" si="3"/>
        <v>215.48313108613732</v>
      </c>
      <c r="U130" s="26">
        <f t="shared" si="2"/>
        <v>-25</v>
      </c>
    </row>
    <row r="131" spans="19:21" ht="14.65" thickBot="1" x14ac:dyDescent="0.5">
      <c r="S131" s="37">
        <f t="shared" si="3"/>
        <v>217.63796239699869</v>
      </c>
      <c r="U131" s="26">
        <f t="shared" si="2"/>
        <v>-25</v>
      </c>
    </row>
    <row r="132" spans="19:21" ht="14.65" thickBot="1" x14ac:dyDescent="0.5">
      <c r="S132" s="37">
        <f t="shared" si="3"/>
        <v>219.81434202096867</v>
      </c>
      <c r="U132" s="26">
        <f t="shared" si="2"/>
        <v>-25</v>
      </c>
    </row>
    <row r="133" spans="19:21" ht="14.65" thickBot="1" x14ac:dyDescent="0.5">
      <c r="S133" s="37">
        <f t="shared" si="3"/>
        <v>222.01248544117834</v>
      </c>
      <c r="U133" s="26">
        <f t="shared" si="2"/>
        <v>-25</v>
      </c>
    </row>
    <row r="134" spans="19:21" ht="14.65" thickBot="1" x14ac:dyDescent="0.5">
      <c r="S134" s="37">
        <f t="shared" si="3"/>
        <v>224.23261029559012</v>
      </c>
      <c r="U134" s="26">
        <f t="shared" si="2"/>
        <v>-25</v>
      </c>
    </row>
    <row r="135" spans="19:21" ht="14.65" thickBot="1" x14ac:dyDescent="0.5">
      <c r="S135" s="37">
        <f t="shared" si="3"/>
        <v>226.47493639854602</v>
      </c>
      <c r="U135" s="26">
        <f t="shared" si="2"/>
        <v>-25</v>
      </c>
    </row>
    <row r="136" spans="19:21" ht="14.65" thickBot="1" x14ac:dyDescent="0.5">
      <c r="S136" s="37">
        <f t="shared" si="3"/>
        <v>228.73968576253148</v>
      </c>
      <c r="U136" s="26">
        <f t="shared" si="2"/>
        <v>-25</v>
      </c>
    </row>
    <row r="137" spans="19:21" ht="14.65" thickBot="1" x14ac:dyDescent="0.5">
      <c r="S137" s="37">
        <f t="shared" si="3"/>
        <v>231.02708262015679</v>
      </c>
      <c r="U137" s="26">
        <f t="shared" si="2"/>
        <v>-25</v>
      </c>
    </row>
    <row r="138" spans="19:21" ht="14.65" thickBot="1" x14ac:dyDescent="0.5">
      <c r="S138" s="37">
        <f t="shared" si="3"/>
        <v>233.33735344635835</v>
      </c>
      <c r="U138" s="26">
        <f t="shared" si="2"/>
        <v>-25</v>
      </c>
    </row>
    <row r="139" spans="19:21" ht="14.65" thickBot="1" x14ac:dyDescent="0.5">
      <c r="S139" s="37">
        <f t="shared" si="3"/>
        <v>235.67072698082194</v>
      </c>
      <c r="U139" s="26">
        <f t="shared" si="2"/>
        <v>-25</v>
      </c>
    </row>
    <row r="140" spans="19:21" ht="14.65" thickBot="1" x14ac:dyDescent="0.5">
      <c r="S140" s="37">
        <f t="shared" si="3"/>
        <v>238.02743425063017</v>
      </c>
      <c r="U140" s="26">
        <f t="shared" si="2"/>
        <v>-25</v>
      </c>
    </row>
    <row r="141" spans="19:21" ht="14.65" thickBot="1" x14ac:dyDescent="0.5">
      <c r="S141" s="37">
        <f t="shared" si="3"/>
        <v>240.40770859313648</v>
      </c>
      <c r="U141" s="26">
        <f t="shared" si="2"/>
        <v>-25</v>
      </c>
    </row>
    <row r="142" spans="19:21" ht="14.65" thickBot="1" x14ac:dyDescent="0.5">
      <c r="S142" s="37">
        <f t="shared" si="3"/>
        <v>242.81178567906784</v>
      </c>
      <c r="U142" s="26">
        <f t="shared" si="2"/>
        <v>-25</v>
      </c>
    </row>
    <row r="143" spans="19:21" ht="14.65" thickBot="1" x14ac:dyDescent="0.5">
      <c r="S143" s="37">
        <f t="shared" si="3"/>
        <v>245.23990353585853</v>
      </c>
      <c r="U143" s="26">
        <f t="shared" si="2"/>
        <v>-25</v>
      </c>
    </row>
    <row r="144" spans="19:21" ht="14.65" thickBot="1" x14ac:dyDescent="0.5">
      <c r="S144" s="37">
        <f t="shared" si="3"/>
        <v>247.69230257121711</v>
      </c>
      <c r="U144" s="26">
        <f t="shared" si="2"/>
        <v>-25</v>
      </c>
    </row>
    <row r="145" spans="19:21" ht="14.65" thickBot="1" x14ac:dyDescent="0.5">
      <c r="S145" s="37">
        <f t="shared" si="3"/>
        <v>250.16922559692929</v>
      </c>
      <c r="U145" s="26">
        <f t="shared" si="2"/>
        <v>-25</v>
      </c>
    </row>
    <row r="146" spans="19:21" ht="14.65" thickBot="1" x14ac:dyDescent="0.5">
      <c r="S146" s="37">
        <f t="shared" si="3"/>
        <v>252.67091785289858</v>
      </c>
      <c r="U146" s="26">
        <f t="shared" ref="U146:U209" si="4">IF(S146&lt;$D$8,$D$7-S146-$D$9,$D$7-$D$8-$D$9)</f>
        <v>-25</v>
      </c>
    </row>
    <row r="147" spans="19:21" ht="14.65" thickBot="1" x14ac:dyDescent="0.5">
      <c r="S147" s="37">
        <f t="shared" ref="S147:S210" si="5">S146*(1.01)</f>
        <v>255.19762703142757</v>
      </c>
      <c r="U147" s="26">
        <f t="shared" si="4"/>
        <v>-25</v>
      </c>
    </row>
    <row r="148" spans="19:21" ht="14.65" thickBot="1" x14ac:dyDescent="0.5">
      <c r="S148" s="37">
        <f t="shared" si="5"/>
        <v>257.74960330174184</v>
      </c>
      <c r="U148" s="26">
        <f t="shared" si="4"/>
        <v>-25</v>
      </c>
    </row>
    <row r="149" spans="19:21" ht="14.65" thickBot="1" x14ac:dyDescent="0.5">
      <c r="S149" s="37">
        <f t="shared" si="5"/>
        <v>260.32709933475928</v>
      </c>
      <c r="U149" s="26">
        <f t="shared" si="4"/>
        <v>-25</v>
      </c>
    </row>
    <row r="150" spans="19:21" ht="14.65" thickBot="1" x14ac:dyDescent="0.5">
      <c r="S150" s="37">
        <f t="shared" si="5"/>
        <v>262.9303703281069</v>
      </c>
      <c r="U150" s="26">
        <f t="shared" si="4"/>
        <v>-25</v>
      </c>
    </row>
    <row r="151" spans="19:21" ht="14.65" thickBot="1" x14ac:dyDescent="0.5">
      <c r="S151" s="37">
        <f t="shared" si="5"/>
        <v>265.559674031388</v>
      </c>
      <c r="U151" s="26">
        <f t="shared" si="4"/>
        <v>-25</v>
      </c>
    </row>
    <row r="152" spans="19:21" ht="14.65" thickBot="1" x14ac:dyDescent="0.5">
      <c r="S152" s="37">
        <f t="shared" si="5"/>
        <v>268.21527077170191</v>
      </c>
      <c r="U152" s="26">
        <f t="shared" si="4"/>
        <v>-25</v>
      </c>
    </row>
    <row r="153" spans="19:21" ht="14.65" thickBot="1" x14ac:dyDescent="0.5">
      <c r="S153" s="37">
        <f t="shared" si="5"/>
        <v>270.89742347941893</v>
      </c>
      <c r="U153" s="26">
        <f t="shared" si="4"/>
        <v>-25</v>
      </c>
    </row>
    <row r="154" spans="19:21" ht="14.65" thickBot="1" x14ac:dyDescent="0.5">
      <c r="S154" s="37">
        <f t="shared" si="5"/>
        <v>273.60639771421313</v>
      </c>
      <c r="U154" s="26">
        <f t="shared" si="4"/>
        <v>-25</v>
      </c>
    </row>
    <row r="155" spans="19:21" ht="14.65" thickBot="1" x14ac:dyDescent="0.5">
      <c r="S155" s="37">
        <f t="shared" si="5"/>
        <v>276.34246169135525</v>
      </c>
      <c r="U155" s="26">
        <f t="shared" si="4"/>
        <v>-25</v>
      </c>
    </row>
    <row r="156" spans="19:21" ht="14.65" thickBot="1" x14ac:dyDescent="0.5">
      <c r="S156" s="37">
        <f t="shared" si="5"/>
        <v>279.10588630826879</v>
      </c>
      <c r="U156" s="26">
        <f t="shared" si="4"/>
        <v>-25</v>
      </c>
    </row>
    <row r="157" spans="19:21" ht="14.65" thickBot="1" x14ac:dyDescent="0.5">
      <c r="S157" s="37">
        <f t="shared" si="5"/>
        <v>281.89694517135149</v>
      </c>
      <c r="U157" s="26">
        <f t="shared" si="4"/>
        <v>-25</v>
      </c>
    </row>
    <row r="158" spans="19:21" ht="14.65" thickBot="1" x14ac:dyDescent="0.5">
      <c r="S158" s="37">
        <f t="shared" si="5"/>
        <v>284.71591462306503</v>
      </c>
      <c r="U158" s="26">
        <f t="shared" si="4"/>
        <v>-25</v>
      </c>
    </row>
    <row r="159" spans="19:21" ht="14.65" thickBot="1" x14ac:dyDescent="0.5">
      <c r="S159" s="37">
        <f t="shared" si="5"/>
        <v>287.56307376929567</v>
      </c>
      <c r="U159" s="26">
        <f t="shared" si="4"/>
        <v>-25</v>
      </c>
    </row>
    <row r="160" spans="19:21" ht="14.65" thickBot="1" x14ac:dyDescent="0.5">
      <c r="S160" s="37">
        <f t="shared" si="5"/>
        <v>290.43870450698864</v>
      </c>
      <c r="U160" s="26">
        <f t="shared" si="4"/>
        <v>-25</v>
      </c>
    </row>
    <row r="161" spans="19:21" ht="14.65" thickBot="1" x14ac:dyDescent="0.5">
      <c r="S161" s="37">
        <f t="shared" si="5"/>
        <v>293.34309155205852</v>
      </c>
      <c r="U161" s="26">
        <f t="shared" si="4"/>
        <v>-25</v>
      </c>
    </row>
    <row r="162" spans="19:21" ht="14.65" thickBot="1" x14ac:dyDescent="0.5">
      <c r="S162" s="37">
        <f t="shared" si="5"/>
        <v>296.27652246757913</v>
      </c>
      <c r="U162" s="26">
        <f t="shared" si="4"/>
        <v>-25</v>
      </c>
    </row>
    <row r="163" spans="19:21" ht="14.65" thickBot="1" x14ac:dyDescent="0.5">
      <c r="S163" s="37">
        <f t="shared" si="5"/>
        <v>299.23928769225495</v>
      </c>
      <c r="U163" s="26">
        <f t="shared" si="4"/>
        <v>-25</v>
      </c>
    </row>
    <row r="164" spans="19:21" ht="14.65" thickBot="1" x14ac:dyDescent="0.5">
      <c r="S164" s="37">
        <f t="shared" si="5"/>
        <v>302.23168056917751</v>
      </c>
      <c r="U164" s="26">
        <f t="shared" si="4"/>
        <v>-25</v>
      </c>
    </row>
    <row r="165" spans="19:21" ht="14.65" thickBot="1" x14ac:dyDescent="0.5">
      <c r="S165" s="37">
        <f t="shared" si="5"/>
        <v>305.2539973748693</v>
      </c>
      <c r="U165" s="26">
        <f t="shared" si="4"/>
        <v>-25</v>
      </c>
    </row>
    <row r="166" spans="19:21" ht="14.65" thickBot="1" x14ac:dyDescent="0.5">
      <c r="S166" s="37">
        <f t="shared" si="5"/>
        <v>308.30653734861801</v>
      </c>
      <c r="U166" s="26">
        <f t="shared" si="4"/>
        <v>-25</v>
      </c>
    </row>
    <row r="167" spans="19:21" ht="14.65" thickBot="1" x14ac:dyDescent="0.5">
      <c r="S167" s="37">
        <f t="shared" si="5"/>
        <v>311.3896027221042</v>
      </c>
      <c r="U167" s="26">
        <f t="shared" si="4"/>
        <v>-25</v>
      </c>
    </row>
    <row r="168" spans="19:21" ht="14.65" thickBot="1" x14ac:dyDescent="0.5">
      <c r="S168" s="37">
        <f t="shared" si="5"/>
        <v>314.50349874932522</v>
      </c>
      <c r="U168" s="26">
        <f t="shared" si="4"/>
        <v>-25</v>
      </c>
    </row>
    <row r="169" spans="19:21" ht="14.65" thickBot="1" x14ac:dyDescent="0.5">
      <c r="S169" s="37">
        <f t="shared" si="5"/>
        <v>317.64853373681848</v>
      </c>
      <c r="U169" s="26">
        <f t="shared" si="4"/>
        <v>-25</v>
      </c>
    </row>
    <row r="170" spans="19:21" ht="14.65" thickBot="1" x14ac:dyDescent="0.5">
      <c r="S170" s="37">
        <f t="shared" si="5"/>
        <v>320.82501907418668</v>
      </c>
      <c r="U170" s="26">
        <f t="shared" si="4"/>
        <v>-25</v>
      </c>
    </row>
    <row r="171" spans="19:21" ht="14.65" thickBot="1" x14ac:dyDescent="0.5">
      <c r="S171" s="37">
        <f t="shared" si="5"/>
        <v>324.03326926492855</v>
      </c>
      <c r="U171" s="26">
        <f t="shared" si="4"/>
        <v>-25</v>
      </c>
    </row>
    <row r="172" spans="19:21" ht="14.65" thickBot="1" x14ac:dyDescent="0.5">
      <c r="S172" s="37">
        <f t="shared" si="5"/>
        <v>327.27360195757785</v>
      </c>
      <c r="U172" s="26">
        <f t="shared" si="4"/>
        <v>-25</v>
      </c>
    </row>
    <row r="173" spans="19:21" ht="14.65" thickBot="1" x14ac:dyDescent="0.5">
      <c r="S173" s="37">
        <f t="shared" si="5"/>
        <v>330.54633797715366</v>
      </c>
      <c r="U173" s="26">
        <f t="shared" si="4"/>
        <v>-25</v>
      </c>
    </row>
    <row r="174" spans="19:21" ht="14.65" thickBot="1" x14ac:dyDescent="0.5">
      <c r="S174" s="37">
        <f t="shared" si="5"/>
        <v>333.85180135692519</v>
      </c>
      <c r="U174" s="26">
        <f t="shared" si="4"/>
        <v>-25</v>
      </c>
    </row>
    <row r="175" spans="19:21" ht="14.65" thickBot="1" x14ac:dyDescent="0.5">
      <c r="S175" s="37">
        <f t="shared" si="5"/>
        <v>337.19031937049442</v>
      </c>
      <c r="U175" s="26">
        <f t="shared" si="4"/>
        <v>-25</v>
      </c>
    </row>
    <row r="176" spans="19:21" ht="14.65" thickBot="1" x14ac:dyDescent="0.5">
      <c r="S176" s="37">
        <f t="shared" si="5"/>
        <v>340.56222256419937</v>
      </c>
      <c r="U176" s="26">
        <f t="shared" si="4"/>
        <v>-25</v>
      </c>
    </row>
    <row r="177" spans="19:21" ht="14.65" thickBot="1" x14ac:dyDescent="0.5">
      <c r="S177" s="37">
        <f t="shared" si="5"/>
        <v>343.96784478984137</v>
      </c>
      <c r="U177" s="26">
        <f t="shared" si="4"/>
        <v>-25</v>
      </c>
    </row>
    <row r="178" spans="19:21" ht="14.65" thickBot="1" x14ac:dyDescent="0.5">
      <c r="S178" s="37">
        <f t="shared" si="5"/>
        <v>347.40752323773978</v>
      </c>
      <c r="U178" s="26">
        <f t="shared" si="4"/>
        <v>-25</v>
      </c>
    </row>
    <row r="179" spans="19:21" ht="14.65" thickBot="1" x14ac:dyDescent="0.5">
      <c r="S179" s="37">
        <f t="shared" si="5"/>
        <v>350.88159847011718</v>
      </c>
      <c r="U179" s="26">
        <f t="shared" si="4"/>
        <v>-25</v>
      </c>
    </row>
    <row r="180" spans="19:21" ht="14.65" thickBot="1" x14ac:dyDescent="0.5">
      <c r="S180" s="37">
        <f t="shared" si="5"/>
        <v>354.39041445481837</v>
      </c>
      <c r="U180" s="26">
        <f t="shared" si="4"/>
        <v>-25</v>
      </c>
    </row>
    <row r="181" spans="19:21" ht="14.65" thickBot="1" x14ac:dyDescent="0.5">
      <c r="S181" s="37">
        <f t="shared" si="5"/>
        <v>357.93431859936658</v>
      </c>
      <c r="U181" s="26">
        <f t="shared" si="4"/>
        <v>-25</v>
      </c>
    </row>
    <row r="182" spans="19:21" ht="14.65" thickBot="1" x14ac:dyDescent="0.5">
      <c r="S182" s="37">
        <f t="shared" si="5"/>
        <v>361.51366178536023</v>
      </c>
      <c r="U182" s="26">
        <f t="shared" si="4"/>
        <v>-25</v>
      </c>
    </row>
    <row r="183" spans="19:21" ht="14.65" thickBot="1" x14ac:dyDescent="0.5">
      <c r="S183" s="37">
        <f t="shared" si="5"/>
        <v>365.12879840321381</v>
      </c>
      <c r="U183" s="26">
        <f t="shared" si="4"/>
        <v>-25</v>
      </c>
    </row>
    <row r="184" spans="19:21" ht="14.65" thickBot="1" x14ac:dyDescent="0.5">
      <c r="S184" s="37">
        <f t="shared" si="5"/>
        <v>368.78008638724594</v>
      </c>
      <c r="U184" s="26">
        <f t="shared" si="4"/>
        <v>-25</v>
      </c>
    </row>
    <row r="185" spans="19:21" ht="14.65" thickBot="1" x14ac:dyDescent="0.5">
      <c r="S185" s="37">
        <f t="shared" si="5"/>
        <v>372.46788725111838</v>
      </c>
      <c r="U185" s="26">
        <f t="shared" si="4"/>
        <v>-25</v>
      </c>
    </row>
    <row r="186" spans="19:21" ht="14.65" thickBot="1" x14ac:dyDescent="0.5">
      <c r="S186" s="37">
        <f t="shared" si="5"/>
        <v>376.19256612362955</v>
      </c>
      <c r="U186" s="26">
        <f t="shared" si="4"/>
        <v>-25</v>
      </c>
    </row>
    <row r="187" spans="19:21" ht="14.65" thickBot="1" x14ac:dyDescent="0.5">
      <c r="S187" s="37">
        <f t="shared" si="5"/>
        <v>379.95449178486587</v>
      </c>
      <c r="U187" s="26">
        <f t="shared" si="4"/>
        <v>-25</v>
      </c>
    </row>
    <row r="188" spans="19:21" ht="14.65" thickBot="1" x14ac:dyDescent="0.5">
      <c r="S188" s="37">
        <f t="shared" si="5"/>
        <v>383.75403670271453</v>
      </c>
      <c r="U188" s="26">
        <f t="shared" si="4"/>
        <v>-25</v>
      </c>
    </row>
    <row r="189" spans="19:21" ht="14.65" thickBot="1" x14ac:dyDescent="0.5">
      <c r="S189" s="37">
        <f t="shared" si="5"/>
        <v>387.59157706974167</v>
      </c>
      <c r="U189" s="26">
        <f t="shared" si="4"/>
        <v>-25</v>
      </c>
    </row>
    <row r="190" spans="19:21" ht="14.65" thickBot="1" x14ac:dyDescent="0.5">
      <c r="S190" s="37">
        <f t="shared" si="5"/>
        <v>391.46749284043909</v>
      </c>
      <c r="U190" s="26">
        <f t="shared" si="4"/>
        <v>-25</v>
      </c>
    </row>
    <row r="191" spans="19:21" ht="14.65" thickBot="1" x14ac:dyDescent="0.5">
      <c r="S191" s="37">
        <f t="shared" si="5"/>
        <v>395.38216776884349</v>
      </c>
      <c r="U191" s="26">
        <f t="shared" si="4"/>
        <v>-25</v>
      </c>
    </row>
    <row r="192" spans="19:21" ht="14.65" thickBot="1" x14ac:dyDescent="0.5">
      <c r="S192" s="37">
        <f t="shared" si="5"/>
        <v>399.33598944653193</v>
      </c>
      <c r="U192" s="26">
        <f t="shared" si="4"/>
        <v>-25</v>
      </c>
    </row>
    <row r="193" spans="19:21" ht="14.65" thickBot="1" x14ac:dyDescent="0.5">
      <c r="S193" s="37">
        <f t="shared" si="5"/>
        <v>403.32934934099723</v>
      </c>
      <c r="U193" s="26">
        <f t="shared" si="4"/>
        <v>-25</v>
      </c>
    </row>
    <row r="194" spans="19:21" ht="14.65" thickBot="1" x14ac:dyDescent="0.5">
      <c r="S194" s="37">
        <f t="shared" si="5"/>
        <v>407.36264283440721</v>
      </c>
      <c r="U194" s="26">
        <f t="shared" si="4"/>
        <v>-25</v>
      </c>
    </row>
    <row r="195" spans="19:21" ht="14.65" thickBot="1" x14ac:dyDescent="0.5">
      <c r="S195" s="37">
        <f t="shared" si="5"/>
        <v>411.4362692627513</v>
      </c>
      <c r="U195" s="26">
        <f t="shared" si="4"/>
        <v>-25</v>
      </c>
    </row>
    <row r="196" spans="19:21" ht="14.65" thickBot="1" x14ac:dyDescent="0.5">
      <c r="S196" s="37">
        <f t="shared" si="5"/>
        <v>415.55063195537883</v>
      </c>
      <c r="U196" s="26">
        <f t="shared" si="4"/>
        <v>-25</v>
      </c>
    </row>
    <row r="197" spans="19:21" ht="14.65" thickBot="1" x14ac:dyDescent="0.5">
      <c r="S197" s="37">
        <f t="shared" si="5"/>
        <v>419.70613827493264</v>
      </c>
      <c r="U197" s="26">
        <f t="shared" si="4"/>
        <v>-25</v>
      </c>
    </row>
    <row r="198" spans="19:21" ht="14.65" thickBot="1" x14ac:dyDescent="0.5">
      <c r="S198" s="37">
        <f t="shared" si="5"/>
        <v>423.90319965768197</v>
      </c>
      <c r="U198" s="26">
        <f t="shared" si="4"/>
        <v>-25</v>
      </c>
    </row>
    <row r="199" spans="19:21" ht="14.65" thickBot="1" x14ac:dyDescent="0.5">
      <c r="S199" s="37">
        <f t="shared" si="5"/>
        <v>428.14223165425881</v>
      </c>
      <c r="U199" s="26">
        <f t="shared" si="4"/>
        <v>-25</v>
      </c>
    </row>
    <row r="200" spans="19:21" ht="14.65" thickBot="1" x14ac:dyDescent="0.5">
      <c r="S200" s="37">
        <f t="shared" si="5"/>
        <v>432.42365397080141</v>
      </c>
      <c r="U200" s="26">
        <f t="shared" si="4"/>
        <v>-25</v>
      </c>
    </row>
    <row r="201" spans="19:21" ht="14.65" thickBot="1" x14ac:dyDescent="0.5">
      <c r="S201" s="37">
        <f t="shared" si="5"/>
        <v>436.74789051050942</v>
      </c>
      <c r="U201" s="26">
        <f t="shared" si="4"/>
        <v>-25</v>
      </c>
    </row>
    <row r="202" spans="19:21" ht="14.65" thickBot="1" x14ac:dyDescent="0.5">
      <c r="S202" s="37">
        <f t="shared" si="5"/>
        <v>441.11536941561451</v>
      </c>
      <c r="U202" s="26">
        <f t="shared" si="4"/>
        <v>-25</v>
      </c>
    </row>
    <row r="203" spans="19:21" ht="14.65" thickBot="1" x14ac:dyDescent="0.5">
      <c r="S203" s="37">
        <f t="shared" si="5"/>
        <v>445.52652310977066</v>
      </c>
      <c r="U203" s="26">
        <f t="shared" si="4"/>
        <v>-25</v>
      </c>
    </row>
    <row r="204" spans="19:21" ht="14.65" thickBot="1" x14ac:dyDescent="0.5">
      <c r="S204" s="37">
        <f t="shared" si="5"/>
        <v>449.98178834086838</v>
      </c>
      <c r="U204" s="26">
        <f t="shared" si="4"/>
        <v>-25</v>
      </c>
    </row>
    <row r="205" spans="19:21" ht="14.65" thickBot="1" x14ac:dyDescent="0.5">
      <c r="S205" s="37">
        <f t="shared" si="5"/>
        <v>454.48160622427707</v>
      </c>
      <c r="U205" s="26">
        <f t="shared" si="4"/>
        <v>-25</v>
      </c>
    </row>
    <row r="206" spans="19:21" ht="14.65" thickBot="1" x14ac:dyDescent="0.5">
      <c r="S206" s="37">
        <f t="shared" si="5"/>
        <v>459.02642228651985</v>
      </c>
      <c r="U206" s="26">
        <f t="shared" si="4"/>
        <v>-25</v>
      </c>
    </row>
    <row r="207" spans="19:21" ht="14.65" thickBot="1" x14ac:dyDescent="0.5">
      <c r="S207" s="37">
        <f t="shared" si="5"/>
        <v>463.61668650938503</v>
      </c>
      <c r="U207" s="26">
        <f t="shared" si="4"/>
        <v>-25</v>
      </c>
    </row>
    <row r="208" spans="19:21" ht="14.65" thickBot="1" x14ac:dyDescent="0.5">
      <c r="S208" s="37">
        <f t="shared" si="5"/>
        <v>468.25285337447889</v>
      </c>
      <c r="U208" s="26">
        <f t="shared" si="4"/>
        <v>-25</v>
      </c>
    </row>
    <row r="209" spans="19:21" ht="14.65" thickBot="1" x14ac:dyDescent="0.5">
      <c r="S209" s="37">
        <f t="shared" si="5"/>
        <v>472.93538190822369</v>
      </c>
      <c r="U209" s="26">
        <f t="shared" si="4"/>
        <v>-25</v>
      </c>
    </row>
    <row r="210" spans="19:21" ht="14.65" thickBot="1" x14ac:dyDescent="0.5">
      <c r="S210" s="37">
        <f t="shared" si="5"/>
        <v>477.66473572730592</v>
      </c>
      <c r="U210" s="26">
        <f t="shared" ref="U210:U273" si="6">IF(S210&lt;$D$8,$D$7-S210-$D$9,$D$7-$D$8-$D$9)</f>
        <v>-25</v>
      </c>
    </row>
    <row r="211" spans="19:21" ht="14.65" thickBot="1" x14ac:dyDescent="0.5">
      <c r="S211" s="37">
        <f t="shared" ref="S211:S274" si="7">S210*(1.01)</f>
        <v>482.441383084579</v>
      </c>
      <c r="U211" s="26">
        <f t="shared" si="6"/>
        <v>-25</v>
      </c>
    </row>
    <row r="212" spans="19:21" ht="14.65" thickBot="1" x14ac:dyDescent="0.5">
      <c r="S212" s="37">
        <f t="shared" si="7"/>
        <v>487.2657969154248</v>
      </c>
      <c r="U212" s="26">
        <f t="shared" si="6"/>
        <v>-25</v>
      </c>
    </row>
    <row r="213" spans="19:21" ht="14.65" thickBot="1" x14ac:dyDescent="0.5">
      <c r="S213" s="37">
        <f t="shared" si="7"/>
        <v>492.13845488457906</v>
      </c>
      <c r="U213" s="26">
        <f t="shared" si="6"/>
        <v>-25</v>
      </c>
    </row>
    <row r="214" spans="19:21" ht="14.65" thickBot="1" x14ac:dyDescent="0.5">
      <c r="S214" s="37">
        <f t="shared" si="7"/>
        <v>497.05983943342488</v>
      </c>
      <c r="U214" s="26">
        <f t="shared" si="6"/>
        <v>-25</v>
      </c>
    </row>
    <row r="215" spans="19:21" ht="14.65" thickBot="1" x14ac:dyDescent="0.5">
      <c r="S215" s="37">
        <f t="shared" si="7"/>
        <v>502.03043782775916</v>
      </c>
      <c r="U215" s="26">
        <f t="shared" si="6"/>
        <v>-25</v>
      </c>
    </row>
    <row r="216" spans="19:21" ht="14.65" thickBot="1" x14ac:dyDescent="0.5">
      <c r="S216" s="37">
        <f t="shared" si="7"/>
        <v>507.05074220603677</v>
      </c>
      <c r="U216" s="26">
        <f t="shared" si="6"/>
        <v>-25</v>
      </c>
    </row>
    <row r="217" spans="19:21" ht="14.65" thickBot="1" x14ac:dyDescent="0.5">
      <c r="S217" s="37">
        <f t="shared" si="7"/>
        <v>512.12124962809719</v>
      </c>
      <c r="U217" s="26">
        <f t="shared" si="6"/>
        <v>-25</v>
      </c>
    </row>
    <row r="218" spans="19:21" ht="14.65" thickBot="1" x14ac:dyDescent="0.5">
      <c r="S218" s="37">
        <f t="shared" si="7"/>
        <v>517.24246212437822</v>
      </c>
      <c r="U218" s="26">
        <f t="shared" si="6"/>
        <v>-25</v>
      </c>
    </row>
    <row r="219" spans="19:21" ht="14.65" thickBot="1" x14ac:dyDescent="0.5">
      <c r="S219" s="37">
        <f t="shared" si="7"/>
        <v>522.41488674562197</v>
      </c>
      <c r="U219" s="26">
        <f t="shared" si="6"/>
        <v>-25</v>
      </c>
    </row>
    <row r="220" spans="19:21" ht="14.65" thickBot="1" x14ac:dyDescent="0.5">
      <c r="S220" s="37">
        <f t="shared" si="7"/>
        <v>527.63903561307825</v>
      </c>
      <c r="U220" s="26">
        <f t="shared" si="6"/>
        <v>-25</v>
      </c>
    </row>
    <row r="221" spans="19:21" ht="14.65" thickBot="1" x14ac:dyDescent="0.5">
      <c r="S221" s="37">
        <f t="shared" si="7"/>
        <v>532.91542596920908</v>
      </c>
      <c r="U221" s="26">
        <f t="shared" si="6"/>
        <v>-25</v>
      </c>
    </row>
    <row r="222" spans="19:21" ht="14.65" thickBot="1" x14ac:dyDescent="0.5">
      <c r="S222" s="37">
        <f t="shared" si="7"/>
        <v>538.24458022890121</v>
      </c>
      <c r="U222" s="26">
        <f t="shared" si="6"/>
        <v>-25</v>
      </c>
    </row>
    <row r="223" spans="19:21" ht="14.65" thickBot="1" x14ac:dyDescent="0.5">
      <c r="S223" s="37">
        <f t="shared" si="7"/>
        <v>543.62702603119021</v>
      </c>
      <c r="U223" s="26">
        <f t="shared" si="6"/>
        <v>-25</v>
      </c>
    </row>
    <row r="224" spans="19:21" ht="14.65" thickBot="1" x14ac:dyDescent="0.5">
      <c r="S224" s="37">
        <f t="shared" si="7"/>
        <v>549.06329629150207</v>
      </c>
      <c r="U224" s="26">
        <f t="shared" si="6"/>
        <v>-25</v>
      </c>
    </row>
    <row r="225" spans="19:21" ht="14.65" thickBot="1" x14ac:dyDescent="0.5">
      <c r="S225" s="37">
        <f t="shared" si="7"/>
        <v>554.55392925441708</v>
      </c>
      <c r="U225" s="26">
        <f t="shared" si="6"/>
        <v>-25</v>
      </c>
    </row>
    <row r="226" spans="19:21" ht="14.65" thickBot="1" x14ac:dyDescent="0.5">
      <c r="S226" s="37">
        <f t="shared" si="7"/>
        <v>560.09946854696125</v>
      </c>
      <c r="U226" s="26">
        <f t="shared" si="6"/>
        <v>-25</v>
      </c>
    </row>
    <row r="227" spans="19:21" ht="14.65" thickBot="1" x14ac:dyDescent="0.5">
      <c r="S227" s="37">
        <f t="shared" si="7"/>
        <v>565.70046323243082</v>
      </c>
      <c r="U227" s="26">
        <f t="shared" si="6"/>
        <v>-25</v>
      </c>
    </row>
    <row r="228" spans="19:21" ht="14.65" thickBot="1" x14ac:dyDescent="0.5">
      <c r="S228" s="37">
        <f t="shared" si="7"/>
        <v>571.35746786475511</v>
      </c>
      <c r="U228" s="26">
        <f t="shared" si="6"/>
        <v>-25</v>
      </c>
    </row>
    <row r="229" spans="19:21" ht="14.65" thickBot="1" x14ac:dyDescent="0.5">
      <c r="S229" s="37">
        <f t="shared" si="7"/>
        <v>577.07104254340265</v>
      </c>
      <c r="U229" s="26">
        <f t="shared" si="6"/>
        <v>-25</v>
      </c>
    </row>
    <row r="230" spans="19:21" ht="14.65" thickBot="1" x14ac:dyDescent="0.5">
      <c r="S230" s="37">
        <f t="shared" si="7"/>
        <v>582.84175296883666</v>
      </c>
      <c r="U230" s="26">
        <f t="shared" si="6"/>
        <v>-25</v>
      </c>
    </row>
    <row r="231" spans="19:21" ht="14.65" thickBot="1" x14ac:dyDescent="0.5">
      <c r="S231" s="37">
        <f t="shared" si="7"/>
        <v>588.67017049852507</v>
      </c>
      <c r="U231" s="26">
        <f t="shared" si="6"/>
        <v>-25</v>
      </c>
    </row>
    <row r="232" spans="19:21" ht="14.65" thickBot="1" x14ac:dyDescent="0.5">
      <c r="S232" s="37">
        <f t="shared" si="7"/>
        <v>594.55687220351035</v>
      </c>
      <c r="U232" s="26">
        <f t="shared" si="6"/>
        <v>-25</v>
      </c>
    </row>
    <row r="233" spans="19:21" ht="14.65" thickBot="1" x14ac:dyDescent="0.5">
      <c r="S233" s="37">
        <f t="shared" si="7"/>
        <v>600.50244092554544</v>
      </c>
      <c r="U233" s="26">
        <f t="shared" si="6"/>
        <v>-25</v>
      </c>
    </row>
    <row r="234" spans="19:21" ht="14.65" thickBot="1" x14ac:dyDescent="0.5">
      <c r="S234" s="37">
        <f t="shared" si="7"/>
        <v>606.50746533480094</v>
      </c>
      <c r="U234" s="26">
        <f t="shared" si="6"/>
        <v>-25</v>
      </c>
    </row>
    <row r="235" spans="19:21" ht="14.65" thickBot="1" x14ac:dyDescent="0.5">
      <c r="S235" s="37">
        <f t="shared" si="7"/>
        <v>612.57253998814895</v>
      </c>
      <c r="U235" s="26">
        <f t="shared" si="6"/>
        <v>-25</v>
      </c>
    </row>
    <row r="236" spans="19:21" ht="14.65" thickBot="1" x14ac:dyDescent="0.5">
      <c r="S236" s="37">
        <f t="shared" si="7"/>
        <v>618.69826538803045</v>
      </c>
      <c r="U236" s="26">
        <f t="shared" si="6"/>
        <v>-25</v>
      </c>
    </row>
    <row r="237" spans="19:21" ht="14.65" thickBot="1" x14ac:dyDescent="0.5">
      <c r="S237" s="37">
        <f t="shared" si="7"/>
        <v>624.88524804191081</v>
      </c>
      <c r="U237" s="26">
        <f t="shared" si="6"/>
        <v>-25</v>
      </c>
    </row>
    <row r="238" spans="19:21" ht="14.65" thickBot="1" x14ac:dyDescent="0.5">
      <c r="S238" s="37">
        <f t="shared" si="7"/>
        <v>631.13410052232996</v>
      </c>
      <c r="U238" s="26">
        <f t="shared" si="6"/>
        <v>-25</v>
      </c>
    </row>
    <row r="239" spans="19:21" ht="14.65" thickBot="1" x14ac:dyDescent="0.5">
      <c r="S239" s="37">
        <f t="shared" si="7"/>
        <v>637.44544152755327</v>
      </c>
      <c r="U239" s="26">
        <f t="shared" si="6"/>
        <v>-25</v>
      </c>
    </row>
    <row r="240" spans="19:21" ht="14.65" thickBot="1" x14ac:dyDescent="0.5">
      <c r="S240" s="37">
        <f t="shared" si="7"/>
        <v>643.81989594282879</v>
      </c>
      <c r="U240" s="26">
        <f t="shared" si="6"/>
        <v>-25</v>
      </c>
    </row>
    <row r="241" spans="19:21" ht="14.65" thickBot="1" x14ac:dyDescent="0.5">
      <c r="S241" s="37">
        <f t="shared" si="7"/>
        <v>650.25809490225708</v>
      </c>
      <c r="U241" s="26">
        <f t="shared" si="6"/>
        <v>-25</v>
      </c>
    </row>
    <row r="242" spans="19:21" ht="14.65" thickBot="1" x14ac:dyDescent="0.5">
      <c r="S242" s="37">
        <f t="shared" si="7"/>
        <v>656.76067585127964</v>
      </c>
      <c r="U242" s="26">
        <f t="shared" si="6"/>
        <v>-25</v>
      </c>
    </row>
    <row r="243" spans="19:21" ht="14.65" thickBot="1" x14ac:dyDescent="0.5">
      <c r="S243" s="37">
        <f t="shared" si="7"/>
        <v>663.3282826097925</v>
      </c>
      <c r="U243" s="26">
        <f t="shared" si="6"/>
        <v>-25</v>
      </c>
    </row>
    <row r="244" spans="19:21" ht="14.65" thickBot="1" x14ac:dyDescent="0.5">
      <c r="S244" s="37">
        <f t="shared" si="7"/>
        <v>669.96156543589041</v>
      </c>
      <c r="U244" s="26">
        <f t="shared" si="6"/>
        <v>-25</v>
      </c>
    </row>
    <row r="245" spans="19:21" ht="14.65" thickBot="1" x14ac:dyDescent="0.5">
      <c r="S245" s="37">
        <f t="shared" si="7"/>
        <v>676.66118109024933</v>
      </c>
      <c r="U245" s="26">
        <f t="shared" si="6"/>
        <v>-25</v>
      </c>
    </row>
    <row r="246" spans="19:21" ht="14.65" thickBot="1" x14ac:dyDescent="0.5">
      <c r="S246" s="37">
        <f t="shared" si="7"/>
        <v>683.42779290115186</v>
      </c>
      <c r="U246" s="26">
        <f t="shared" si="6"/>
        <v>-25</v>
      </c>
    </row>
    <row r="247" spans="19:21" ht="14.65" thickBot="1" x14ac:dyDescent="0.5">
      <c r="S247" s="37">
        <f t="shared" si="7"/>
        <v>690.26207083016334</v>
      </c>
      <c r="U247" s="26">
        <f t="shared" si="6"/>
        <v>-25</v>
      </c>
    </row>
    <row r="248" spans="19:21" ht="14.65" thickBot="1" x14ac:dyDescent="0.5">
      <c r="S248" s="37">
        <f t="shared" si="7"/>
        <v>697.16469153846492</v>
      </c>
      <c r="U248" s="26">
        <f t="shared" si="6"/>
        <v>-25</v>
      </c>
    </row>
    <row r="249" spans="19:21" ht="14.65" thickBot="1" x14ac:dyDescent="0.5">
      <c r="S249" s="37">
        <f t="shared" si="7"/>
        <v>704.13633845384959</v>
      </c>
      <c r="U249" s="26">
        <f t="shared" si="6"/>
        <v>-25</v>
      </c>
    </row>
    <row r="250" spans="19:21" ht="14.65" thickBot="1" x14ac:dyDescent="0.5">
      <c r="S250" s="37">
        <f t="shared" si="7"/>
        <v>711.17770183838809</v>
      </c>
      <c r="U250" s="26">
        <f t="shared" si="6"/>
        <v>-25</v>
      </c>
    </row>
    <row r="251" spans="19:21" ht="14.65" thickBot="1" x14ac:dyDescent="0.5">
      <c r="S251" s="37">
        <f t="shared" si="7"/>
        <v>718.28947885677201</v>
      </c>
      <c r="U251" s="26">
        <f t="shared" si="6"/>
        <v>-25</v>
      </c>
    </row>
    <row r="252" spans="19:21" ht="14.65" thickBot="1" x14ac:dyDescent="0.5">
      <c r="S252" s="37">
        <f t="shared" si="7"/>
        <v>725.47237364533976</v>
      </c>
      <c r="U252" s="26">
        <f t="shared" si="6"/>
        <v>-25</v>
      </c>
    </row>
    <row r="253" spans="19:21" ht="14.65" thickBot="1" x14ac:dyDescent="0.5">
      <c r="S253" s="37">
        <f t="shared" si="7"/>
        <v>732.72709738179321</v>
      </c>
      <c r="U253" s="26">
        <f t="shared" si="6"/>
        <v>-25</v>
      </c>
    </row>
    <row r="254" spans="19:21" ht="14.65" thickBot="1" x14ac:dyDescent="0.5">
      <c r="S254" s="37">
        <f t="shared" si="7"/>
        <v>740.05436835561113</v>
      </c>
      <c r="U254" s="26">
        <f t="shared" si="6"/>
        <v>-25</v>
      </c>
    </row>
    <row r="255" spans="19:21" ht="14.65" thickBot="1" x14ac:dyDescent="0.5">
      <c r="S255" s="37">
        <f t="shared" si="7"/>
        <v>747.4549120391672</v>
      </c>
      <c r="U255" s="26">
        <f t="shared" si="6"/>
        <v>-25</v>
      </c>
    </row>
    <row r="256" spans="19:21" ht="14.65" thickBot="1" x14ac:dyDescent="0.5">
      <c r="S256" s="37">
        <f t="shared" si="7"/>
        <v>754.92946115955885</v>
      </c>
      <c r="U256" s="26">
        <f t="shared" si="6"/>
        <v>-25</v>
      </c>
    </row>
    <row r="257" spans="19:21" ht="14.65" thickBot="1" x14ac:dyDescent="0.5">
      <c r="S257" s="37">
        <f t="shared" si="7"/>
        <v>762.4787557711544</v>
      </c>
      <c r="U257" s="26">
        <f t="shared" si="6"/>
        <v>-25</v>
      </c>
    </row>
    <row r="258" spans="19:21" ht="14.65" thickBot="1" x14ac:dyDescent="0.5">
      <c r="S258" s="37">
        <f t="shared" si="7"/>
        <v>770.10354332886595</v>
      </c>
      <c r="U258" s="26">
        <f t="shared" si="6"/>
        <v>-25</v>
      </c>
    </row>
    <row r="259" spans="19:21" ht="14.65" thickBot="1" x14ac:dyDescent="0.5">
      <c r="S259" s="37">
        <f t="shared" si="7"/>
        <v>777.80457876215462</v>
      </c>
      <c r="U259" s="26">
        <f t="shared" si="6"/>
        <v>-25</v>
      </c>
    </row>
    <row r="260" spans="19:21" ht="14.65" thickBot="1" x14ac:dyDescent="0.5">
      <c r="S260" s="37">
        <f t="shared" si="7"/>
        <v>785.58262454977614</v>
      </c>
      <c r="U260" s="26">
        <f t="shared" si="6"/>
        <v>-25</v>
      </c>
    </row>
    <row r="261" spans="19:21" ht="14.65" thickBot="1" x14ac:dyDescent="0.5">
      <c r="S261" s="37">
        <f t="shared" si="7"/>
        <v>793.43845079527387</v>
      </c>
      <c r="U261" s="26">
        <f t="shared" si="6"/>
        <v>-25</v>
      </c>
    </row>
    <row r="262" spans="19:21" ht="14.65" thickBot="1" x14ac:dyDescent="0.5">
      <c r="S262" s="37">
        <f t="shared" si="7"/>
        <v>801.37283530322657</v>
      </c>
      <c r="U262" s="26">
        <f t="shared" si="6"/>
        <v>-25</v>
      </c>
    </row>
    <row r="263" spans="19:21" ht="14.65" thickBot="1" x14ac:dyDescent="0.5">
      <c r="S263" s="37">
        <f t="shared" si="7"/>
        <v>809.38656365625889</v>
      </c>
      <c r="U263" s="26">
        <f t="shared" si="6"/>
        <v>-25</v>
      </c>
    </row>
    <row r="264" spans="19:21" ht="14.65" thickBot="1" x14ac:dyDescent="0.5">
      <c r="S264" s="37">
        <f t="shared" si="7"/>
        <v>817.48042929282144</v>
      </c>
      <c r="U264" s="26">
        <f t="shared" si="6"/>
        <v>-25</v>
      </c>
    </row>
    <row r="265" spans="19:21" ht="14.65" thickBot="1" x14ac:dyDescent="0.5">
      <c r="S265" s="37">
        <f t="shared" si="7"/>
        <v>825.65523358574967</v>
      </c>
      <c r="U265" s="26">
        <f t="shared" si="6"/>
        <v>-25</v>
      </c>
    </row>
    <row r="266" spans="19:21" ht="14.65" thickBot="1" x14ac:dyDescent="0.5">
      <c r="S266" s="37">
        <f t="shared" si="7"/>
        <v>833.91178592160713</v>
      </c>
      <c r="U266" s="26">
        <f t="shared" si="6"/>
        <v>-25</v>
      </c>
    </row>
    <row r="267" spans="19:21" ht="14.65" thickBot="1" x14ac:dyDescent="0.5">
      <c r="S267" s="37">
        <f t="shared" si="7"/>
        <v>842.25090378082325</v>
      </c>
      <c r="U267" s="26">
        <f t="shared" si="6"/>
        <v>-25</v>
      </c>
    </row>
    <row r="268" spans="19:21" ht="14.65" thickBot="1" x14ac:dyDescent="0.5">
      <c r="S268" s="37">
        <f t="shared" si="7"/>
        <v>850.6734128186315</v>
      </c>
      <c r="U268" s="26">
        <f t="shared" si="6"/>
        <v>-25</v>
      </c>
    </row>
    <row r="269" spans="19:21" ht="14.65" thickBot="1" x14ac:dyDescent="0.5">
      <c r="S269" s="37">
        <f t="shared" si="7"/>
        <v>859.18014694681779</v>
      </c>
      <c r="U269" s="26">
        <f t="shared" si="6"/>
        <v>-25</v>
      </c>
    </row>
    <row r="270" spans="19:21" ht="14.65" thickBot="1" x14ac:dyDescent="0.5">
      <c r="S270" s="37">
        <f t="shared" si="7"/>
        <v>867.77194841628602</v>
      </c>
      <c r="U270" s="26">
        <f t="shared" si="6"/>
        <v>-25</v>
      </c>
    </row>
    <row r="271" spans="19:21" ht="14.65" thickBot="1" x14ac:dyDescent="0.5">
      <c r="S271" s="37">
        <f t="shared" si="7"/>
        <v>876.44966790044884</v>
      </c>
      <c r="U271" s="26">
        <f t="shared" si="6"/>
        <v>-25</v>
      </c>
    </row>
    <row r="272" spans="19:21" ht="14.65" thickBot="1" x14ac:dyDescent="0.5">
      <c r="S272" s="37">
        <f t="shared" si="7"/>
        <v>885.21416457945338</v>
      </c>
      <c r="U272" s="26">
        <f t="shared" si="6"/>
        <v>-25</v>
      </c>
    </row>
    <row r="273" spans="19:21" ht="14.65" thickBot="1" x14ac:dyDescent="0.5">
      <c r="S273" s="37">
        <f t="shared" si="7"/>
        <v>894.0663062252479</v>
      </c>
      <c r="U273" s="26">
        <f t="shared" si="6"/>
        <v>-25</v>
      </c>
    </row>
    <row r="274" spans="19:21" ht="14.65" thickBot="1" x14ac:dyDescent="0.5">
      <c r="S274" s="37">
        <f t="shared" si="7"/>
        <v>903.0069692875004</v>
      </c>
      <c r="U274" s="26">
        <f t="shared" ref="U274:U337" si="8">IF(S274&lt;$D$8,$D$7-S274-$D$9,$D$7-$D$8-$D$9)</f>
        <v>-25</v>
      </c>
    </row>
    <row r="275" spans="19:21" ht="14.65" thickBot="1" x14ac:dyDescent="0.5">
      <c r="S275" s="37">
        <f t="shared" ref="S275:S338" si="9">S274*(1.01)</f>
        <v>912.03703898037543</v>
      </c>
      <c r="U275" s="26">
        <f t="shared" si="8"/>
        <v>-25</v>
      </c>
    </row>
    <row r="276" spans="19:21" ht="14.65" thickBot="1" x14ac:dyDescent="0.5">
      <c r="S276" s="37">
        <f t="shared" si="9"/>
        <v>921.15740937017915</v>
      </c>
      <c r="U276" s="26">
        <f t="shared" si="8"/>
        <v>-25</v>
      </c>
    </row>
    <row r="277" spans="19:21" ht="14.65" thickBot="1" x14ac:dyDescent="0.5">
      <c r="S277" s="37">
        <f t="shared" si="9"/>
        <v>930.36898346388091</v>
      </c>
      <c r="U277" s="26">
        <f t="shared" si="8"/>
        <v>-25</v>
      </c>
    </row>
    <row r="278" spans="19:21" ht="14.65" thickBot="1" x14ac:dyDescent="0.5">
      <c r="S278" s="37">
        <f t="shared" si="9"/>
        <v>939.67267329851973</v>
      </c>
      <c r="U278" s="26">
        <f t="shared" si="8"/>
        <v>-25</v>
      </c>
    </row>
    <row r="279" spans="19:21" ht="14.65" thickBot="1" x14ac:dyDescent="0.5">
      <c r="S279" s="37">
        <f t="shared" si="9"/>
        <v>949.06940003150498</v>
      </c>
      <c r="U279" s="26">
        <f t="shared" si="8"/>
        <v>-25</v>
      </c>
    </row>
    <row r="280" spans="19:21" ht="14.65" thickBot="1" x14ac:dyDescent="0.5">
      <c r="S280" s="37">
        <f t="shared" si="9"/>
        <v>958.56009403182009</v>
      </c>
      <c r="U280" s="26">
        <f t="shared" si="8"/>
        <v>-25</v>
      </c>
    </row>
    <row r="281" spans="19:21" ht="14.65" thickBot="1" x14ac:dyDescent="0.5">
      <c r="S281" s="37">
        <f t="shared" si="9"/>
        <v>968.14569497213824</v>
      </c>
      <c r="U281" s="26">
        <f t="shared" si="8"/>
        <v>-25</v>
      </c>
    </row>
    <row r="282" spans="19:21" ht="14.65" thickBot="1" x14ac:dyDescent="0.5">
      <c r="S282" s="37">
        <f t="shared" si="9"/>
        <v>977.82715192185958</v>
      </c>
      <c r="U282" s="26">
        <f t="shared" si="8"/>
        <v>-25</v>
      </c>
    </row>
    <row r="283" spans="19:21" ht="14.65" thickBot="1" x14ac:dyDescent="0.5">
      <c r="S283" s="37">
        <f t="shared" si="9"/>
        <v>987.60542344107819</v>
      </c>
      <c r="U283" s="26">
        <f t="shared" si="8"/>
        <v>-25</v>
      </c>
    </row>
    <row r="284" spans="19:21" ht="14.65" thickBot="1" x14ac:dyDescent="0.5">
      <c r="S284" s="37">
        <f t="shared" si="9"/>
        <v>997.48147767548903</v>
      </c>
      <c r="U284" s="26">
        <f t="shared" si="8"/>
        <v>-25</v>
      </c>
    </row>
    <row r="285" spans="19:21" ht="14.65" thickBot="1" x14ac:dyDescent="0.5">
      <c r="S285" s="37">
        <f t="shared" si="9"/>
        <v>1007.4562924522439</v>
      </c>
      <c r="U285" s="26">
        <f t="shared" si="8"/>
        <v>-25</v>
      </c>
    </row>
    <row r="286" spans="19:21" ht="14.65" thickBot="1" x14ac:dyDescent="0.5">
      <c r="S286" s="37">
        <f t="shared" si="9"/>
        <v>1017.5308553767663</v>
      </c>
      <c r="U286" s="26">
        <f t="shared" si="8"/>
        <v>-25</v>
      </c>
    </row>
    <row r="287" spans="19:21" ht="14.65" thickBot="1" x14ac:dyDescent="0.5">
      <c r="S287" s="37">
        <f t="shared" si="9"/>
        <v>1027.7061639305341</v>
      </c>
      <c r="U287" s="26">
        <f t="shared" si="8"/>
        <v>-25</v>
      </c>
    </row>
    <row r="288" spans="19:21" ht="14.65" thickBot="1" x14ac:dyDescent="0.5">
      <c r="S288" s="37">
        <f t="shared" si="9"/>
        <v>1037.9832255698395</v>
      </c>
      <c r="U288" s="26">
        <f t="shared" si="8"/>
        <v>-25</v>
      </c>
    </row>
    <row r="289" spans="19:21" ht="14.65" thickBot="1" x14ac:dyDescent="0.5">
      <c r="S289" s="37">
        <f t="shared" si="9"/>
        <v>1048.3630578255379</v>
      </c>
      <c r="U289" s="26">
        <f t="shared" si="8"/>
        <v>-25</v>
      </c>
    </row>
    <row r="290" spans="19:21" ht="14.65" thickBot="1" x14ac:dyDescent="0.5">
      <c r="S290" s="37">
        <f t="shared" si="9"/>
        <v>1058.8466884037932</v>
      </c>
      <c r="U290" s="26">
        <f t="shared" si="8"/>
        <v>-25</v>
      </c>
    </row>
    <row r="291" spans="19:21" ht="14.65" thickBot="1" x14ac:dyDescent="0.5">
      <c r="S291" s="37">
        <f t="shared" si="9"/>
        <v>1069.4351552878311</v>
      </c>
      <c r="U291" s="26">
        <f t="shared" si="8"/>
        <v>-25</v>
      </c>
    </row>
    <row r="292" spans="19:21" ht="14.65" thickBot="1" x14ac:dyDescent="0.5">
      <c r="S292" s="37">
        <f t="shared" si="9"/>
        <v>1080.1295068407094</v>
      </c>
      <c r="U292" s="26">
        <f t="shared" si="8"/>
        <v>-25</v>
      </c>
    </row>
    <row r="293" spans="19:21" ht="14.65" thickBot="1" x14ac:dyDescent="0.5">
      <c r="S293" s="37">
        <f t="shared" si="9"/>
        <v>1090.9308019091166</v>
      </c>
      <c r="U293" s="26">
        <f t="shared" si="8"/>
        <v>-25</v>
      </c>
    </row>
    <row r="294" spans="19:21" ht="14.65" thickBot="1" x14ac:dyDescent="0.5">
      <c r="S294" s="37">
        <f t="shared" si="9"/>
        <v>1101.8401099282078</v>
      </c>
      <c r="U294" s="26">
        <f t="shared" si="8"/>
        <v>-25</v>
      </c>
    </row>
    <row r="295" spans="19:21" ht="14.65" thickBot="1" x14ac:dyDescent="0.5">
      <c r="S295" s="37">
        <f t="shared" si="9"/>
        <v>1112.8585110274898</v>
      </c>
      <c r="U295" s="26">
        <f t="shared" si="8"/>
        <v>-25</v>
      </c>
    </row>
    <row r="296" spans="19:21" ht="14.65" thickBot="1" x14ac:dyDescent="0.5">
      <c r="S296" s="37">
        <f t="shared" si="9"/>
        <v>1123.9870961377646</v>
      </c>
      <c r="U296" s="26">
        <f t="shared" si="8"/>
        <v>-25</v>
      </c>
    </row>
    <row r="297" spans="19:21" ht="14.65" thickBot="1" x14ac:dyDescent="0.5">
      <c r="S297" s="37">
        <f t="shared" si="9"/>
        <v>1135.2269670991423</v>
      </c>
      <c r="U297" s="26">
        <f t="shared" si="8"/>
        <v>-25</v>
      </c>
    </row>
    <row r="298" spans="19:21" ht="14.65" thickBot="1" x14ac:dyDescent="0.5">
      <c r="S298" s="37">
        <f t="shared" si="9"/>
        <v>1146.5792367701338</v>
      </c>
      <c r="U298" s="26">
        <f t="shared" si="8"/>
        <v>-25</v>
      </c>
    </row>
    <row r="299" spans="19:21" ht="14.65" thickBot="1" x14ac:dyDescent="0.5">
      <c r="S299" s="37">
        <f t="shared" si="9"/>
        <v>1158.0450291378352</v>
      </c>
      <c r="U299" s="26">
        <f t="shared" si="8"/>
        <v>-25</v>
      </c>
    </row>
    <row r="300" spans="19:21" ht="14.65" thickBot="1" x14ac:dyDescent="0.5">
      <c r="S300" s="37">
        <f t="shared" si="9"/>
        <v>1169.6254794292136</v>
      </c>
      <c r="U300" s="26">
        <f t="shared" si="8"/>
        <v>-25</v>
      </c>
    </row>
    <row r="301" spans="19:21" ht="14.65" thickBot="1" x14ac:dyDescent="0.5">
      <c r="S301" s="37">
        <f t="shared" si="9"/>
        <v>1181.3217342235057</v>
      </c>
      <c r="U301" s="26">
        <f t="shared" si="8"/>
        <v>-25</v>
      </c>
    </row>
    <row r="302" spans="19:21" ht="14.65" thickBot="1" x14ac:dyDescent="0.5">
      <c r="S302" s="37">
        <f t="shared" si="9"/>
        <v>1193.1349515657407</v>
      </c>
      <c r="U302" s="26">
        <f t="shared" si="8"/>
        <v>-25</v>
      </c>
    </row>
    <row r="303" spans="19:21" ht="14.65" thickBot="1" x14ac:dyDescent="0.5">
      <c r="S303" s="37">
        <f t="shared" si="9"/>
        <v>1205.0663010813983</v>
      </c>
      <c r="U303" s="26">
        <f t="shared" si="8"/>
        <v>-25</v>
      </c>
    </row>
    <row r="304" spans="19:21" ht="14.65" thickBot="1" x14ac:dyDescent="0.5">
      <c r="S304" s="37">
        <f t="shared" si="9"/>
        <v>1217.1169640922124</v>
      </c>
      <c r="U304" s="26">
        <f t="shared" si="8"/>
        <v>-25</v>
      </c>
    </row>
    <row r="305" spans="19:21" ht="14.65" thickBot="1" x14ac:dyDescent="0.5">
      <c r="S305" s="37">
        <f t="shared" si="9"/>
        <v>1229.2881337331346</v>
      </c>
      <c r="U305" s="26">
        <f t="shared" si="8"/>
        <v>-25</v>
      </c>
    </row>
    <row r="306" spans="19:21" ht="14.65" thickBot="1" x14ac:dyDescent="0.5">
      <c r="S306" s="37">
        <f t="shared" si="9"/>
        <v>1241.581015070466</v>
      </c>
      <c r="U306" s="26">
        <f t="shared" si="8"/>
        <v>-25</v>
      </c>
    </row>
    <row r="307" spans="19:21" ht="14.65" thickBot="1" x14ac:dyDescent="0.5">
      <c r="S307" s="37">
        <f t="shared" si="9"/>
        <v>1253.9968252211706</v>
      </c>
      <c r="U307" s="26">
        <f t="shared" si="8"/>
        <v>-25</v>
      </c>
    </row>
    <row r="308" spans="19:21" ht="14.65" thickBot="1" x14ac:dyDescent="0.5">
      <c r="S308" s="37">
        <f t="shared" si="9"/>
        <v>1266.5367934733824</v>
      </c>
      <c r="U308" s="26">
        <f t="shared" si="8"/>
        <v>-25</v>
      </c>
    </row>
    <row r="309" spans="19:21" ht="14.65" thickBot="1" x14ac:dyDescent="0.5">
      <c r="S309" s="37">
        <f t="shared" si="9"/>
        <v>1279.2021614081164</v>
      </c>
      <c r="U309" s="26">
        <f t="shared" si="8"/>
        <v>-25</v>
      </c>
    </row>
    <row r="310" spans="19:21" ht="14.65" thickBot="1" x14ac:dyDescent="0.5">
      <c r="S310" s="37">
        <f t="shared" si="9"/>
        <v>1291.9941830221976</v>
      </c>
      <c r="U310" s="26">
        <f t="shared" si="8"/>
        <v>-25</v>
      </c>
    </row>
    <row r="311" spans="19:21" ht="14.65" thickBot="1" x14ac:dyDescent="0.5">
      <c r="S311" s="37">
        <f t="shared" si="9"/>
        <v>1304.9141248524195</v>
      </c>
      <c r="U311" s="26">
        <f t="shared" si="8"/>
        <v>-25</v>
      </c>
    </row>
    <row r="312" spans="19:21" ht="14.65" thickBot="1" x14ac:dyDescent="0.5">
      <c r="S312" s="37">
        <f t="shared" si="9"/>
        <v>1317.9632661009437</v>
      </c>
      <c r="U312" s="26">
        <f t="shared" si="8"/>
        <v>-25</v>
      </c>
    </row>
    <row r="313" spans="19:21" ht="14.65" thickBot="1" x14ac:dyDescent="0.5">
      <c r="S313" s="37">
        <f t="shared" si="9"/>
        <v>1331.1428987619531</v>
      </c>
      <c r="U313" s="26">
        <f t="shared" si="8"/>
        <v>-25</v>
      </c>
    </row>
    <row r="314" spans="19:21" ht="14.65" thickBot="1" x14ac:dyDescent="0.5">
      <c r="S314" s="37">
        <f t="shared" si="9"/>
        <v>1344.4543277495727</v>
      </c>
      <c r="U314" s="26">
        <f t="shared" si="8"/>
        <v>-25</v>
      </c>
    </row>
    <row r="315" spans="19:21" ht="14.65" thickBot="1" x14ac:dyDescent="0.5">
      <c r="S315" s="37">
        <f t="shared" si="9"/>
        <v>1357.8988710270685</v>
      </c>
      <c r="U315" s="26">
        <f t="shared" si="8"/>
        <v>-25</v>
      </c>
    </row>
    <row r="316" spans="19:21" ht="14.65" thickBot="1" x14ac:dyDescent="0.5">
      <c r="S316" s="37">
        <f t="shared" si="9"/>
        <v>1371.4778597373393</v>
      </c>
      <c r="U316" s="26">
        <f t="shared" si="8"/>
        <v>-25</v>
      </c>
    </row>
    <row r="317" spans="19:21" ht="14.65" thickBot="1" x14ac:dyDescent="0.5">
      <c r="S317" s="37">
        <f t="shared" si="9"/>
        <v>1385.1926383347127</v>
      </c>
      <c r="U317" s="26">
        <f t="shared" si="8"/>
        <v>-25</v>
      </c>
    </row>
    <row r="318" spans="19:21" ht="14.65" thickBot="1" x14ac:dyDescent="0.5">
      <c r="S318" s="37">
        <f t="shared" si="9"/>
        <v>1399.0445647180597</v>
      </c>
      <c r="U318" s="26">
        <f t="shared" si="8"/>
        <v>-25</v>
      </c>
    </row>
    <row r="319" spans="19:21" ht="14.65" thickBot="1" x14ac:dyDescent="0.5">
      <c r="S319" s="37">
        <f t="shared" si="9"/>
        <v>1413.0350103652404</v>
      </c>
      <c r="U319" s="26">
        <f t="shared" si="8"/>
        <v>-25</v>
      </c>
    </row>
    <row r="320" spans="19:21" ht="14.65" thickBot="1" x14ac:dyDescent="0.5">
      <c r="S320" s="37">
        <f t="shared" si="9"/>
        <v>1427.1653604688929</v>
      </c>
      <c r="U320" s="26">
        <f t="shared" si="8"/>
        <v>-25</v>
      </c>
    </row>
    <row r="321" spans="19:21" ht="14.65" thickBot="1" x14ac:dyDescent="0.5">
      <c r="S321" s="37">
        <f t="shared" si="9"/>
        <v>1441.4370140735818</v>
      </c>
      <c r="U321" s="26">
        <f t="shared" si="8"/>
        <v>-25</v>
      </c>
    </row>
    <row r="322" spans="19:21" ht="14.65" thickBot="1" x14ac:dyDescent="0.5">
      <c r="S322" s="37">
        <f t="shared" si="9"/>
        <v>1455.8513842143177</v>
      </c>
      <c r="U322" s="26">
        <f t="shared" si="8"/>
        <v>-25</v>
      </c>
    </row>
    <row r="323" spans="19:21" ht="14.65" thickBot="1" x14ac:dyDescent="0.5">
      <c r="S323" s="37">
        <f t="shared" si="9"/>
        <v>1470.4098980564609</v>
      </c>
      <c r="U323" s="26">
        <f t="shared" si="8"/>
        <v>-25</v>
      </c>
    </row>
    <row r="324" spans="19:21" ht="14.65" thickBot="1" x14ac:dyDescent="0.5">
      <c r="S324" s="37">
        <f t="shared" si="9"/>
        <v>1485.1139970370255</v>
      </c>
      <c r="U324" s="26">
        <f t="shared" si="8"/>
        <v>-25</v>
      </c>
    </row>
    <row r="325" spans="19:21" ht="14.65" thickBot="1" x14ac:dyDescent="0.5">
      <c r="S325" s="37">
        <f t="shared" si="9"/>
        <v>1499.9651370073957</v>
      </c>
      <c r="U325" s="26">
        <f t="shared" si="8"/>
        <v>-25</v>
      </c>
    </row>
    <row r="326" spans="19:21" ht="14.65" thickBot="1" x14ac:dyDescent="0.5">
      <c r="S326" s="37">
        <f t="shared" si="9"/>
        <v>1514.9647883774696</v>
      </c>
      <c r="U326" s="26">
        <f t="shared" si="8"/>
        <v>-25</v>
      </c>
    </row>
    <row r="327" spans="19:21" ht="14.65" thickBot="1" x14ac:dyDescent="0.5">
      <c r="S327" s="37">
        <f t="shared" si="9"/>
        <v>1530.1144362612442</v>
      </c>
      <c r="U327" s="26">
        <f t="shared" si="8"/>
        <v>-25</v>
      </c>
    </row>
    <row r="328" spans="19:21" ht="14.65" thickBot="1" x14ac:dyDescent="0.5">
      <c r="S328" s="37">
        <f t="shared" si="9"/>
        <v>1545.4155806238566</v>
      </c>
      <c r="U328" s="26">
        <f t="shared" si="8"/>
        <v>-25</v>
      </c>
    </row>
    <row r="329" spans="19:21" ht="14.65" thickBot="1" x14ac:dyDescent="0.5">
      <c r="S329" s="37">
        <f t="shared" si="9"/>
        <v>1560.8697364300951</v>
      </c>
      <c r="U329" s="26">
        <f t="shared" si="8"/>
        <v>-25</v>
      </c>
    </row>
    <row r="330" spans="19:21" ht="14.65" thickBot="1" x14ac:dyDescent="0.5">
      <c r="S330" s="37">
        <f t="shared" si="9"/>
        <v>1576.4784337943961</v>
      </c>
      <c r="U330" s="26">
        <f t="shared" si="8"/>
        <v>-25</v>
      </c>
    </row>
    <row r="331" spans="19:21" ht="14.65" thickBot="1" x14ac:dyDescent="0.5">
      <c r="S331" s="37">
        <f t="shared" si="9"/>
        <v>1592.24321813234</v>
      </c>
      <c r="U331" s="26">
        <f t="shared" si="8"/>
        <v>-25</v>
      </c>
    </row>
    <row r="332" spans="19:21" ht="14.65" thickBot="1" x14ac:dyDescent="0.5">
      <c r="S332" s="37">
        <f t="shared" si="9"/>
        <v>1608.1656503136633</v>
      </c>
      <c r="U332" s="26">
        <f t="shared" si="8"/>
        <v>-25</v>
      </c>
    </row>
    <row r="333" spans="19:21" ht="14.65" thickBot="1" x14ac:dyDescent="0.5">
      <c r="S333" s="37">
        <f t="shared" si="9"/>
        <v>1624.2473068167999</v>
      </c>
      <c r="U333" s="26">
        <f t="shared" si="8"/>
        <v>-25</v>
      </c>
    </row>
    <row r="334" spans="19:21" ht="14.65" thickBot="1" x14ac:dyDescent="0.5">
      <c r="S334" s="37">
        <f t="shared" si="9"/>
        <v>1640.4897798849679</v>
      </c>
      <c r="U334" s="26">
        <f t="shared" si="8"/>
        <v>-25</v>
      </c>
    </row>
    <row r="335" spans="19:21" ht="14.65" thickBot="1" x14ac:dyDescent="0.5">
      <c r="S335" s="37">
        <f t="shared" si="9"/>
        <v>1656.8946776838177</v>
      </c>
      <c r="U335" s="26">
        <f t="shared" si="8"/>
        <v>-25</v>
      </c>
    </row>
    <row r="336" spans="19:21" ht="14.65" thickBot="1" x14ac:dyDescent="0.5">
      <c r="S336" s="37">
        <f t="shared" si="9"/>
        <v>1673.4636244606559</v>
      </c>
      <c r="U336" s="26">
        <f t="shared" si="8"/>
        <v>-25</v>
      </c>
    </row>
    <row r="337" spans="19:21" ht="14.65" thickBot="1" x14ac:dyDescent="0.5">
      <c r="S337" s="37">
        <f t="shared" si="9"/>
        <v>1690.1982607052623</v>
      </c>
      <c r="U337" s="26">
        <f t="shared" si="8"/>
        <v>-25</v>
      </c>
    </row>
    <row r="338" spans="19:21" ht="14.65" thickBot="1" x14ac:dyDescent="0.5">
      <c r="S338" s="37">
        <f t="shared" si="9"/>
        <v>1707.1002433123149</v>
      </c>
      <c r="U338" s="26">
        <f t="shared" ref="U338:U401" si="10">IF(S338&lt;$D$8,$D$7-S338-$D$9,$D$7-$D$8-$D$9)</f>
        <v>-25</v>
      </c>
    </row>
    <row r="339" spans="19:21" ht="14.65" thickBot="1" x14ac:dyDescent="0.5">
      <c r="S339" s="37">
        <f t="shared" ref="S339:S402" si="11">S338*(1.01)</f>
        <v>1724.171245745438</v>
      </c>
      <c r="U339" s="26">
        <f t="shared" si="10"/>
        <v>-25</v>
      </c>
    </row>
    <row r="340" spans="19:21" ht="14.65" thickBot="1" x14ac:dyDescent="0.5">
      <c r="S340" s="37">
        <f t="shared" si="11"/>
        <v>1741.4129582028925</v>
      </c>
      <c r="U340" s="26">
        <f t="shared" si="10"/>
        <v>-25</v>
      </c>
    </row>
    <row r="341" spans="19:21" ht="14.65" thickBot="1" x14ac:dyDescent="0.5">
      <c r="S341" s="37">
        <f t="shared" si="11"/>
        <v>1758.8270877849213</v>
      </c>
      <c r="U341" s="26">
        <f t="shared" si="10"/>
        <v>-25</v>
      </c>
    </row>
    <row r="342" spans="19:21" ht="14.65" thickBot="1" x14ac:dyDescent="0.5">
      <c r="S342" s="37">
        <f t="shared" si="11"/>
        <v>1776.4153586627706</v>
      </c>
      <c r="U342" s="26">
        <f t="shared" si="10"/>
        <v>-25</v>
      </c>
    </row>
    <row r="343" spans="19:21" ht="14.65" thickBot="1" x14ac:dyDescent="0.5">
      <c r="S343" s="37">
        <f t="shared" si="11"/>
        <v>1794.1795122493984</v>
      </c>
      <c r="U343" s="26">
        <f t="shared" si="10"/>
        <v>-25</v>
      </c>
    </row>
    <row r="344" spans="19:21" ht="14.65" thickBot="1" x14ac:dyDescent="0.5">
      <c r="S344" s="37">
        <f t="shared" si="11"/>
        <v>1812.1213073718923</v>
      </c>
      <c r="U344" s="26">
        <f t="shared" si="10"/>
        <v>-25</v>
      </c>
    </row>
    <row r="345" spans="19:21" ht="14.65" thickBot="1" x14ac:dyDescent="0.5">
      <c r="S345" s="37">
        <f t="shared" si="11"/>
        <v>1830.2425204456113</v>
      </c>
      <c r="U345" s="26">
        <f t="shared" si="10"/>
        <v>-25</v>
      </c>
    </row>
    <row r="346" spans="19:21" ht="14.65" thickBot="1" x14ac:dyDescent="0.5">
      <c r="S346" s="37">
        <f t="shared" si="11"/>
        <v>1848.5449456500673</v>
      </c>
      <c r="U346" s="26">
        <f t="shared" si="10"/>
        <v>-25</v>
      </c>
    </row>
    <row r="347" spans="19:21" ht="14.65" thickBot="1" x14ac:dyDescent="0.5">
      <c r="S347" s="37">
        <f t="shared" si="11"/>
        <v>1867.030395106568</v>
      </c>
      <c r="U347" s="26">
        <f t="shared" si="10"/>
        <v>-25</v>
      </c>
    </row>
    <row r="348" spans="19:21" ht="14.65" thickBot="1" x14ac:dyDescent="0.5">
      <c r="S348" s="37">
        <f t="shared" si="11"/>
        <v>1885.7006990576338</v>
      </c>
      <c r="U348" s="26">
        <f t="shared" si="10"/>
        <v>-25</v>
      </c>
    </row>
    <row r="349" spans="19:21" ht="14.65" thickBot="1" x14ac:dyDescent="0.5">
      <c r="S349" s="37">
        <f t="shared" si="11"/>
        <v>1904.5577060482101</v>
      </c>
      <c r="U349" s="26">
        <f t="shared" si="10"/>
        <v>-25</v>
      </c>
    </row>
    <row r="350" spans="19:21" ht="14.65" thickBot="1" x14ac:dyDescent="0.5">
      <c r="S350" s="37">
        <f t="shared" si="11"/>
        <v>1923.6032831086923</v>
      </c>
      <c r="U350" s="26">
        <f t="shared" si="10"/>
        <v>-25</v>
      </c>
    </row>
    <row r="351" spans="19:21" ht="14.65" thickBot="1" x14ac:dyDescent="0.5">
      <c r="S351" s="37">
        <f t="shared" si="11"/>
        <v>1942.8393159397792</v>
      </c>
      <c r="U351" s="26">
        <f t="shared" si="10"/>
        <v>-25</v>
      </c>
    </row>
    <row r="352" spans="19:21" ht="14.65" thickBot="1" x14ac:dyDescent="0.5">
      <c r="S352" s="37">
        <f t="shared" si="11"/>
        <v>1962.267709099177</v>
      </c>
      <c r="U352" s="26">
        <f t="shared" si="10"/>
        <v>-25</v>
      </c>
    </row>
    <row r="353" spans="19:21" ht="14.65" thickBot="1" x14ac:dyDescent="0.5">
      <c r="S353" s="37">
        <f t="shared" si="11"/>
        <v>1981.8903861901688</v>
      </c>
      <c r="U353" s="26">
        <f t="shared" si="10"/>
        <v>-25</v>
      </c>
    </row>
    <row r="354" spans="19:21" ht="14.65" thickBot="1" x14ac:dyDescent="0.5">
      <c r="S354" s="37">
        <f t="shared" si="11"/>
        <v>2001.7092900520704</v>
      </c>
      <c r="U354" s="26">
        <f t="shared" si="10"/>
        <v>-25</v>
      </c>
    </row>
    <row r="355" spans="19:21" ht="14.65" thickBot="1" x14ac:dyDescent="0.5">
      <c r="S355" s="37">
        <f t="shared" si="11"/>
        <v>2021.7263829525912</v>
      </c>
      <c r="U355" s="26">
        <f t="shared" si="10"/>
        <v>-25</v>
      </c>
    </row>
    <row r="356" spans="19:21" ht="14.65" thickBot="1" x14ac:dyDescent="0.5">
      <c r="S356" s="37">
        <f t="shared" si="11"/>
        <v>2041.9436467821172</v>
      </c>
      <c r="U356" s="26">
        <f t="shared" si="10"/>
        <v>-25</v>
      </c>
    </row>
    <row r="357" spans="19:21" ht="14.65" thickBot="1" x14ac:dyDescent="0.5">
      <c r="S357" s="37">
        <f t="shared" si="11"/>
        <v>2062.3630832499384</v>
      </c>
      <c r="U357" s="26">
        <f t="shared" si="10"/>
        <v>-25</v>
      </c>
    </row>
    <row r="358" spans="19:21" ht="14.65" thickBot="1" x14ac:dyDescent="0.5">
      <c r="S358" s="37">
        <f t="shared" si="11"/>
        <v>2082.9867140824376</v>
      </c>
      <c r="U358" s="26">
        <f t="shared" si="10"/>
        <v>-25</v>
      </c>
    </row>
    <row r="359" spans="19:21" ht="14.65" thickBot="1" x14ac:dyDescent="0.5">
      <c r="S359" s="37">
        <f t="shared" si="11"/>
        <v>2103.8165812232619</v>
      </c>
      <c r="U359" s="26">
        <f t="shared" si="10"/>
        <v>-25</v>
      </c>
    </row>
    <row r="360" spans="19:21" ht="14.65" thickBot="1" x14ac:dyDescent="0.5">
      <c r="S360" s="37">
        <f t="shared" si="11"/>
        <v>2124.8547470354947</v>
      </c>
      <c r="U360" s="26">
        <f t="shared" si="10"/>
        <v>-25</v>
      </c>
    </row>
    <row r="361" spans="19:21" ht="14.65" thickBot="1" x14ac:dyDescent="0.5">
      <c r="S361" s="37">
        <f t="shared" si="11"/>
        <v>2146.1032945058496</v>
      </c>
      <c r="U361" s="26">
        <f t="shared" si="10"/>
        <v>-25</v>
      </c>
    </row>
    <row r="362" spans="19:21" ht="14.65" thickBot="1" x14ac:dyDescent="0.5">
      <c r="S362" s="37">
        <f t="shared" si="11"/>
        <v>2167.564327450908</v>
      </c>
      <c r="U362" s="26">
        <f t="shared" si="10"/>
        <v>-25</v>
      </c>
    </row>
    <row r="363" spans="19:21" ht="14.65" thickBot="1" x14ac:dyDescent="0.5">
      <c r="S363" s="37">
        <f t="shared" si="11"/>
        <v>2189.2399707254172</v>
      </c>
      <c r="U363" s="26">
        <f t="shared" si="10"/>
        <v>-25</v>
      </c>
    </row>
    <row r="364" spans="19:21" ht="14.65" thickBot="1" x14ac:dyDescent="0.5">
      <c r="S364" s="37">
        <f t="shared" si="11"/>
        <v>2211.1323704326715</v>
      </c>
      <c r="U364" s="26">
        <f t="shared" si="10"/>
        <v>-25</v>
      </c>
    </row>
    <row r="365" spans="19:21" ht="14.65" thickBot="1" x14ac:dyDescent="0.5">
      <c r="S365" s="37">
        <f t="shared" si="11"/>
        <v>2233.2436941369983</v>
      </c>
      <c r="U365" s="26">
        <f t="shared" si="10"/>
        <v>-25</v>
      </c>
    </row>
    <row r="366" spans="19:21" ht="14.65" thickBot="1" x14ac:dyDescent="0.5">
      <c r="S366" s="37">
        <f t="shared" si="11"/>
        <v>2255.5761310783682</v>
      </c>
      <c r="U366" s="26">
        <f t="shared" si="10"/>
        <v>-25</v>
      </c>
    </row>
    <row r="367" spans="19:21" ht="14.65" thickBot="1" x14ac:dyDescent="0.5">
      <c r="S367" s="37">
        <f t="shared" si="11"/>
        <v>2278.1318923891517</v>
      </c>
      <c r="U367" s="26">
        <f t="shared" si="10"/>
        <v>-25</v>
      </c>
    </row>
    <row r="368" spans="19:21" ht="14.65" thickBot="1" x14ac:dyDescent="0.5">
      <c r="S368" s="37">
        <f t="shared" si="11"/>
        <v>2300.9132113130431</v>
      </c>
      <c r="U368" s="26">
        <f t="shared" si="10"/>
        <v>-25</v>
      </c>
    </row>
    <row r="369" spans="19:21" ht="14.65" thickBot="1" x14ac:dyDescent="0.5">
      <c r="S369" s="37">
        <f t="shared" si="11"/>
        <v>2323.9223434261735</v>
      </c>
      <c r="U369" s="26">
        <f t="shared" si="10"/>
        <v>-25</v>
      </c>
    </row>
    <row r="370" spans="19:21" ht="14.65" thickBot="1" x14ac:dyDescent="0.5">
      <c r="S370" s="37">
        <f t="shared" si="11"/>
        <v>2347.1615668604354</v>
      </c>
      <c r="U370" s="26">
        <f t="shared" si="10"/>
        <v>-25</v>
      </c>
    </row>
    <row r="371" spans="19:21" ht="14.65" thickBot="1" x14ac:dyDescent="0.5">
      <c r="S371" s="37">
        <f t="shared" si="11"/>
        <v>2370.6331825290399</v>
      </c>
      <c r="U371" s="26">
        <f t="shared" si="10"/>
        <v>-25</v>
      </c>
    </row>
    <row r="372" spans="19:21" ht="14.65" thickBot="1" x14ac:dyDescent="0.5">
      <c r="S372" s="37">
        <f t="shared" si="11"/>
        <v>2394.3395143543303</v>
      </c>
      <c r="U372" s="26">
        <f t="shared" si="10"/>
        <v>-25</v>
      </c>
    </row>
    <row r="373" spans="19:21" ht="14.65" thickBot="1" x14ac:dyDescent="0.5">
      <c r="S373" s="37">
        <f t="shared" si="11"/>
        <v>2418.2829094978738</v>
      </c>
      <c r="U373" s="26">
        <f t="shared" si="10"/>
        <v>-25</v>
      </c>
    </row>
    <row r="374" spans="19:21" ht="14.65" thickBot="1" x14ac:dyDescent="0.5">
      <c r="S374" s="37">
        <f t="shared" si="11"/>
        <v>2442.4657385928526</v>
      </c>
      <c r="U374" s="26">
        <f t="shared" si="10"/>
        <v>-25</v>
      </c>
    </row>
    <row r="375" spans="19:21" ht="14.65" thickBot="1" x14ac:dyDescent="0.5">
      <c r="S375" s="37">
        <f t="shared" si="11"/>
        <v>2466.8903959787813</v>
      </c>
      <c r="U375" s="26">
        <f t="shared" si="10"/>
        <v>-25</v>
      </c>
    </row>
    <row r="376" spans="19:21" ht="14.65" thickBot="1" x14ac:dyDescent="0.5">
      <c r="S376" s="37">
        <f t="shared" si="11"/>
        <v>2491.559299938569</v>
      </c>
      <c r="U376" s="26">
        <f t="shared" si="10"/>
        <v>-25</v>
      </c>
    </row>
    <row r="377" spans="19:21" ht="14.65" thickBot="1" x14ac:dyDescent="0.5">
      <c r="S377" s="37">
        <f t="shared" si="11"/>
        <v>2516.4748929379548</v>
      </c>
      <c r="U377" s="26">
        <f t="shared" si="10"/>
        <v>-25</v>
      </c>
    </row>
    <row r="378" spans="19:21" ht="14.65" thickBot="1" x14ac:dyDescent="0.5">
      <c r="S378" s="37">
        <f t="shared" si="11"/>
        <v>2541.6396418673344</v>
      </c>
      <c r="U378" s="26">
        <f t="shared" si="10"/>
        <v>-25</v>
      </c>
    </row>
    <row r="379" spans="19:21" ht="14.65" thickBot="1" x14ac:dyDescent="0.5">
      <c r="S379" s="37">
        <f t="shared" si="11"/>
        <v>2567.0560382860076</v>
      </c>
      <c r="U379" s="26">
        <f t="shared" si="10"/>
        <v>-25</v>
      </c>
    </row>
    <row r="380" spans="19:21" ht="14.65" thickBot="1" x14ac:dyDescent="0.5">
      <c r="S380" s="37">
        <f t="shared" si="11"/>
        <v>2592.7265986688676</v>
      </c>
      <c r="U380" s="26">
        <f t="shared" si="10"/>
        <v>-25</v>
      </c>
    </row>
    <row r="381" spans="19:21" ht="14.65" thickBot="1" x14ac:dyDescent="0.5">
      <c r="S381" s="37">
        <f t="shared" si="11"/>
        <v>2618.6538646555564</v>
      </c>
      <c r="U381" s="26">
        <f t="shared" si="10"/>
        <v>-25</v>
      </c>
    </row>
    <row r="382" spans="19:21" ht="14.65" thickBot="1" x14ac:dyDescent="0.5">
      <c r="S382" s="37">
        <f t="shared" si="11"/>
        <v>2644.840403302112</v>
      </c>
      <c r="U382" s="26">
        <f t="shared" si="10"/>
        <v>-25</v>
      </c>
    </row>
    <row r="383" spans="19:21" ht="14.65" thickBot="1" x14ac:dyDescent="0.5">
      <c r="S383" s="37">
        <f t="shared" si="11"/>
        <v>2671.2888073351332</v>
      </c>
      <c r="U383" s="26">
        <f t="shared" si="10"/>
        <v>-25</v>
      </c>
    </row>
    <row r="384" spans="19:21" ht="14.65" thickBot="1" x14ac:dyDescent="0.5">
      <c r="S384" s="37">
        <f t="shared" si="11"/>
        <v>2698.0016954084845</v>
      </c>
      <c r="U384" s="26">
        <f t="shared" si="10"/>
        <v>-25</v>
      </c>
    </row>
    <row r="385" spans="19:21" ht="14.65" thickBot="1" x14ac:dyDescent="0.5">
      <c r="S385" s="37">
        <f t="shared" si="11"/>
        <v>2724.9817123625694</v>
      </c>
      <c r="U385" s="26">
        <f t="shared" si="10"/>
        <v>-25</v>
      </c>
    </row>
    <row r="386" spans="19:21" ht="14.65" thickBot="1" x14ac:dyDescent="0.5">
      <c r="S386" s="37">
        <f t="shared" si="11"/>
        <v>2752.2315294861951</v>
      </c>
      <c r="U386" s="26">
        <f t="shared" si="10"/>
        <v>-25</v>
      </c>
    </row>
    <row r="387" spans="19:21" ht="14.65" thickBot="1" x14ac:dyDescent="0.5">
      <c r="S387" s="37">
        <f t="shared" si="11"/>
        <v>2779.7538447810571</v>
      </c>
      <c r="U387" s="26">
        <f t="shared" si="10"/>
        <v>-25</v>
      </c>
    </row>
    <row r="388" spans="19:21" ht="14.65" thickBot="1" x14ac:dyDescent="0.5">
      <c r="S388" s="37">
        <f t="shared" si="11"/>
        <v>2807.5513832288675</v>
      </c>
      <c r="U388" s="26">
        <f t="shared" si="10"/>
        <v>-25</v>
      </c>
    </row>
    <row r="389" spans="19:21" ht="14.65" thickBot="1" x14ac:dyDescent="0.5">
      <c r="S389" s="37">
        <f t="shared" si="11"/>
        <v>2835.6268970611563</v>
      </c>
      <c r="U389" s="26">
        <f t="shared" si="10"/>
        <v>-25</v>
      </c>
    </row>
    <row r="390" spans="19:21" ht="14.65" thickBot="1" x14ac:dyDescent="0.5">
      <c r="S390" s="37">
        <f t="shared" si="11"/>
        <v>2863.9831660317677</v>
      </c>
      <c r="U390" s="26">
        <f t="shared" si="10"/>
        <v>-25</v>
      </c>
    </row>
    <row r="391" spans="19:21" ht="14.65" thickBot="1" x14ac:dyDescent="0.5">
      <c r="S391" s="37">
        <f t="shared" si="11"/>
        <v>2892.6229976920854</v>
      </c>
      <c r="U391" s="26">
        <f t="shared" si="10"/>
        <v>-25</v>
      </c>
    </row>
    <row r="392" spans="19:21" ht="14.65" thickBot="1" x14ac:dyDescent="0.5">
      <c r="S392" s="37">
        <f t="shared" si="11"/>
        <v>2921.5492276690061</v>
      </c>
      <c r="U392" s="26">
        <f t="shared" si="10"/>
        <v>-25</v>
      </c>
    </row>
    <row r="393" spans="19:21" ht="14.65" thickBot="1" x14ac:dyDescent="0.5">
      <c r="S393" s="37">
        <f t="shared" si="11"/>
        <v>2950.764719945696</v>
      </c>
      <c r="U393" s="26">
        <f t="shared" si="10"/>
        <v>-25</v>
      </c>
    </row>
    <row r="394" spans="19:21" ht="14.65" thickBot="1" x14ac:dyDescent="0.5">
      <c r="S394" s="37">
        <f t="shared" si="11"/>
        <v>2980.2723671451531</v>
      </c>
      <c r="U394" s="26">
        <f t="shared" si="10"/>
        <v>-25</v>
      </c>
    </row>
    <row r="395" spans="19:21" ht="14.65" thickBot="1" x14ac:dyDescent="0.5">
      <c r="S395" s="37">
        <f t="shared" si="11"/>
        <v>3010.0750908166046</v>
      </c>
      <c r="U395" s="26">
        <f t="shared" si="10"/>
        <v>-25</v>
      </c>
    </row>
    <row r="396" spans="19:21" ht="14.65" thickBot="1" x14ac:dyDescent="0.5">
      <c r="S396" s="37">
        <f t="shared" si="11"/>
        <v>3040.1758417247706</v>
      </c>
      <c r="U396" s="26">
        <f t="shared" si="10"/>
        <v>-25</v>
      </c>
    </row>
    <row r="397" spans="19:21" ht="14.65" thickBot="1" x14ac:dyDescent="0.5">
      <c r="S397" s="37">
        <f t="shared" si="11"/>
        <v>3070.5776001420186</v>
      </c>
      <c r="U397" s="26">
        <f t="shared" si="10"/>
        <v>-25</v>
      </c>
    </row>
    <row r="398" spans="19:21" ht="14.65" thickBot="1" x14ac:dyDescent="0.5">
      <c r="S398" s="37">
        <f t="shared" si="11"/>
        <v>3101.283376143439</v>
      </c>
      <c r="U398" s="26">
        <f t="shared" si="10"/>
        <v>-25</v>
      </c>
    </row>
    <row r="399" spans="19:21" ht="14.65" thickBot="1" x14ac:dyDescent="0.5">
      <c r="S399" s="37">
        <f t="shared" si="11"/>
        <v>3132.2962099048732</v>
      </c>
      <c r="U399" s="26">
        <f t="shared" si="10"/>
        <v>-25</v>
      </c>
    </row>
    <row r="400" spans="19:21" ht="14.65" thickBot="1" x14ac:dyDescent="0.5">
      <c r="S400" s="37">
        <f t="shared" si="11"/>
        <v>3163.6191720039219</v>
      </c>
      <c r="U400" s="26">
        <f t="shared" si="10"/>
        <v>-25</v>
      </c>
    </row>
    <row r="401" spans="19:21" ht="14.65" thickBot="1" x14ac:dyDescent="0.5">
      <c r="S401" s="37">
        <f t="shared" si="11"/>
        <v>3195.2553637239612</v>
      </c>
      <c r="U401" s="26">
        <f t="shared" si="10"/>
        <v>-25</v>
      </c>
    </row>
    <row r="402" spans="19:21" ht="14.65" thickBot="1" x14ac:dyDescent="0.5">
      <c r="S402" s="37">
        <f t="shared" si="11"/>
        <v>3227.207917361201</v>
      </c>
      <c r="U402" s="26">
        <f t="shared" ref="U402:U465" si="12">IF(S402&lt;$D$8,$D$7-S402-$D$9,$D$7-$D$8-$D$9)</f>
        <v>-25</v>
      </c>
    </row>
    <row r="403" spans="19:21" ht="14.65" thickBot="1" x14ac:dyDescent="0.5">
      <c r="S403" s="37">
        <f t="shared" ref="S403:S466" si="13">S402*(1.01)</f>
        <v>3259.4799965348129</v>
      </c>
      <c r="U403" s="26">
        <f t="shared" si="12"/>
        <v>-25</v>
      </c>
    </row>
    <row r="404" spans="19:21" ht="14.65" thickBot="1" x14ac:dyDescent="0.5">
      <c r="S404" s="37">
        <f t="shared" si="13"/>
        <v>3292.074796500161</v>
      </c>
      <c r="U404" s="26">
        <f t="shared" si="12"/>
        <v>-25</v>
      </c>
    </row>
    <row r="405" spans="19:21" ht="14.65" thickBot="1" x14ac:dyDescent="0.5">
      <c r="S405" s="37">
        <f t="shared" si="13"/>
        <v>3324.9955444651628</v>
      </c>
      <c r="U405" s="26">
        <f t="shared" si="12"/>
        <v>-25</v>
      </c>
    </row>
    <row r="406" spans="19:21" ht="14.65" thickBot="1" x14ac:dyDescent="0.5">
      <c r="S406" s="37">
        <f t="shared" si="13"/>
        <v>3358.2454999098145</v>
      </c>
      <c r="U406" s="26">
        <f t="shared" si="12"/>
        <v>-25</v>
      </c>
    </row>
    <row r="407" spans="19:21" ht="14.65" thickBot="1" x14ac:dyDescent="0.5">
      <c r="S407" s="37">
        <f t="shared" si="13"/>
        <v>3391.8279549089125</v>
      </c>
      <c r="U407" s="26">
        <f t="shared" si="12"/>
        <v>-25</v>
      </c>
    </row>
    <row r="408" spans="19:21" ht="14.65" thickBot="1" x14ac:dyDescent="0.5">
      <c r="S408" s="37">
        <f t="shared" si="13"/>
        <v>3425.7462344580017</v>
      </c>
      <c r="U408" s="26">
        <f t="shared" si="12"/>
        <v>-25</v>
      </c>
    </row>
    <row r="409" spans="19:21" ht="14.65" thickBot="1" x14ac:dyDescent="0.5">
      <c r="S409" s="37">
        <f t="shared" si="13"/>
        <v>3460.0036968025815</v>
      </c>
      <c r="U409" s="26">
        <f t="shared" si="12"/>
        <v>-25</v>
      </c>
    </row>
    <row r="410" spans="19:21" ht="14.65" thickBot="1" x14ac:dyDescent="0.5">
      <c r="S410" s="37">
        <f t="shared" si="13"/>
        <v>3494.6037337706075</v>
      </c>
      <c r="U410" s="26">
        <f t="shared" si="12"/>
        <v>-25</v>
      </c>
    </row>
    <row r="411" spans="19:21" ht="14.65" thickBot="1" x14ac:dyDescent="0.5">
      <c r="S411" s="37">
        <f t="shared" si="13"/>
        <v>3529.5497711083135</v>
      </c>
      <c r="U411" s="26">
        <f t="shared" si="12"/>
        <v>-25</v>
      </c>
    </row>
    <row r="412" spans="19:21" ht="14.65" thickBot="1" x14ac:dyDescent="0.5">
      <c r="S412" s="37">
        <f t="shared" si="13"/>
        <v>3564.8452688193966</v>
      </c>
      <c r="U412" s="26">
        <f t="shared" si="12"/>
        <v>-25</v>
      </c>
    </row>
    <row r="413" spans="19:21" ht="14.65" thickBot="1" x14ac:dyDescent="0.5">
      <c r="S413" s="37">
        <f t="shared" si="13"/>
        <v>3600.4937215075906</v>
      </c>
      <c r="U413" s="26">
        <f t="shared" si="12"/>
        <v>-25</v>
      </c>
    </row>
    <row r="414" spans="19:21" ht="14.65" thickBot="1" x14ac:dyDescent="0.5">
      <c r="S414" s="37">
        <f t="shared" si="13"/>
        <v>3636.4986587226667</v>
      </c>
      <c r="U414" s="26">
        <f t="shared" si="12"/>
        <v>-25</v>
      </c>
    </row>
    <row r="415" spans="19:21" ht="14.65" thickBot="1" x14ac:dyDescent="0.5">
      <c r="S415" s="37">
        <f t="shared" si="13"/>
        <v>3672.8636453098934</v>
      </c>
      <c r="U415" s="26">
        <f t="shared" si="12"/>
        <v>-25</v>
      </c>
    </row>
    <row r="416" spans="19:21" ht="14.65" thickBot="1" x14ac:dyDescent="0.5">
      <c r="S416" s="37">
        <f t="shared" si="13"/>
        <v>3709.5922817629926</v>
      </c>
      <c r="U416" s="26">
        <f t="shared" si="12"/>
        <v>-25</v>
      </c>
    </row>
    <row r="417" spans="19:21" ht="14.65" thickBot="1" x14ac:dyDescent="0.5">
      <c r="S417" s="37">
        <f t="shared" si="13"/>
        <v>3746.6882045806224</v>
      </c>
      <c r="U417" s="26">
        <f t="shared" si="12"/>
        <v>-25</v>
      </c>
    </row>
    <row r="418" spans="19:21" ht="14.65" thickBot="1" x14ac:dyDescent="0.5">
      <c r="S418" s="37">
        <f t="shared" si="13"/>
        <v>3784.1550866264288</v>
      </c>
      <c r="U418" s="26">
        <f t="shared" si="12"/>
        <v>-25</v>
      </c>
    </row>
    <row r="419" spans="19:21" ht="14.65" thickBot="1" x14ac:dyDescent="0.5">
      <c r="S419" s="37">
        <f t="shared" si="13"/>
        <v>3821.996637492693</v>
      </c>
      <c r="U419" s="26">
        <f t="shared" si="12"/>
        <v>-25</v>
      </c>
    </row>
    <row r="420" spans="19:21" ht="14.65" thickBot="1" x14ac:dyDescent="0.5">
      <c r="S420" s="37">
        <f t="shared" si="13"/>
        <v>3860.2166038676201</v>
      </c>
      <c r="U420" s="26">
        <f t="shared" si="12"/>
        <v>-25</v>
      </c>
    </row>
    <row r="421" spans="19:21" ht="14.65" thickBot="1" x14ac:dyDescent="0.5">
      <c r="S421" s="37">
        <f t="shared" si="13"/>
        <v>3898.8187699062964</v>
      </c>
      <c r="U421" s="26">
        <f t="shared" si="12"/>
        <v>-25</v>
      </c>
    </row>
    <row r="422" spans="19:21" ht="14.65" thickBot="1" x14ac:dyDescent="0.5">
      <c r="S422" s="37">
        <f t="shared" si="13"/>
        <v>3937.8069576053595</v>
      </c>
      <c r="U422" s="26">
        <f t="shared" si="12"/>
        <v>-25</v>
      </c>
    </row>
    <row r="423" spans="19:21" ht="14.65" thickBot="1" x14ac:dyDescent="0.5">
      <c r="S423" s="37">
        <f t="shared" si="13"/>
        <v>3977.1850271814133</v>
      </c>
      <c r="U423" s="26">
        <f t="shared" si="12"/>
        <v>-25</v>
      </c>
    </row>
    <row r="424" spans="19:21" ht="14.65" thickBot="1" x14ac:dyDescent="0.5">
      <c r="S424" s="37">
        <f t="shared" si="13"/>
        <v>4016.9568774532272</v>
      </c>
      <c r="U424" s="26">
        <f t="shared" si="12"/>
        <v>-25</v>
      </c>
    </row>
    <row r="425" spans="19:21" ht="14.65" thickBot="1" x14ac:dyDescent="0.5">
      <c r="S425" s="37">
        <f t="shared" si="13"/>
        <v>4057.1264462277595</v>
      </c>
      <c r="U425" s="26">
        <f t="shared" si="12"/>
        <v>-25</v>
      </c>
    </row>
    <row r="426" spans="19:21" ht="14.65" thickBot="1" x14ac:dyDescent="0.5">
      <c r="S426" s="37">
        <f t="shared" si="13"/>
        <v>4097.6977106900367</v>
      </c>
      <c r="U426" s="26">
        <f t="shared" si="12"/>
        <v>-25</v>
      </c>
    </row>
    <row r="427" spans="19:21" ht="14.65" thickBot="1" x14ac:dyDescent="0.5">
      <c r="S427" s="37">
        <f t="shared" si="13"/>
        <v>4138.6746877969372</v>
      </c>
      <c r="U427" s="26">
        <f t="shared" si="12"/>
        <v>-25</v>
      </c>
    </row>
    <row r="428" spans="19:21" ht="14.65" thickBot="1" x14ac:dyDescent="0.5">
      <c r="S428" s="37">
        <f t="shared" si="13"/>
        <v>4180.0614346749062</v>
      </c>
      <c r="U428" s="26">
        <f t="shared" si="12"/>
        <v>-25</v>
      </c>
    </row>
    <row r="429" spans="19:21" ht="14.65" thickBot="1" x14ac:dyDescent="0.5">
      <c r="S429" s="37">
        <f t="shared" si="13"/>
        <v>4221.8620490216554</v>
      </c>
      <c r="U429" s="26">
        <f t="shared" si="12"/>
        <v>-25</v>
      </c>
    </row>
    <row r="430" spans="19:21" ht="14.65" thickBot="1" x14ac:dyDescent="0.5">
      <c r="S430" s="37">
        <f t="shared" si="13"/>
        <v>4264.0806695118717</v>
      </c>
      <c r="U430" s="26">
        <f t="shared" si="12"/>
        <v>-25</v>
      </c>
    </row>
    <row r="431" spans="19:21" ht="14.65" thickBot="1" x14ac:dyDescent="0.5">
      <c r="S431" s="37">
        <f t="shared" si="13"/>
        <v>4306.7214762069907</v>
      </c>
      <c r="U431" s="26">
        <f t="shared" si="12"/>
        <v>-25</v>
      </c>
    </row>
    <row r="432" spans="19:21" ht="14.65" thickBot="1" x14ac:dyDescent="0.5">
      <c r="S432" s="37">
        <f t="shared" si="13"/>
        <v>4349.7886909690606</v>
      </c>
      <c r="U432" s="26">
        <f t="shared" si="12"/>
        <v>-25</v>
      </c>
    </row>
    <row r="433" spans="19:21" ht="14.65" thickBot="1" x14ac:dyDescent="0.5">
      <c r="S433" s="37">
        <f t="shared" si="13"/>
        <v>4393.2865778787509</v>
      </c>
      <c r="U433" s="26">
        <f t="shared" si="12"/>
        <v>-25</v>
      </c>
    </row>
    <row r="434" spans="19:21" ht="14.65" thickBot="1" x14ac:dyDescent="0.5">
      <c r="S434" s="37">
        <f t="shared" si="13"/>
        <v>4437.2194436575382</v>
      </c>
      <c r="U434" s="26">
        <f t="shared" si="12"/>
        <v>-25</v>
      </c>
    </row>
    <row r="435" spans="19:21" ht="14.65" thickBot="1" x14ac:dyDescent="0.5">
      <c r="S435" s="37">
        <f t="shared" si="13"/>
        <v>4481.5916380941135</v>
      </c>
      <c r="U435" s="26">
        <f t="shared" si="12"/>
        <v>-25</v>
      </c>
    </row>
    <row r="436" spans="19:21" ht="14.65" thickBot="1" x14ac:dyDescent="0.5">
      <c r="S436" s="37">
        <f t="shared" si="13"/>
        <v>4526.4075544750549</v>
      </c>
      <c r="U436" s="26">
        <f t="shared" si="12"/>
        <v>-25</v>
      </c>
    </row>
    <row r="437" spans="19:21" ht="14.65" thickBot="1" x14ac:dyDescent="0.5">
      <c r="S437" s="37">
        <f t="shared" si="13"/>
        <v>4571.6716300198059</v>
      </c>
      <c r="U437" s="26">
        <f t="shared" si="12"/>
        <v>-25</v>
      </c>
    </row>
    <row r="438" spans="19:21" ht="14.65" thickBot="1" x14ac:dyDescent="0.5">
      <c r="S438" s="37">
        <f t="shared" si="13"/>
        <v>4617.3883463200036</v>
      </c>
      <c r="U438" s="26">
        <f t="shared" si="12"/>
        <v>-25</v>
      </c>
    </row>
    <row r="439" spans="19:21" ht="14.65" thickBot="1" x14ac:dyDescent="0.5">
      <c r="S439" s="37">
        <f t="shared" si="13"/>
        <v>4663.5622297832033</v>
      </c>
      <c r="U439" s="26">
        <f t="shared" si="12"/>
        <v>-25</v>
      </c>
    </row>
    <row r="440" spans="19:21" ht="14.65" thickBot="1" x14ac:dyDescent="0.5">
      <c r="S440" s="37">
        <f t="shared" si="13"/>
        <v>4710.1978520810353</v>
      </c>
      <c r="U440" s="26">
        <f t="shared" si="12"/>
        <v>-25</v>
      </c>
    </row>
    <row r="441" spans="19:21" ht="14.65" thickBot="1" x14ac:dyDescent="0.5">
      <c r="S441" s="37">
        <f t="shared" si="13"/>
        <v>4757.2998306018453</v>
      </c>
      <c r="U441" s="26">
        <f t="shared" si="12"/>
        <v>-25</v>
      </c>
    </row>
    <row r="442" spans="19:21" ht="14.65" thickBot="1" x14ac:dyDescent="0.5">
      <c r="S442" s="37">
        <f t="shared" si="13"/>
        <v>4804.8728289078635</v>
      </c>
      <c r="U442" s="26">
        <f t="shared" si="12"/>
        <v>-25</v>
      </c>
    </row>
    <row r="443" spans="19:21" ht="14.65" thickBot="1" x14ac:dyDescent="0.5">
      <c r="S443" s="37">
        <f t="shared" si="13"/>
        <v>4852.9215571969426</v>
      </c>
      <c r="U443" s="26">
        <f t="shared" si="12"/>
        <v>-25</v>
      </c>
    </row>
    <row r="444" spans="19:21" ht="14.65" thickBot="1" x14ac:dyDescent="0.5">
      <c r="S444" s="37">
        <f t="shared" si="13"/>
        <v>4901.4507727689124</v>
      </c>
      <c r="U444" s="26">
        <f t="shared" si="12"/>
        <v>-25</v>
      </c>
    </row>
    <row r="445" spans="19:21" ht="14.65" thickBot="1" x14ac:dyDescent="0.5">
      <c r="S445" s="37">
        <f t="shared" si="13"/>
        <v>4950.4652804966017</v>
      </c>
      <c r="U445" s="26">
        <f t="shared" si="12"/>
        <v>-25</v>
      </c>
    </row>
    <row r="446" spans="19:21" ht="14.65" thickBot="1" x14ac:dyDescent="0.5">
      <c r="S446" s="37">
        <f t="shared" si="13"/>
        <v>4999.9699333015678</v>
      </c>
      <c r="U446" s="26">
        <f t="shared" si="12"/>
        <v>-25</v>
      </c>
    </row>
    <row r="447" spans="19:21" ht="14.65" thickBot="1" x14ac:dyDescent="0.5">
      <c r="S447" s="37">
        <f t="shared" si="13"/>
        <v>5049.9696326345838</v>
      </c>
      <c r="U447" s="26">
        <f t="shared" si="12"/>
        <v>-25</v>
      </c>
    </row>
    <row r="448" spans="19:21" ht="14.65" thickBot="1" x14ac:dyDescent="0.5">
      <c r="S448" s="37">
        <f t="shared" si="13"/>
        <v>5100.4693289609295</v>
      </c>
      <c r="U448" s="26">
        <f t="shared" si="12"/>
        <v>-25</v>
      </c>
    </row>
    <row r="449" spans="19:21" ht="14.65" thickBot="1" x14ac:dyDescent="0.5">
      <c r="S449" s="37">
        <f t="shared" si="13"/>
        <v>5151.4740222505388</v>
      </c>
      <c r="U449" s="26">
        <f t="shared" si="12"/>
        <v>-25</v>
      </c>
    </row>
    <row r="450" spans="19:21" ht="14.65" thickBot="1" x14ac:dyDescent="0.5">
      <c r="S450" s="37">
        <f t="shared" si="13"/>
        <v>5202.9887624730445</v>
      </c>
      <c r="U450" s="26">
        <f t="shared" si="12"/>
        <v>-25</v>
      </c>
    </row>
    <row r="451" spans="19:21" ht="14.65" thickBot="1" x14ac:dyDescent="0.5">
      <c r="S451" s="37">
        <f t="shared" si="13"/>
        <v>5255.0186500977752</v>
      </c>
      <c r="U451" s="26">
        <f t="shared" si="12"/>
        <v>-25</v>
      </c>
    </row>
    <row r="452" spans="19:21" ht="14.65" thickBot="1" x14ac:dyDescent="0.5">
      <c r="S452" s="37">
        <f t="shared" si="13"/>
        <v>5307.5688365987526</v>
      </c>
      <c r="U452" s="26">
        <f t="shared" si="12"/>
        <v>-25</v>
      </c>
    </row>
    <row r="453" spans="19:21" ht="14.65" thickBot="1" x14ac:dyDescent="0.5">
      <c r="S453" s="37">
        <f t="shared" si="13"/>
        <v>5360.6445249647404</v>
      </c>
      <c r="U453" s="26">
        <f t="shared" si="12"/>
        <v>-25</v>
      </c>
    </row>
    <row r="454" spans="19:21" ht="14.65" thickBot="1" x14ac:dyDescent="0.5">
      <c r="S454" s="37">
        <f t="shared" si="13"/>
        <v>5414.250970214388</v>
      </c>
      <c r="U454" s="26">
        <f t="shared" si="12"/>
        <v>-25</v>
      </c>
    </row>
    <row r="455" spans="19:21" ht="14.65" thickBot="1" x14ac:dyDescent="0.5">
      <c r="S455" s="37">
        <f t="shared" si="13"/>
        <v>5468.3934799165318</v>
      </c>
      <c r="U455" s="26">
        <f t="shared" si="12"/>
        <v>-25</v>
      </c>
    </row>
    <row r="456" spans="19:21" ht="14.65" thickBot="1" x14ac:dyDescent="0.5">
      <c r="S456" s="37">
        <f t="shared" si="13"/>
        <v>5523.0774147156972</v>
      </c>
      <c r="U456" s="26">
        <f t="shared" si="12"/>
        <v>-25</v>
      </c>
    </row>
    <row r="457" spans="19:21" ht="14.65" thickBot="1" x14ac:dyDescent="0.5">
      <c r="S457" s="37">
        <f t="shared" si="13"/>
        <v>5578.308188862854</v>
      </c>
      <c r="U457" s="26">
        <f t="shared" si="12"/>
        <v>-25</v>
      </c>
    </row>
    <row r="458" spans="19:21" ht="14.65" thickBot="1" x14ac:dyDescent="0.5">
      <c r="S458" s="37">
        <f t="shared" si="13"/>
        <v>5634.0912707514826</v>
      </c>
      <c r="U458" s="26">
        <f t="shared" si="12"/>
        <v>-25</v>
      </c>
    </row>
    <row r="459" spans="19:21" ht="14.65" thickBot="1" x14ac:dyDescent="0.5">
      <c r="S459" s="37">
        <f t="shared" si="13"/>
        <v>5690.4321834589973</v>
      </c>
      <c r="U459" s="26">
        <f t="shared" si="12"/>
        <v>-25</v>
      </c>
    </row>
    <row r="460" spans="19:21" ht="14.65" thickBot="1" x14ac:dyDescent="0.5">
      <c r="S460" s="37">
        <f t="shared" si="13"/>
        <v>5747.3365052935869</v>
      </c>
      <c r="U460" s="26">
        <f t="shared" si="12"/>
        <v>-25</v>
      </c>
    </row>
    <row r="461" spans="19:21" ht="14.65" thickBot="1" x14ac:dyDescent="0.5">
      <c r="S461" s="37">
        <f t="shared" si="13"/>
        <v>5804.809870346523</v>
      </c>
      <c r="U461" s="26">
        <f t="shared" si="12"/>
        <v>-25</v>
      </c>
    </row>
    <row r="462" spans="19:21" ht="14.65" thickBot="1" x14ac:dyDescent="0.5">
      <c r="S462" s="37">
        <f t="shared" si="13"/>
        <v>5862.8579690499882</v>
      </c>
      <c r="U462" s="26">
        <f t="shared" si="12"/>
        <v>-25</v>
      </c>
    </row>
    <row r="463" spans="19:21" ht="14.65" thickBot="1" x14ac:dyDescent="0.5">
      <c r="S463" s="37">
        <f t="shared" si="13"/>
        <v>5921.4865487404886</v>
      </c>
      <c r="U463" s="26">
        <f t="shared" si="12"/>
        <v>-25</v>
      </c>
    </row>
    <row r="464" spans="19:21" ht="14.65" thickBot="1" x14ac:dyDescent="0.5">
      <c r="S464" s="37">
        <f t="shared" si="13"/>
        <v>5980.7014142278931</v>
      </c>
      <c r="U464" s="26">
        <f t="shared" si="12"/>
        <v>-25</v>
      </c>
    </row>
    <row r="465" spans="19:21" ht="14.65" thickBot="1" x14ac:dyDescent="0.5">
      <c r="S465" s="37">
        <f t="shared" si="13"/>
        <v>6040.5084283701717</v>
      </c>
      <c r="U465" s="26">
        <f t="shared" si="12"/>
        <v>-25</v>
      </c>
    </row>
    <row r="466" spans="19:21" ht="14.65" thickBot="1" x14ac:dyDescent="0.5">
      <c r="S466" s="37">
        <f t="shared" si="13"/>
        <v>6100.9135126538731</v>
      </c>
      <c r="U466" s="26">
        <f t="shared" ref="U466:U529" si="14">IF(S466&lt;$D$8,$D$7-S466-$D$9,$D$7-$D$8-$D$9)</f>
        <v>-25</v>
      </c>
    </row>
    <row r="467" spans="19:21" ht="14.65" thickBot="1" x14ac:dyDescent="0.5">
      <c r="S467" s="37">
        <f t="shared" ref="S467:S530" si="15">S466*(1.01)</f>
        <v>6161.9226477804123</v>
      </c>
      <c r="U467" s="26">
        <f t="shared" si="14"/>
        <v>-25</v>
      </c>
    </row>
    <row r="468" spans="19:21" ht="14.65" thickBot="1" x14ac:dyDescent="0.5">
      <c r="S468" s="37">
        <f t="shared" si="15"/>
        <v>6223.541874258216</v>
      </c>
      <c r="U468" s="26">
        <f t="shared" si="14"/>
        <v>-25</v>
      </c>
    </row>
    <row r="469" spans="19:21" ht="14.65" thickBot="1" x14ac:dyDescent="0.5">
      <c r="S469" s="37">
        <f t="shared" si="15"/>
        <v>6285.7772930007986</v>
      </c>
      <c r="U469" s="26">
        <f t="shared" si="14"/>
        <v>-25</v>
      </c>
    </row>
    <row r="470" spans="19:21" ht="14.65" thickBot="1" x14ac:dyDescent="0.5">
      <c r="S470" s="37">
        <f t="shared" si="15"/>
        <v>6348.6350659308064</v>
      </c>
      <c r="U470" s="26">
        <f t="shared" si="14"/>
        <v>-25</v>
      </c>
    </row>
    <row r="471" spans="19:21" ht="14.65" thickBot="1" x14ac:dyDescent="0.5">
      <c r="S471" s="37">
        <f t="shared" si="15"/>
        <v>6412.1214165901147</v>
      </c>
      <c r="U471" s="26">
        <f t="shared" si="14"/>
        <v>-25</v>
      </c>
    </row>
    <row r="472" spans="19:21" ht="14.65" thickBot="1" x14ac:dyDescent="0.5">
      <c r="S472" s="37">
        <f t="shared" si="15"/>
        <v>6476.2426307560163</v>
      </c>
      <c r="U472" s="26">
        <f t="shared" si="14"/>
        <v>-25</v>
      </c>
    </row>
    <row r="473" spans="19:21" ht="14.65" thickBot="1" x14ac:dyDescent="0.5">
      <c r="S473" s="37">
        <f t="shared" si="15"/>
        <v>6541.0050570635767</v>
      </c>
      <c r="U473" s="26">
        <f t="shared" si="14"/>
        <v>-25</v>
      </c>
    </row>
    <row r="474" spans="19:21" ht="14.65" thickBot="1" x14ac:dyDescent="0.5">
      <c r="S474" s="37">
        <f t="shared" si="15"/>
        <v>6606.4151076342123</v>
      </c>
      <c r="U474" s="26">
        <f t="shared" si="14"/>
        <v>-25</v>
      </c>
    </row>
    <row r="475" spans="19:21" ht="14.65" thickBot="1" x14ac:dyDescent="0.5">
      <c r="S475" s="37">
        <f t="shared" si="15"/>
        <v>6672.4792587105549</v>
      </c>
      <c r="U475" s="26">
        <f t="shared" si="14"/>
        <v>-25</v>
      </c>
    </row>
    <row r="476" spans="19:21" ht="14.65" thickBot="1" x14ac:dyDescent="0.5">
      <c r="S476" s="37">
        <f t="shared" si="15"/>
        <v>6739.20405129766</v>
      </c>
      <c r="U476" s="26">
        <f t="shared" si="14"/>
        <v>-25</v>
      </c>
    </row>
    <row r="477" spans="19:21" ht="14.65" thickBot="1" x14ac:dyDescent="0.5">
      <c r="S477" s="37">
        <f t="shared" si="15"/>
        <v>6806.5960918106366</v>
      </c>
      <c r="U477" s="26">
        <f t="shared" si="14"/>
        <v>-25</v>
      </c>
    </row>
    <row r="478" spans="19:21" ht="14.65" thickBot="1" x14ac:dyDescent="0.5">
      <c r="S478" s="37">
        <f t="shared" si="15"/>
        <v>6874.6620527287432</v>
      </c>
      <c r="U478" s="26">
        <f t="shared" si="14"/>
        <v>-25</v>
      </c>
    </row>
    <row r="479" spans="19:21" ht="14.65" thickBot="1" x14ac:dyDescent="0.5">
      <c r="S479" s="37">
        <f t="shared" si="15"/>
        <v>6943.4086732560309</v>
      </c>
      <c r="U479" s="26">
        <f t="shared" si="14"/>
        <v>-25</v>
      </c>
    </row>
    <row r="480" spans="19:21" ht="14.65" thickBot="1" x14ac:dyDescent="0.5">
      <c r="S480" s="37">
        <f t="shared" si="15"/>
        <v>7012.8427599885908</v>
      </c>
      <c r="U480" s="26">
        <f t="shared" si="14"/>
        <v>-25</v>
      </c>
    </row>
    <row r="481" spans="19:21" ht="14.65" thickBot="1" x14ac:dyDescent="0.5">
      <c r="S481" s="37">
        <f t="shared" si="15"/>
        <v>7082.9711875884768</v>
      </c>
      <c r="U481" s="26">
        <f t="shared" si="14"/>
        <v>-25</v>
      </c>
    </row>
    <row r="482" spans="19:21" ht="14.65" thickBot="1" x14ac:dyDescent="0.5">
      <c r="S482" s="37">
        <f t="shared" si="15"/>
        <v>7153.8008994643615</v>
      </c>
      <c r="U482" s="26">
        <f t="shared" si="14"/>
        <v>-25</v>
      </c>
    </row>
    <row r="483" spans="19:21" ht="14.65" thickBot="1" x14ac:dyDescent="0.5">
      <c r="S483" s="37">
        <f t="shared" si="15"/>
        <v>7225.3389084590053</v>
      </c>
      <c r="U483" s="26">
        <f t="shared" si="14"/>
        <v>-25</v>
      </c>
    </row>
    <row r="484" spans="19:21" ht="14.65" thickBot="1" x14ac:dyDescent="0.5">
      <c r="S484" s="37">
        <f t="shared" si="15"/>
        <v>7297.5922975435951</v>
      </c>
      <c r="U484" s="26">
        <f t="shared" si="14"/>
        <v>-25</v>
      </c>
    </row>
    <row r="485" spans="19:21" ht="14.65" thickBot="1" x14ac:dyDescent="0.5">
      <c r="S485" s="37">
        <f t="shared" si="15"/>
        <v>7370.5682205190315</v>
      </c>
      <c r="U485" s="26">
        <f t="shared" si="14"/>
        <v>-25</v>
      </c>
    </row>
    <row r="486" spans="19:21" ht="14.65" thickBot="1" x14ac:dyDescent="0.5">
      <c r="S486" s="37">
        <f t="shared" si="15"/>
        <v>7444.2739027242214</v>
      </c>
      <c r="U486" s="26">
        <f t="shared" si="14"/>
        <v>-25</v>
      </c>
    </row>
    <row r="487" spans="19:21" ht="14.65" thickBot="1" x14ac:dyDescent="0.5">
      <c r="S487" s="37">
        <f t="shared" si="15"/>
        <v>7518.7166417514636</v>
      </c>
      <c r="U487" s="26">
        <f t="shared" si="14"/>
        <v>-25</v>
      </c>
    </row>
    <row r="488" spans="19:21" ht="14.65" thickBot="1" x14ac:dyDescent="0.5">
      <c r="S488" s="37">
        <f t="shared" si="15"/>
        <v>7593.9038081689787</v>
      </c>
      <c r="U488" s="26">
        <f t="shared" si="14"/>
        <v>-25</v>
      </c>
    </row>
    <row r="489" spans="19:21" ht="14.65" thickBot="1" x14ac:dyDescent="0.5">
      <c r="S489" s="37">
        <f t="shared" si="15"/>
        <v>7669.8428462506681</v>
      </c>
      <c r="U489" s="26">
        <f t="shared" si="14"/>
        <v>-25</v>
      </c>
    </row>
    <row r="490" spans="19:21" ht="14.65" thickBot="1" x14ac:dyDescent="0.5">
      <c r="S490" s="37">
        <f t="shared" si="15"/>
        <v>7746.541274713175</v>
      </c>
      <c r="U490" s="26">
        <f t="shared" si="14"/>
        <v>-25</v>
      </c>
    </row>
    <row r="491" spans="19:21" ht="14.65" thickBot="1" x14ac:dyDescent="0.5">
      <c r="S491" s="37">
        <f t="shared" si="15"/>
        <v>7824.0066874603071</v>
      </c>
      <c r="U491" s="26">
        <f t="shared" si="14"/>
        <v>-25</v>
      </c>
    </row>
    <row r="492" spans="19:21" ht="14.65" thickBot="1" x14ac:dyDescent="0.5">
      <c r="S492" s="37">
        <f t="shared" si="15"/>
        <v>7902.2467543349103</v>
      </c>
      <c r="U492" s="26">
        <f t="shared" si="14"/>
        <v>-25</v>
      </c>
    </row>
    <row r="493" spans="19:21" ht="14.65" thickBot="1" x14ac:dyDescent="0.5">
      <c r="S493" s="37">
        <f t="shared" si="15"/>
        <v>7981.2692218782595</v>
      </c>
      <c r="U493" s="26">
        <f t="shared" si="14"/>
        <v>-25</v>
      </c>
    </row>
    <row r="494" spans="19:21" ht="14.65" thickBot="1" x14ac:dyDescent="0.5">
      <c r="S494" s="37">
        <f t="shared" si="15"/>
        <v>8061.0819140970425</v>
      </c>
      <c r="U494" s="26">
        <f t="shared" si="14"/>
        <v>-25</v>
      </c>
    </row>
    <row r="495" spans="19:21" ht="14.65" thickBot="1" x14ac:dyDescent="0.5">
      <c r="S495" s="37">
        <f t="shared" si="15"/>
        <v>8141.6927332380128</v>
      </c>
      <c r="U495" s="26">
        <f t="shared" si="14"/>
        <v>-25</v>
      </c>
    </row>
    <row r="496" spans="19:21" ht="14.65" thickBot="1" x14ac:dyDescent="0.5">
      <c r="S496" s="37">
        <f t="shared" si="15"/>
        <v>8223.1096605703933</v>
      </c>
      <c r="U496" s="26">
        <f t="shared" si="14"/>
        <v>-25</v>
      </c>
    </row>
    <row r="497" spans="19:21" ht="14.65" thickBot="1" x14ac:dyDescent="0.5">
      <c r="S497" s="37">
        <f t="shared" si="15"/>
        <v>8305.3407571760981</v>
      </c>
      <c r="U497" s="26">
        <f t="shared" si="14"/>
        <v>-25</v>
      </c>
    </row>
    <row r="498" spans="19:21" ht="14.65" thickBot="1" x14ac:dyDescent="0.5">
      <c r="S498" s="37">
        <f t="shared" si="15"/>
        <v>8388.3941647478587</v>
      </c>
      <c r="U498" s="26">
        <f t="shared" si="14"/>
        <v>-25</v>
      </c>
    </row>
    <row r="499" spans="19:21" ht="14.65" thickBot="1" x14ac:dyDescent="0.5">
      <c r="S499" s="37">
        <f t="shared" si="15"/>
        <v>8472.2781063953371</v>
      </c>
      <c r="U499" s="26">
        <f t="shared" si="14"/>
        <v>-25</v>
      </c>
    </row>
    <row r="500" spans="19:21" ht="14.65" thickBot="1" x14ac:dyDescent="0.5">
      <c r="S500" s="37">
        <f t="shared" si="15"/>
        <v>8557.0008874592913</v>
      </c>
      <c r="U500" s="26">
        <f t="shared" si="14"/>
        <v>-25</v>
      </c>
    </row>
    <row r="501" spans="19:21" ht="14.65" thickBot="1" x14ac:dyDescent="0.5">
      <c r="S501" s="37">
        <f t="shared" si="15"/>
        <v>8642.5708963338839</v>
      </c>
      <c r="U501" s="26">
        <f t="shared" si="14"/>
        <v>-25</v>
      </c>
    </row>
    <row r="502" spans="19:21" ht="14.65" thickBot="1" x14ac:dyDescent="0.5">
      <c r="S502" s="37">
        <f t="shared" si="15"/>
        <v>8728.9966052972231</v>
      </c>
      <c r="U502" s="26">
        <f t="shared" si="14"/>
        <v>-25</v>
      </c>
    </row>
    <row r="503" spans="19:21" ht="14.65" thickBot="1" x14ac:dyDescent="0.5">
      <c r="S503" s="37">
        <f t="shared" si="15"/>
        <v>8816.286571350196</v>
      </c>
      <c r="U503" s="26">
        <f t="shared" si="14"/>
        <v>-25</v>
      </c>
    </row>
    <row r="504" spans="19:21" ht="14.65" thickBot="1" x14ac:dyDescent="0.5">
      <c r="S504" s="37">
        <f t="shared" si="15"/>
        <v>8904.4494370636985</v>
      </c>
      <c r="U504" s="26">
        <f t="shared" si="14"/>
        <v>-25</v>
      </c>
    </row>
    <row r="505" spans="19:21" ht="14.65" thickBot="1" x14ac:dyDescent="0.5">
      <c r="S505" s="37">
        <f t="shared" si="15"/>
        <v>8993.4939314343355</v>
      </c>
      <c r="U505" s="26">
        <f t="shared" si="14"/>
        <v>-25</v>
      </c>
    </row>
    <row r="506" spans="19:21" ht="14.65" thickBot="1" x14ac:dyDescent="0.5">
      <c r="S506" s="37">
        <f t="shared" si="15"/>
        <v>9083.4288707486794</v>
      </c>
      <c r="U506" s="26">
        <f t="shared" si="14"/>
        <v>-25</v>
      </c>
    </row>
    <row r="507" spans="19:21" ht="14.65" thickBot="1" x14ac:dyDescent="0.5">
      <c r="S507" s="37">
        <f t="shared" si="15"/>
        <v>9174.2631594561662</v>
      </c>
      <c r="U507" s="26">
        <f t="shared" si="14"/>
        <v>-25</v>
      </c>
    </row>
    <row r="508" spans="19:21" ht="14.65" thickBot="1" x14ac:dyDescent="0.5">
      <c r="S508" s="37">
        <f t="shared" si="15"/>
        <v>9266.0057910507276</v>
      </c>
      <c r="U508" s="26">
        <f t="shared" si="14"/>
        <v>-25</v>
      </c>
    </row>
    <row r="509" spans="19:21" ht="14.65" thickBot="1" x14ac:dyDescent="0.5">
      <c r="S509" s="37">
        <f t="shared" si="15"/>
        <v>9358.6658489612346</v>
      </c>
      <c r="U509" s="26">
        <f t="shared" si="14"/>
        <v>-25</v>
      </c>
    </row>
    <row r="510" spans="19:21" ht="14.65" thickBot="1" x14ac:dyDescent="0.5">
      <c r="S510" s="37">
        <f t="shared" si="15"/>
        <v>9452.2525074508467</v>
      </c>
      <c r="U510" s="26">
        <f t="shared" si="14"/>
        <v>-25</v>
      </c>
    </row>
    <row r="511" spans="19:21" ht="14.65" thickBot="1" x14ac:dyDescent="0.5">
      <c r="S511" s="37">
        <f t="shared" si="15"/>
        <v>9546.7750325253546</v>
      </c>
      <c r="U511" s="26">
        <f t="shared" si="14"/>
        <v>-25</v>
      </c>
    </row>
    <row r="512" spans="19:21" ht="14.65" thickBot="1" x14ac:dyDescent="0.5">
      <c r="S512" s="37">
        <f t="shared" si="15"/>
        <v>9642.2427828506079</v>
      </c>
      <c r="U512" s="26">
        <f t="shared" si="14"/>
        <v>-25</v>
      </c>
    </row>
    <row r="513" spans="19:21" ht="14.65" thickBot="1" x14ac:dyDescent="0.5">
      <c r="S513" s="37">
        <f t="shared" si="15"/>
        <v>9738.6652106791134</v>
      </c>
      <c r="U513" s="26">
        <f t="shared" si="14"/>
        <v>-25</v>
      </c>
    </row>
    <row r="514" spans="19:21" ht="14.65" thickBot="1" x14ac:dyDescent="0.5">
      <c r="S514" s="37">
        <f t="shared" si="15"/>
        <v>9836.0518627859055</v>
      </c>
      <c r="U514" s="26">
        <f t="shared" si="14"/>
        <v>-25</v>
      </c>
    </row>
    <row r="515" spans="19:21" ht="14.65" thickBot="1" x14ac:dyDescent="0.5">
      <c r="S515" s="37">
        <f t="shared" si="15"/>
        <v>9934.4123814137638</v>
      </c>
      <c r="U515" s="26">
        <f t="shared" si="14"/>
        <v>-25</v>
      </c>
    </row>
    <row r="516" spans="19:21" ht="14.65" thickBot="1" x14ac:dyDescent="0.5">
      <c r="S516" s="37">
        <f t="shared" si="15"/>
        <v>10033.756505227902</v>
      </c>
      <c r="U516" s="26">
        <f t="shared" si="14"/>
        <v>-25</v>
      </c>
    </row>
    <row r="517" spans="19:21" ht="14.65" thickBot="1" x14ac:dyDescent="0.5">
      <c r="S517" s="37">
        <f t="shared" si="15"/>
        <v>10134.094070280182</v>
      </c>
      <c r="U517" s="26">
        <f t="shared" si="14"/>
        <v>-25</v>
      </c>
    </row>
    <row r="518" spans="19:21" ht="14.65" thickBot="1" x14ac:dyDescent="0.5">
      <c r="S518" s="37">
        <f t="shared" si="15"/>
        <v>10235.435010982983</v>
      </c>
      <c r="U518" s="26">
        <f t="shared" si="14"/>
        <v>-25</v>
      </c>
    </row>
    <row r="519" spans="19:21" ht="14.65" thickBot="1" x14ac:dyDescent="0.5">
      <c r="S519" s="37">
        <f t="shared" si="15"/>
        <v>10337.789361092813</v>
      </c>
      <c r="U519" s="26">
        <f t="shared" si="14"/>
        <v>-25</v>
      </c>
    </row>
    <row r="520" spans="19:21" ht="14.65" thickBot="1" x14ac:dyDescent="0.5">
      <c r="S520" s="37">
        <f t="shared" si="15"/>
        <v>10441.167254703741</v>
      </c>
      <c r="U520" s="26">
        <f t="shared" si="14"/>
        <v>-25</v>
      </c>
    </row>
    <row r="521" spans="19:21" ht="14.65" thickBot="1" x14ac:dyDescent="0.5">
      <c r="S521" s="37">
        <f t="shared" si="15"/>
        <v>10545.578927250779</v>
      </c>
      <c r="U521" s="26">
        <f t="shared" si="14"/>
        <v>-25</v>
      </c>
    </row>
    <row r="522" spans="19:21" ht="14.65" thickBot="1" x14ac:dyDescent="0.5">
      <c r="S522" s="37">
        <f t="shared" si="15"/>
        <v>10651.034716523287</v>
      </c>
      <c r="U522" s="26">
        <f t="shared" si="14"/>
        <v>-25</v>
      </c>
    </row>
    <row r="523" spans="19:21" ht="14.65" thickBot="1" x14ac:dyDescent="0.5">
      <c r="S523" s="37">
        <f t="shared" si="15"/>
        <v>10757.54506368852</v>
      </c>
      <c r="U523" s="26">
        <f t="shared" si="14"/>
        <v>-25</v>
      </c>
    </row>
    <row r="524" spans="19:21" ht="14.65" thickBot="1" x14ac:dyDescent="0.5">
      <c r="S524" s="37">
        <f t="shared" si="15"/>
        <v>10865.120514325405</v>
      </c>
      <c r="U524" s="26">
        <f t="shared" si="14"/>
        <v>-25</v>
      </c>
    </row>
    <row r="525" spans="19:21" ht="14.65" thickBot="1" x14ac:dyDescent="0.5">
      <c r="S525" s="37">
        <f t="shared" si="15"/>
        <v>10973.771719468659</v>
      </c>
      <c r="U525" s="26">
        <f t="shared" si="14"/>
        <v>-25</v>
      </c>
    </row>
    <row r="526" spans="19:21" ht="14.65" thickBot="1" x14ac:dyDescent="0.5">
      <c r="S526" s="37">
        <f t="shared" si="15"/>
        <v>11083.509436663346</v>
      </c>
      <c r="U526" s="26">
        <f t="shared" si="14"/>
        <v>-25</v>
      </c>
    </row>
    <row r="527" spans="19:21" ht="14.65" thickBot="1" x14ac:dyDescent="0.5">
      <c r="S527" s="37">
        <f t="shared" si="15"/>
        <v>11194.344531029979</v>
      </c>
      <c r="U527" s="26">
        <f t="shared" si="14"/>
        <v>-25</v>
      </c>
    </row>
    <row r="528" spans="19:21" ht="14.65" thickBot="1" x14ac:dyDescent="0.5">
      <c r="S528" s="37">
        <f t="shared" si="15"/>
        <v>11306.28797634028</v>
      </c>
      <c r="U528" s="26">
        <f t="shared" si="14"/>
        <v>-25</v>
      </c>
    </row>
    <row r="529" spans="19:21" ht="14.65" thickBot="1" x14ac:dyDescent="0.5">
      <c r="S529" s="37">
        <f t="shared" si="15"/>
        <v>11419.350856103683</v>
      </c>
      <c r="U529" s="26">
        <f t="shared" si="14"/>
        <v>-25</v>
      </c>
    </row>
    <row r="530" spans="19:21" ht="14.65" thickBot="1" x14ac:dyDescent="0.5">
      <c r="S530" s="37">
        <f t="shared" si="15"/>
        <v>11533.54436466472</v>
      </c>
      <c r="U530" s="26">
        <f t="shared" ref="U530:U593" si="16">IF(S530&lt;$D$8,$D$7-S530-$D$9,$D$7-$D$8-$D$9)</f>
        <v>-25</v>
      </c>
    </row>
    <row r="531" spans="19:21" ht="14.65" thickBot="1" x14ac:dyDescent="0.5">
      <c r="S531" s="37">
        <f t="shared" ref="S531:S594" si="17">S530*(1.01)</f>
        <v>11648.879808311367</v>
      </c>
      <c r="U531" s="26">
        <f t="shared" si="16"/>
        <v>-25</v>
      </c>
    </row>
    <row r="532" spans="19:21" ht="14.65" thickBot="1" x14ac:dyDescent="0.5">
      <c r="S532" s="37">
        <f t="shared" si="17"/>
        <v>11765.368606394481</v>
      </c>
      <c r="U532" s="26">
        <f t="shared" si="16"/>
        <v>-25</v>
      </c>
    </row>
    <row r="533" spans="19:21" ht="14.65" thickBot="1" x14ac:dyDescent="0.5">
      <c r="S533" s="37">
        <f t="shared" si="17"/>
        <v>11883.022292458425</v>
      </c>
      <c r="U533" s="26">
        <f t="shared" si="16"/>
        <v>-25</v>
      </c>
    </row>
    <row r="534" spans="19:21" ht="14.65" thickBot="1" x14ac:dyDescent="0.5">
      <c r="S534" s="37">
        <f t="shared" si="17"/>
        <v>12001.852515383009</v>
      </c>
      <c r="U534" s="26">
        <f t="shared" si="16"/>
        <v>-25</v>
      </c>
    </row>
    <row r="535" spans="19:21" ht="14.65" thickBot="1" x14ac:dyDescent="0.5">
      <c r="S535" s="37">
        <f t="shared" si="17"/>
        <v>12121.871040536838</v>
      </c>
      <c r="U535" s="26">
        <f t="shared" si="16"/>
        <v>-25</v>
      </c>
    </row>
    <row r="536" spans="19:21" ht="14.65" thickBot="1" x14ac:dyDescent="0.5">
      <c r="S536" s="37">
        <f t="shared" si="17"/>
        <v>12243.089750942207</v>
      </c>
      <c r="U536" s="26">
        <f t="shared" si="16"/>
        <v>-25</v>
      </c>
    </row>
    <row r="537" spans="19:21" ht="14.65" thickBot="1" x14ac:dyDescent="0.5">
      <c r="S537" s="37">
        <f t="shared" si="17"/>
        <v>12365.520648451629</v>
      </c>
      <c r="U537" s="26">
        <f t="shared" si="16"/>
        <v>-25</v>
      </c>
    </row>
    <row r="538" spans="19:21" ht="14.65" thickBot="1" x14ac:dyDescent="0.5">
      <c r="S538" s="37">
        <f t="shared" si="17"/>
        <v>12489.175854936146</v>
      </c>
      <c r="U538" s="26">
        <f t="shared" si="16"/>
        <v>-25</v>
      </c>
    </row>
    <row r="539" spans="19:21" ht="14.65" thickBot="1" x14ac:dyDescent="0.5">
      <c r="S539" s="37">
        <f t="shared" si="17"/>
        <v>12614.067613485508</v>
      </c>
      <c r="U539" s="26">
        <f t="shared" si="16"/>
        <v>-25</v>
      </c>
    </row>
    <row r="540" spans="19:21" ht="14.65" thickBot="1" x14ac:dyDescent="0.5">
      <c r="S540" s="37">
        <f t="shared" si="17"/>
        <v>12740.208289620363</v>
      </c>
      <c r="U540" s="26">
        <f t="shared" si="16"/>
        <v>-25</v>
      </c>
    </row>
    <row r="541" spans="19:21" ht="14.65" thickBot="1" x14ac:dyDescent="0.5">
      <c r="S541" s="37">
        <f t="shared" si="17"/>
        <v>12867.610372516567</v>
      </c>
      <c r="U541" s="26">
        <f t="shared" si="16"/>
        <v>-25</v>
      </c>
    </row>
    <row r="542" spans="19:21" ht="14.65" thickBot="1" x14ac:dyDescent="0.5">
      <c r="S542" s="37">
        <f t="shared" si="17"/>
        <v>12996.286476241732</v>
      </c>
      <c r="U542" s="26">
        <f t="shared" si="16"/>
        <v>-25</v>
      </c>
    </row>
    <row r="543" spans="19:21" ht="14.65" thickBot="1" x14ac:dyDescent="0.5">
      <c r="S543" s="37">
        <f t="shared" si="17"/>
        <v>13126.24934100415</v>
      </c>
      <c r="U543" s="26">
        <f t="shared" si="16"/>
        <v>-25</v>
      </c>
    </row>
    <row r="544" spans="19:21" ht="14.65" thickBot="1" x14ac:dyDescent="0.5">
      <c r="S544" s="37">
        <f t="shared" si="17"/>
        <v>13257.511834414192</v>
      </c>
      <c r="U544" s="26">
        <f t="shared" si="16"/>
        <v>-25</v>
      </c>
    </row>
    <row r="545" spans="19:21" ht="14.65" thickBot="1" x14ac:dyDescent="0.5">
      <c r="S545" s="37">
        <f t="shared" si="17"/>
        <v>13390.086952758335</v>
      </c>
      <c r="U545" s="26">
        <f t="shared" si="16"/>
        <v>-25</v>
      </c>
    </row>
    <row r="546" spans="19:21" ht="14.65" thickBot="1" x14ac:dyDescent="0.5">
      <c r="S546" s="37">
        <f t="shared" si="17"/>
        <v>13523.987822285919</v>
      </c>
      <c r="U546" s="26">
        <f t="shared" si="16"/>
        <v>-25</v>
      </c>
    </row>
    <row r="547" spans="19:21" ht="14.65" thickBot="1" x14ac:dyDescent="0.5">
      <c r="S547" s="37">
        <f t="shared" si="17"/>
        <v>13659.227700508778</v>
      </c>
      <c r="U547" s="26">
        <f t="shared" si="16"/>
        <v>-25</v>
      </c>
    </row>
    <row r="548" spans="19:21" ht="14.65" thickBot="1" x14ac:dyDescent="0.5">
      <c r="S548" s="37">
        <f t="shared" si="17"/>
        <v>13795.819977513866</v>
      </c>
      <c r="U548" s="26">
        <f t="shared" si="16"/>
        <v>-25</v>
      </c>
    </row>
    <row r="549" spans="19:21" ht="14.65" thickBot="1" x14ac:dyDescent="0.5">
      <c r="S549" s="37">
        <f t="shared" si="17"/>
        <v>13933.778177289005</v>
      </c>
      <c r="U549" s="26">
        <f t="shared" si="16"/>
        <v>-25</v>
      </c>
    </row>
    <row r="550" spans="19:21" ht="14.65" thickBot="1" x14ac:dyDescent="0.5">
      <c r="S550" s="37">
        <f t="shared" si="17"/>
        <v>14073.115959061895</v>
      </c>
      <c r="U550" s="26">
        <f t="shared" si="16"/>
        <v>-25</v>
      </c>
    </row>
    <row r="551" spans="19:21" ht="14.65" thickBot="1" x14ac:dyDescent="0.5">
      <c r="S551" s="37">
        <f t="shared" si="17"/>
        <v>14213.847118652515</v>
      </c>
      <c r="U551" s="26">
        <f t="shared" si="16"/>
        <v>-25</v>
      </c>
    </row>
    <row r="552" spans="19:21" ht="14.65" thickBot="1" x14ac:dyDescent="0.5">
      <c r="S552" s="37">
        <f t="shared" si="17"/>
        <v>14355.98558983904</v>
      </c>
      <c r="U552" s="26">
        <f t="shared" si="16"/>
        <v>-25</v>
      </c>
    </row>
    <row r="553" spans="19:21" ht="14.65" thickBot="1" x14ac:dyDescent="0.5">
      <c r="S553" s="37">
        <f t="shared" si="17"/>
        <v>14499.545445737431</v>
      </c>
      <c r="U553" s="26">
        <f t="shared" si="16"/>
        <v>-25</v>
      </c>
    </row>
    <row r="554" spans="19:21" ht="14.65" thickBot="1" x14ac:dyDescent="0.5">
      <c r="S554" s="37">
        <f t="shared" si="17"/>
        <v>14644.540900194805</v>
      </c>
      <c r="U554" s="26">
        <f t="shared" si="16"/>
        <v>-25</v>
      </c>
    </row>
    <row r="555" spans="19:21" ht="14.65" thickBot="1" x14ac:dyDescent="0.5">
      <c r="S555" s="37">
        <f t="shared" si="17"/>
        <v>14790.986309196753</v>
      </c>
      <c r="U555" s="26">
        <f t="shared" si="16"/>
        <v>-25</v>
      </c>
    </row>
    <row r="556" spans="19:21" ht="14.65" thickBot="1" x14ac:dyDescent="0.5">
      <c r="S556" s="37">
        <f t="shared" si="17"/>
        <v>14938.89617228872</v>
      </c>
      <c r="U556" s="26">
        <f t="shared" si="16"/>
        <v>-25</v>
      </c>
    </row>
    <row r="557" spans="19:21" ht="14.65" thickBot="1" x14ac:dyDescent="0.5">
      <c r="S557" s="37">
        <f t="shared" si="17"/>
        <v>15088.285134011607</v>
      </c>
      <c r="U557" s="26">
        <f t="shared" si="16"/>
        <v>-25</v>
      </c>
    </row>
    <row r="558" spans="19:21" ht="14.65" thickBot="1" x14ac:dyDescent="0.5">
      <c r="S558" s="37">
        <f t="shared" si="17"/>
        <v>15239.167985351723</v>
      </c>
      <c r="U558" s="26">
        <f t="shared" si="16"/>
        <v>-25</v>
      </c>
    </row>
    <row r="559" spans="19:21" ht="14.65" thickBot="1" x14ac:dyDescent="0.5">
      <c r="S559" s="37">
        <f t="shared" si="17"/>
        <v>15391.559665205241</v>
      </c>
      <c r="U559" s="26">
        <f t="shared" si="16"/>
        <v>-25</v>
      </c>
    </row>
    <row r="560" spans="19:21" ht="14.65" thickBot="1" x14ac:dyDescent="0.5">
      <c r="S560" s="37">
        <f t="shared" si="17"/>
        <v>15545.475261857293</v>
      </c>
      <c r="U560" s="26">
        <f t="shared" si="16"/>
        <v>-25</v>
      </c>
    </row>
    <row r="561" spans="19:21" ht="14.65" thickBot="1" x14ac:dyDescent="0.5">
      <c r="S561" s="37">
        <f t="shared" si="17"/>
        <v>15700.930014475865</v>
      </c>
      <c r="U561" s="26">
        <f t="shared" si="16"/>
        <v>-25</v>
      </c>
    </row>
    <row r="562" spans="19:21" ht="14.65" thickBot="1" x14ac:dyDescent="0.5">
      <c r="S562" s="37">
        <f t="shared" si="17"/>
        <v>15857.939314620624</v>
      </c>
      <c r="U562" s="26">
        <f t="shared" si="16"/>
        <v>-25</v>
      </c>
    </row>
    <row r="563" spans="19:21" ht="14.65" thickBot="1" x14ac:dyDescent="0.5">
      <c r="S563" s="37">
        <f t="shared" si="17"/>
        <v>16016.518707766831</v>
      </c>
      <c r="U563" s="26">
        <f t="shared" si="16"/>
        <v>-25</v>
      </c>
    </row>
    <row r="564" spans="19:21" ht="14.65" thickBot="1" x14ac:dyDescent="0.5">
      <c r="S564" s="37">
        <f t="shared" si="17"/>
        <v>16176.683894844498</v>
      </c>
      <c r="U564" s="26">
        <f t="shared" si="16"/>
        <v>-25</v>
      </c>
    </row>
    <row r="565" spans="19:21" ht="14.65" thickBot="1" x14ac:dyDescent="0.5">
      <c r="S565" s="37">
        <f t="shared" si="17"/>
        <v>16338.450733792943</v>
      </c>
      <c r="U565" s="26">
        <f t="shared" si="16"/>
        <v>-25</v>
      </c>
    </row>
    <row r="566" spans="19:21" ht="14.65" thickBot="1" x14ac:dyDescent="0.5">
      <c r="S566" s="37">
        <f t="shared" si="17"/>
        <v>16501.835241130873</v>
      </c>
      <c r="U566" s="26">
        <f t="shared" si="16"/>
        <v>-25</v>
      </c>
    </row>
    <row r="567" spans="19:21" ht="14.65" thickBot="1" x14ac:dyDescent="0.5">
      <c r="S567" s="37">
        <f t="shared" si="17"/>
        <v>16666.853593542182</v>
      </c>
      <c r="U567" s="26">
        <f t="shared" si="16"/>
        <v>-25</v>
      </c>
    </row>
    <row r="568" spans="19:21" ht="14.65" thickBot="1" x14ac:dyDescent="0.5">
      <c r="S568" s="37">
        <f t="shared" si="17"/>
        <v>16833.522129477606</v>
      </c>
      <c r="U568" s="26">
        <f t="shared" si="16"/>
        <v>-25</v>
      </c>
    </row>
    <row r="569" spans="19:21" ht="14.65" thickBot="1" x14ac:dyDescent="0.5">
      <c r="S569" s="37">
        <f t="shared" si="17"/>
        <v>17001.857350772381</v>
      </c>
      <c r="U569" s="26">
        <f t="shared" si="16"/>
        <v>-25</v>
      </c>
    </row>
    <row r="570" spans="19:21" ht="14.65" thickBot="1" x14ac:dyDescent="0.5">
      <c r="S570" s="37">
        <f t="shared" si="17"/>
        <v>17171.875924280106</v>
      </c>
      <c r="U570" s="26">
        <f t="shared" si="16"/>
        <v>-25</v>
      </c>
    </row>
    <row r="571" spans="19:21" ht="14.65" thickBot="1" x14ac:dyDescent="0.5">
      <c r="S571" s="37">
        <f t="shared" si="17"/>
        <v>17343.594683522908</v>
      </c>
      <c r="U571" s="26">
        <f t="shared" si="16"/>
        <v>-25</v>
      </c>
    </row>
    <row r="572" spans="19:21" ht="14.65" thickBot="1" x14ac:dyDescent="0.5">
      <c r="S572" s="37">
        <f t="shared" si="17"/>
        <v>17517.030630358138</v>
      </c>
      <c r="U572" s="26">
        <f t="shared" si="16"/>
        <v>-25</v>
      </c>
    </row>
    <row r="573" spans="19:21" ht="14.65" thickBot="1" x14ac:dyDescent="0.5">
      <c r="S573" s="37">
        <f t="shared" si="17"/>
        <v>17692.20093666172</v>
      </c>
      <c r="U573" s="26">
        <f t="shared" si="16"/>
        <v>-25</v>
      </c>
    </row>
    <row r="574" spans="19:21" ht="14.65" thickBot="1" x14ac:dyDescent="0.5">
      <c r="S574" s="37">
        <f t="shared" si="17"/>
        <v>17869.122946028339</v>
      </c>
      <c r="U574" s="26">
        <f t="shared" si="16"/>
        <v>-25</v>
      </c>
    </row>
    <row r="575" spans="19:21" ht="14.65" thickBot="1" x14ac:dyDescent="0.5">
      <c r="S575" s="37">
        <f t="shared" si="17"/>
        <v>18047.814175488624</v>
      </c>
      <c r="U575" s="26">
        <f t="shared" si="16"/>
        <v>-25</v>
      </c>
    </row>
    <row r="576" spans="19:21" ht="14.65" thickBot="1" x14ac:dyDescent="0.5">
      <c r="S576" s="37">
        <f t="shared" si="17"/>
        <v>18228.292317243511</v>
      </c>
      <c r="U576" s="26">
        <f t="shared" si="16"/>
        <v>-25</v>
      </c>
    </row>
    <row r="577" spans="19:21" ht="14.65" thickBot="1" x14ac:dyDescent="0.5">
      <c r="S577" s="37">
        <f t="shared" si="17"/>
        <v>18410.575240415947</v>
      </c>
      <c r="U577" s="26">
        <f t="shared" si="16"/>
        <v>-25</v>
      </c>
    </row>
    <row r="578" spans="19:21" ht="14.65" thickBot="1" x14ac:dyDescent="0.5">
      <c r="S578" s="37">
        <f t="shared" si="17"/>
        <v>18594.680992820107</v>
      </c>
      <c r="U578" s="26">
        <f t="shared" si="16"/>
        <v>-25</v>
      </c>
    </row>
    <row r="579" spans="19:21" ht="14.65" thickBot="1" x14ac:dyDescent="0.5">
      <c r="S579" s="37">
        <f t="shared" si="17"/>
        <v>18780.627802748309</v>
      </c>
      <c r="U579" s="26">
        <f t="shared" si="16"/>
        <v>-25</v>
      </c>
    </row>
    <row r="580" spans="19:21" ht="14.65" thickBot="1" x14ac:dyDescent="0.5">
      <c r="S580" s="37">
        <f t="shared" si="17"/>
        <v>18968.434080775794</v>
      </c>
      <c r="U580" s="26">
        <f t="shared" si="16"/>
        <v>-25</v>
      </c>
    </row>
    <row r="581" spans="19:21" ht="14.65" thickBot="1" x14ac:dyDescent="0.5">
      <c r="S581" s="37">
        <f t="shared" si="17"/>
        <v>19158.118421583553</v>
      </c>
      <c r="U581" s="26">
        <f t="shared" si="16"/>
        <v>-25</v>
      </c>
    </row>
    <row r="582" spans="19:21" ht="14.65" thickBot="1" x14ac:dyDescent="0.5">
      <c r="S582" s="37">
        <f t="shared" si="17"/>
        <v>19349.699605799389</v>
      </c>
      <c r="U582" s="26">
        <f t="shared" si="16"/>
        <v>-25</v>
      </c>
    </row>
    <row r="583" spans="19:21" ht="14.65" thickBot="1" x14ac:dyDescent="0.5">
      <c r="S583" s="37">
        <f t="shared" si="17"/>
        <v>19543.196601857384</v>
      </c>
      <c r="U583" s="26">
        <f t="shared" si="16"/>
        <v>-25</v>
      </c>
    </row>
    <row r="584" spans="19:21" ht="14.65" thickBot="1" x14ac:dyDescent="0.5">
      <c r="S584" s="37">
        <f t="shared" si="17"/>
        <v>19738.62856787596</v>
      </c>
      <c r="U584" s="26">
        <f t="shared" si="16"/>
        <v>-25</v>
      </c>
    </row>
    <row r="585" spans="19:21" ht="14.65" thickBot="1" x14ac:dyDescent="0.5">
      <c r="S585" s="37">
        <f t="shared" si="17"/>
        <v>19936.01485355472</v>
      </c>
      <c r="U585" s="26">
        <f t="shared" si="16"/>
        <v>-25</v>
      </c>
    </row>
    <row r="586" spans="19:21" ht="14.65" thickBot="1" x14ac:dyDescent="0.5">
      <c r="S586" s="37">
        <f t="shared" si="17"/>
        <v>20135.375002090266</v>
      </c>
      <c r="U586" s="26">
        <f t="shared" si="16"/>
        <v>-25</v>
      </c>
    </row>
    <row r="587" spans="19:21" ht="14.65" thickBot="1" x14ac:dyDescent="0.5">
      <c r="S587" s="37">
        <f t="shared" si="17"/>
        <v>20336.728752111168</v>
      </c>
      <c r="U587" s="26">
        <f t="shared" si="16"/>
        <v>-25</v>
      </c>
    </row>
    <row r="588" spans="19:21" ht="14.65" thickBot="1" x14ac:dyDescent="0.5">
      <c r="S588" s="37">
        <f t="shared" si="17"/>
        <v>20540.096039632281</v>
      </c>
      <c r="U588" s="26">
        <f t="shared" si="16"/>
        <v>-25</v>
      </c>
    </row>
    <row r="589" spans="19:21" ht="14.65" thickBot="1" x14ac:dyDescent="0.5">
      <c r="S589" s="37">
        <f t="shared" si="17"/>
        <v>20745.497000028605</v>
      </c>
      <c r="U589" s="26">
        <f t="shared" si="16"/>
        <v>-25</v>
      </c>
    </row>
    <row r="590" spans="19:21" ht="14.65" thickBot="1" x14ac:dyDescent="0.5">
      <c r="S590" s="37">
        <f t="shared" si="17"/>
        <v>20952.951970028891</v>
      </c>
      <c r="U590" s="26">
        <f t="shared" si="16"/>
        <v>-25</v>
      </c>
    </row>
    <row r="591" spans="19:21" ht="14.65" thickBot="1" x14ac:dyDescent="0.5">
      <c r="S591" s="37">
        <f t="shared" si="17"/>
        <v>21162.48148972918</v>
      </c>
      <c r="U591" s="26">
        <f t="shared" si="16"/>
        <v>-25</v>
      </c>
    </row>
    <row r="592" spans="19:21" ht="14.65" thickBot="1" x14ac:dyDescent="0.5">
      <c r="S592" s="37">
        <f t="shared" si="17"/>
        <v>21374.106304626472</v>
      </c>
      <c r="U592" s="26">
        <f t="shared" si="16"/>
        <v>-25</v>
      </c>
    </row>
    <row r="593" spans="19:21" ht="14.65" thickBot="1" x14ac:dyDescent="0.5">
      <c r="S593" s="37">
        <f t="shared" si="17"/>
        <v>21587.847367672737</v>
      </c>
      <c r="U593" s="26">
        <f t="shared" si="16"/>
        <v>-25</v>
      </c>
    </row>
    <row r="594" spans="19:21" ht="14.65" thickBot="1" x14ac:dyDescent="0.5">
      <c r="S594" s="37">
        <f t="shared" si="17"/>
        <v>21803.725841349464</v>
      </c>
      <c r="U594" s="26">
        <f t="shared" ref="U594:U657" si="18">IF(S594&lt;$D$8,$D$7-S594-$D$9,$D$7-$D$8-$D$9)</f>
        <v>-25</v>
      </c>
    </row>
    <row r="595" spans="19:21" ht="14.65" thickBot="1" x14ac:dyDescent="0.5">
      <c r="S595" s="37">
        <f t="shared" ref="S595:S658" si="19">S594*(1.01)</f>
        <v>22021.76309976296</v>
      </c>
      <c r="U595" s="26">
        <f t="shared" si="18"/>
        <v>-25</v>
      </c>
    </row>
    <row r="596" spans="19:21" ht="14.65" thickBot="1" x14ac:dyDescent="0.5">
      <c r="S596" s="37">
        <f t="shared" si="19"/>
        <v>22241.980730760592</v>
      </c>
      <c r="U596" s="26">
        <f t="shared" si="18"/>
        <v>-25</v>
      </c>
    </row>
    <row r="597" spans="19:21" ht="14.65" thickBot="1" x14ac:dyDescent="0.5">
      <c r="S597" s="37">
        <f t="shared" si="19"/>
        <v>22464.400538068199</v>
      </c>
      <c r="U597" s="26">
        <f t="shared" si="18"/>
        <v>-25</v>
      </c>
    </row>
    <row r="598" spans="19:21" ht="14.65" thickBot="1" x14ac:dyDescent="0.5">
      <c r="S598" s="37">
        <f t="shared" si="19"/>
        <v>22689.044543448883</v>
      </c>
      <c r="U598" s="26">
        <f t="shared" si="18"/>
        <v>-25</v>
      </c>
    </row>
    <row r="599" spans="19:21" ht="14.65" thickBot="1" x14ac:dyDescent="0.5">
      <c r="S599" s="37">
        <f t="shared" si="19"/>
        <v>22915.934988883371</v>
      </c>
      <c r="U599" s="26">
        <f t="shared" si="18"/>
        <v>-25</v>
      </c>
    </row>
    <row r="600" spans="19:21" ht="14.65" thickBot="1" x14ac:dyDescent="0.5">
      <c r="S600" s="37">
        <f t="shared" si="19"/>
        <v>23145.094338772204</v>
      </c>
      <c r="U600" s="26">
        <f t="shared" si="18"/>
        <v>-25</v>
      </c>
    </row>
    <row r="601" spans="19:21" ht="14.65" thickBot="1" x14ac:dyDescent="0.5">
      <c r="S601" s="37">
        <f t="shared" si="19"/>
        <v>23376.545282159925</v>
      </c>
      <c r="U601" s="26">
        <f t="shared" si="18"/>
        <v>-25</v>
      </c>
    </row>
    <row r="602" spans="19:21" ht="14.65" thickBot="1" x14ac:dyDescent="0.5">
      <c r="S602" s="37">
        <f t="shared" si="19"/>
        <v>23610.310734981525</v>
      </c>
      <c r="U602" s="26">
        <f t="shared" si="18"/>
        <v>-25</v>
      </c>
    </row>
    <row r="603" spans="19:21" ht="14.65" thickBot="1" x14ac:dyDescent="0.5">
      <c r="S603" s="37">
        <f t="shared" si="19"/>
        <v>23846.413842331342</v>
      </c>
      <c r="U603" s="26">
        <f t="shared" si="18"/>
        <v>-25</v>
      </c>
    </row>
    <row r="604" spans="19:21" ht="14.65" thickBot="1" x14ac:dyDescent="0.5">
      <c r="S604" s="37">
        <f t="shared" si="19"/>
        <v>24084.877980754656</v>
      </c>
      <c r="U604" s="26">
        <f t="shared" si="18"/>
        <v>-25</v>
      </c>
    </row>
    <row r="605" spans="19:21" ht="14.65" thickBot="1" x14ac:dyDescent="0.5">
      <c r="S605" s="37">
        <f t="shared" si="19"/>
        <v>24325.726760562204</v>
      </c>
      <c r="U605" s="26">
        <f t="shared" si="18"/>
        <v>-25</v>
      </c>
    </row>
    <row r="606" spans="19:21" ht="14.65" thickBot="1" x14ac:dyDescent="0.5">
      <c r="S606" s="37">
        <f t="shared" si="19"/>
        <v>24568.984028167826</v>
      </c>
      <c r="U606" s="26">
        <f t="shared" si="18"/>
        <v>-25</v>
      </c>
    </row>
    <row r="607" spans="19:21" ht="14.65" thickBot="1" x14ac:dyDescent="0.5">
      <c r="S607" s="37">
        <f t="shared" si="19"/>
        <v>24814.673868449503</v>
      </c>
      <c r="U607" s="26">
        <f t="shared" si="18"/>
        <v>-25</v>
      </c>
    </row>
    <row r="608" spans="19:21" ht="14.65" thickBot="1" x14ac:dyDescent="0.5">
      <c r="S608" s="37">
        <f t="shared" si="19"/>
        <v>25062.820607133999</v>
      </c>
      <c r="U608" s="26">
        <f t="shared" si="18"/>
        <v>-25</v>
      </c>
    </row>
    <row r="609" spans="19:21" ht="14.65" thickBot="1" x14ac:dyDescent="0.5">
      <c r="S609" s="37">
        <f t="shared" si="19"/>
        <v>25313.448813205341</v>
      </c>
      <c r="U609" s="26">
        <f t="shared" si="18"/>
        <v>-25</v>
      </c>
    </row>
    <row r="610" spans="19:21" ht="14.65" thickBot="1" x14ac:dyDescent="0.5">
      <c r="S610" s="37">
        <f t="shared" si="19"/>
        <v>25566.583301337396</v>
      </c>
      <c r="U610" s="26">
        <f t="shared" si="18"/>
        <v>-25</v>
      </c>
    </row>
    <row r="611" spans="19:21" ht="14.65" thickBot="1" x14ac:dyDescent="0.5">
      <c r="S611" s="37">
        <f t="shared" si="19"/>
        <v>25822.249134350772</v>
      </c>
      <c r="U611" s="26">
        <f t="shared" si="18"/>
        <v>-25</v>
      </c>
    </row>
    <row r="612" spans="19:21" ht="14.65" thickBot="1" x14ac:dyDescent="0.5">
      <c r="S612" s="37">
        <f t="shared" si="19"/>
        <v>26080.471625694281</v>
      </c>
      <c r="U612" s="26">
        <f t="shared" si="18"/>
        <v>-25</v>
      </c>
    </row>
    <row r="613" spans="19:21" ht="14.65" thickBot="1" x14ac:dyDescent="0.5">
      <c r="S613" s="37">
        <f t="shared" si="19"/>
        <v>26341.276341951223</v>
      </c>
      <c r="U613" s="26">
        <f t="shared" si="18"/>
        <v>-25</v>
      </c>
    </row>
    <row r="614" spans="19:21" ht="14.65" thickBot="1" x14ac:dyDescent="0.5">
      <c r="S614" s="37">
        <f t="shared" si="19"/>
        <v>26604.689105370737</v>
      </c>
      <c r="U614" s="26">
        <f t="shared" si="18"/>
        <v>-25</v>
      </c>
    </row>
    <row r="615" spans="19:21" ht="14.65" thickBot="1" x14ac:dyDescent="0.5">
      <c r="S615" s="37">
        <f t="shared" si="19"/>
        <v>26870.735996424446</v>
      </c>
      <c r="U615" s="26">
        <f t="shared" si="18"/>
        <v>-25</v>
      </c>
    </row>
    <row r="616" spans="19:21" ht="14.65" thickBot="1" x14ac:dyDescent="0.5">
      <c r="S616" s="37">
        <f t="shared" si="19"/>
        <v>27139.443356388692</v>
      </c>
      <c r="U616" s="26">
        <f t="shared" si="18"/>
        <v>-25</v>
      </c>
    </row>
    <row r="617" spans="19:21" ht="14.65" thickBot="1" x14ac:dyDescent="0.5">
      <c r="S617" s="37">
        <f t="shared" si="19"/>
        <v>27410.83778995258</v>
      </c>
      <c r="U617" s="26">
        <f t="shared" si="18"/>
        <v>-25</v>
      </c>
    </row>
    <row r="618" spans="19:21" ht="14.65" thickBot="1" x14ac:dyDescent="0.5">
      <c r="S618" s="37">
        <f t="shared" si="19"/>
        <v>27684.946167852107</v>
      </c>
      <c r="U618" s="26">
        <f t="shared" si="18"/>
        <v>-25</v>
      </c>
    </row>
    <row r="619" spans="19:21" ht="14.65" thickBot="1" x14ac:dyDescent="0.5">
      <c r="S619" s="37">
        <f t="shared" si="19"/>
        <v>27961.795629530629</v>
      </c>
      <c r="U619" s="26">
        <f t="shared" si="18"/>
        <v>-25</v>
      </c>
    </row>
    <row r="620" spans="19:21" ht="14.65" thickBot="1" x14ac:dyDescent="0.5">
      <c r="S620" s="37">
        <f t="shared" si="19"/>
        <v>28241.413585825936</v>
      </c>
      <c r="U620" s="26">
        <f t="shared" si="18"/>
        <v>-25</v>
      </c>
    </row>
    <row r="621" spans="19:21" ht="14.65" thickBot="1" x14ac:dyDescent="0.5">
      <c r="S621" s="37">
        <f t="shared" si="19"/>
        <v>28523.827721684196</v>
      </c>
      <c r="U621" s="26">
        <f t="shared" si="18"/>
        <v>-25</v>
      </c>
    </row>
    <row r="622" spans="19:21" ht="14.65" thickBot="1" x14ac:dyDescent="0.5">
      <c r="S622" s="37">
        <f t="shared" si="19"/>
        <v>28809.065998901038</v>
      </c>
      <c r="U622" s="26">
        <f t="shared" si="18"/>
        <v>-25</v>
      </c>
    </row>
    <row r="623" spans="19:21" ht="14.65" thickBot="1" x14ac:dyDescent="0.5">
      <c r="S623" s="37">
        <f t="shared" si="19"/>
        <v>29097.15665889005</v>
      </c>
      <c r="U623" s="26">
        <f t="shared" si="18"/>
        <v>-25</v>
      </c>
    </row>
    <row r="624" spans="19:21" ht="14.65" thickBot="1" x14ac:dyDescent="0.5">
      <c r="S624" s="37">
        <f t="shared" si="19"/>
        <v>29388.128225478951</v>
      </c>
      <c r="U624" s="26">
        <f t="shared" si="18"/>
        <v>-25</v>
      </c>
    </row>
    <row r="625" spans="19:21" ht="14.65" thickBot="1" x14ac:dyDescent="0.5">
      <c r="S625" s="37">
        <f t="shared" si="19"/>
        <v>29682.009507733743</v>
      </c>
      <c r="U625" s="26">
        <f t="shared" si="18"/>
        <v>-25</v>
      </c>
    </row>
    <row r="626" spans="19:21" ht="14.65" thickBot="1" x14ac:dyDescent="0.5">
      <c r="S626" s="37">
        <f t="shared" si="19"/>
        <v>29978.829602811082</v>
      </c>
      <c r="U626" s="26">
        <f t="shared" si="18"/>
        <v>-25</v>
      </c>
    </row>
    <row r="627" spans="19:21" ht="14.65" thickBot="1" x14ac:dyDescent="0.5">
      <c r="S627" s="37">
        <f t="shared" si="19"/>
        <v>30278.617898839191</v>
      </c>
      <c r="U627" s="26">
        <f t="shared" si="18"/>
        <v>-25</v>
      </c>
    </row>
    <row r="628" spans="19:21" ht="14.65" thickBot="1" x14ac:dyDescent="0.5">
      <c r="S628" s="37">
        <f t="shared" si="19"/>
        <v>30581.404077827585</v>
      </c>
      <c r="U628" s="26">
        <f t="shared" si="18"/>
        <v>-25</v>
      </c>
    </row>
    <row r="629" spans="19:21" ht="14.65" thickBot="1" x14ac:dyDescent="0.5">
      <c r="S629" s="37">
        <f t="shared" si="19"/>
        <v>30887.218118605862</v>
      </c>
      <c r="U629" s="26">
        <f t="shared" si="18"/>
        <v>-25</v>
      </c>
    </row>
    <row r="630" spans="19:21" ht="14.65" thickBot="1" x14ac:dyDescent="0.5">
      <c r="S630" s="37">
        <f t="shared" si="19"/>
        <v>31196.090299791922</v>
      </c>
      <c r="U630" s="26">
        <f t="shared" si="18"/>
        <v>-25</v>
      </c>
    </row>
    <row r="631" spans="19:21" ht="14.65" thickBot="1" x14ac:dyDescent="0.5">
      <c r="S631" s="37">
        <f t="shared" si="19"/>
        <v>31508.05120278984</v>
      </c>
      <c r="U631" s="26">
        <f t="shared" si="18"/>
        <v>-25</v>
      </c>
    </row>
    <row r="632" spans="19:21" ht="14.65" thickBot="1" x14ac:dyDescent="0.5">
      <c r="S632" s="37">
        <f t="shared" si="19"/>
        <v>31823.13171481774</v>
      </c>
      <c r="U632" s="26">
        <f t="shared" si="18"/>
        <v>-25</v>
      </c>
    </row>
    <row r="633" spans="19:21" ht="14.65" thickBot="1" x14ac:dyDescent="0.5">
      <c r="S633" s="37">
        <f t="shared" si="19"/>
        <v>32141.363031965917</v>
      </c>
      <c r="U633" s="26">
        <f t="shared" si="18"/>
        <v>-25</v>
      </c>
    </row>
    <row r="634" spans="19:21" ht="14.65" thickBot="1" x14ac:dyDescent="0.5">
      <c r="S634" s="37">
        <f t="shared" si="19"/>
        <v>32462.776662285578</v>
      </c>
      <c r="U634" s="26">
        <f t="shared" si="18"/>
        <v>-25</v>
      </c>
    </row>
    <row r="635" spans="19:21" ht="14.65" thickBot="1" x14ac:dyDescent="0.5">
      <c r="S635" s="37">
        <f t="shared" si="19"/>
        <v>32787.404428908434</v>
      </c>
      <c r="U635" s="26">
        <f t="shared" si="18"/>
        <v>-25</v>
      </c>
    </row>
    <row r="636" spans="19:21" ht="14.65" thickBot="1" x14ac:dyDescent="0.5">
      <c r="S636" s="37">
        <f t="shared" si="19"/>
        <v>33115.278473197519</v>
      </c>
      <c r="U636" s="26">
        <f t="shared" si="18"/>
        <v>-25</v>
      </c>
    </row>
    <row r="637" spans="19:21" ht="14.65" thickBot="1" x14ac:dyDescent="0.5">
      <c r="S637" s="37">
        <f t="shared" si="19"/>
        <v>33446.431257929493</v>
      </c>
      <c r="U637" s="26">
        <f t="shared" si="18"/>
        <v>-25</v>
      </c>
    </row>
    <row r="638" spans="19:21" ht="14.65" thickBot="1" x14ac:dyDescent="0.5">
      <c r="S638" s="37">
        <f t="shared" si="19"/>
        <v>33780.895570508786</v>
      </c>
      <c r="U638" s="26">
        <f t="shared" si="18"/>
        <v>-25</v>
      </c>
    </row>
    <row r="639" spans="19:21" ht="14.65" thickBot="1" x14ac:dyDescent="0.5">
      <c r="S639" s="37">
        <f t="shared" si="19"/>
        <v>34118.704526213878</v>
      </c>
      <c r="U639" s="26">
        <f t="shared" si="18"/>
        <v>-25</v>
      </c>
    </row>
    <row r="640" spans="19:21" ht="14.65" thickBot="1" x14ac:dyDescent="0.5">
      <c r="S640" s="37">
        <f t="shared" si="19"/>
        <v>34459.891571476015</v>
      </c>
      <c r="U640" s="26">
        <f t="shared" si="18"/>
        <v>-25</v>
      </c>
    </row>
    <row r="641" spans="19:21" ht="14.65" thickBot="1" x14ac:dyDescent="0.5">
      <c r="S641" s="37">
        <f t="shared" si="19"/>
        <v>34804.490487190778</v>
      </c>
      <c r="U641" s="26">
        <f t="shared" si="18"/>
        <v>-25</v>
      </c>
    </row>
    <row r="642" spans="19:21" ht="14.65" thickBot="1" x14ac:dyDescent="0.5">
      <c r="S642" s="37">
        <f t="shared" si="19"/>
        <v>35152.535392062688</v>
      </c>
      <c r="U642" s="26">
        <f t="shared" si="18"/>
        <v>-25</v>
      </c>
    </row>
    <row r="643" spans="19:21" ht="14.65" thickBot="1" x14ac:dyDescent="0.5">
      <c r="S643" s="37">
        <f t="shared" si="19"/>
        <v>35504.060745983312</v>
      </c>
      <c r="U643" s="26">
        <f t="shared" si="18"/>
        <v>-25</v>
      </c>
    </row>
    <row r="644" spans="19:21" ht="14.65" thickBot="1" x14ac:dyDescent="0.5">
      <c r="S644" s="37">
        <f t="shared" si="19"/>
        <v>35859.101353443148</v>
      </c>
      <c r="U644" s="26">
        <f t="shared" si="18"/>
        <v>-25</v>
      </c>
    </row>
    <row r="645" spans="19:21" ht="14.65" thickBot="1" x14ac:dyDescent="0.5">
      <c r="S645" s="37">
        <f t="shared" si="19"/>
        <v>36217.692366977579</v>
      </c>
      <c r="U645" s="26">
        <f t="shared" si="18"/>
        <v>-25</v>
      </c>
    </row>
    <row r="646" spans="19:21" ht="14.65" thickBot="1" x14ac:dyDescent="0.5">
      <c r="S646" s="37">
        <f t="shared" si="19"/>
        <v>36579.869290647352</v>
      </c>
      <c r="U646" s="26">
        <f t="shared" si="18"/>
        <v>-25</v>
      </c>
    </row>
    <row r="647" spans="19:21" ht="14.65" thickBot="1" x14ac:dyDescent="0.5">
      <c r="S647" s="37">
        <f t="shared" si="19"/>
        <v>36945.667983553823</v>
      </c>
      <c r="U647" s="26">
        <f t="shared" si="18"/>
        <v>-25</v>
      </c>
    </row>
    <row r="648" spans="19:21" ht="14.65" thickBot="1" x14ac:dyDescent="0.5">
      <c r="S648" s="37">
        <f t="shared" si="19"/>
        <v>37315.124663389361</v>
      </c>
      <c r="U648" s="26">
        <f t="shared" si="18"/>
        <v>-25</v>
      </c>
    </row>
    <row r="649" spans="19:21" ht="14.65" thickBot="1" x14ac:dyDescent="0.5">
      <c r="S649" s="37">
        <f t="shared" si="19"/>
        <v>37688.275910023258</v>
      </c>
      <c r="U649" s="26">
        <f t="shared" si="18"/>
        <v>-25</v>
      </c>
    </row>
    <row r="650" spans="19:21" ht="14.65" thickBot="1" x14ac:dyDescent="0.5">
      <c r="S650" s="37">
        <f t="shared" si="19"/>
        <v>38065.158669123492</v>
      </c>
      <c r="U650" s="26">
        <f t="shared" si="18"/>
        <v>-25</v>
      </c>
    </row>
    <row r="651" spans="19:21" ht="14.65" thickBot="1" x14ac:dyDescent="0.5">
      <c r="S651" s="37">
        <f t="shared" si="19"/>
        <v>38445.810255814729</v>
      </c>
      <c r="U651" s="26">
        <f t="shared" si="18"/>
        <v>-25</v>
      </c>
    </row>
    <row r="652" spans="19:21" ht="14.65" thickBot="1" x14ac:dyDescent="0.5">
      <c r="S652" s="37">
        <f t="shared" si="19"/>
        <v>38830.268358372879</v>
      </c>
      <c r="U652" s="26">
        <f t="shared" si="18"/>
        <v>-25</v>
      </c>
    </row>
    <row r="653" spans="19:21" ht="14.65" thickBot="1" x14ac:dyDescent="0.5">
      <c r="S653" s="37">
        <f t="shared" si="19"/>
        <v>39218.571041956609</v>
      </c>
      <c r="U653" s="26">
        <f t="shared" si="18"/>
        <v>-25</v>
      </c>
    </row>
    <row r="654" spans="19:21" ht="14.65" thickBot="1" x14ac:dyDescent="0.5">
      <c r="S654" s="37">
        <f t="shared" si="19"/>
        <v>39610.756752376175</v>
      </c>
      <c r="U654" s="26">
        <f t="shared" si="18"/>
        <v>-25</v>
      </c>
    </row>
    <row r="655" spans="19:21" ht="14.65" thickBot="1" x14ac:dyDescent="0.5">
      <c r="S655" s="37">
        <f t="shared" si="19"/>
        <v>40006.864319899934</v>
      </c>
      <c r="U655" s="26">
        <f t="shared" si="18"/>
        <v>-25</v>
      </c>
    </row>
    <row r="656" spans="19:21" ht="14.65" thickBot="1" x14ac:dyDescent="0.5">
      <c r="S656" s="37">
        <f t="shared" si="19"/>
        <v>40406.93296309893</v>
      </c>
      <c r="U656" s="26">
        <f t="shared" si="18"/>
        <v>-25</v>
      </c>
    </row>
    <row r="657" spans="19:21" ht="14.65" thickBot="1" x14ac:dyDescent="0.5">
      <c r="S657" s="37">
        <f t="shared" si="19"/>
        <v>40811.002292729921</v>
      </c>
      <c r="U657" s="26">
        <f t="shared" si="18"/>
        <v>-25</v>
      </c>
    </row>
    <row r="658" spans="19:21" ht="14.65" thickBot="1" x14ac:dyDescent="0.5">
      <c r="S658" s="37">
        <f t="shared" si="19"/>
        <v>41219.112315657221</v>
      </c>
      <c r="U658" s="26">
        <f t="shared" ref="U658:U721" si="20">IF(S658&lt;$D$8,$D$7-S658-$D$9,$D$7-$D$8-$D$9)</f>
        <v>-25</v>
      </c>
    </row>
    <row r="659" spans="19:21" ht="14.65" thickBot="1" x14ac:dyDescent="0.5">
      <c r="S659" s="37">
        <f t="shared" ref="S659:S722" si="21">S658*(1.01)</f>
        <v>41631.303438813797</v>
      </c>
      <c r="U659" s="26">
        <f t="shared" si="20"/>
        <v>-25</v>
      </c>
    </row>
    <row r="660" spans="19:21" ht="14.65" thickBot="1" x14ac:dyDescent="0.5">
      <c r="S660" s="37">
        <f t="shared" si="21"/>
        <v>42047.616473201932</v>
      </c>
      <c r="U660" s="26">
        <f t="shared" si="20"/>
        <v>-25</v>
      </c>
    </row>
    <row r="661" spans="19:21" ht="14.65" thickBot="1" x14ac:dyDescent="0.5">
      <c r="S661" s="37">
        <f t="shared" si="21"/>
        <v>42468.092637933951</v>
      </c>
      <c r="U661" s="26">
        <f t="shared" si="20"/>
        <v>-25</v>
      </c>
    </row>
    <row r="662" spans="19:21" ht="14.65" thickBot="1" x14ac:dyDescent="0.5">
      <c r="S662" s="37">
        <f t="shared" si="21"/>
        <v>42892.773564313291</v>
      </c>
      <c r="U662" s="26">
        <f t="shared" si="20"/>
        <v>-25</v>
      </c>
    </row>
    <row r="663" spans="19:21" ht="14.65" thickBot="1" x14ac:dyDescent="0.5">
      <c r="S663" s="37">
        <f t="shared" si="21"/>
        <v>43321.701299956425</v>
      </c>
      <c r="U663" s="26">
        <f t="shared" si="20"/>
        <v>-25</v>
      </c>
    </row>
    <row r="664" spans="19:21" ht="14.65" thickBot="1" x14ac:dyDescent="0.5">
      <c r="S664" s="37">
        <f t="shared" si="21"/>
        <v>43754.91831295599</v>
      </c>
      <c r="U664" s="26">
        <f t="shared" si="20"/>
        <v>-25</v>
      </c>
    </row>
    <row r="665" spans="19:21" ht="14.65" thickBot="1" x14ac:dyDescent="0.5">
      <c r="S665" s="37">
        <f t="shared" si="21"/>
        <v>44192.467496085548</v>
      </c>
      <c r="U665" s="26">
        <f t="shared" si="20"/>
        <v>-25</v>
      </c>
    </row>
    <row r="666" spans="19:21" ht="14.65" thickBot="1" x14ac:dyDescent="0.5">
      <c r="S666" s="37">
        <f t="shared" si="21"/>
        <v>44634.392171046406</v>
      </c>
      <c r="U666" s="26">
        <f t="shared" si="20"/>
        <v>-25</v>
      </c>
    </row>
    <row r="667" spans="19:21" ht="14.65" thickBot="1" x14ac:dyDescent="0.5">
      <c r="S667" s="37">
        <f t="shared" si="21"/>
        <v>45080.736092756873</v>
      </c>
      <c r="U667" s="26">
        <f t="shared" si="20"/>
        <v>-25</v>
      </c>
    </row>
    <row r="668" spans="19:21" ht="14.65" thickBot="1" x14ac:dyDescent="0.5">
      <c r="S668" s="37">
        <f t="shared" si="21"/>
        <v>45531.54345368444</v>
      </c>
      <c r="U668" s="26">
        <f t="shared" si="20"/>
        <v>-25</v>
      </c>
    </row>
    <row r="669" spans="19:21" ht="14.65" thickBot="1" x14ac:dyDescent="0.5">
      <c r="S669" s="37">
        <f t="shared" si="21"/>
        <v>45986.858888221286</v>
      </c>
      <c r="U669" s="26">
        <f t="shared" si="20"/>
        <v>-25</v>
      </c>
    </row>
    <row r="670" spans="19:21" ht="14.65" thickBot="1" x14ac:dyDescent="0.5">
      <c r="S670" s="37">
        <f t="shared" si="21"/>
        <v>46446.727477103501</v>
      </c>
      <c r="U670" s="26">
        <f t="shared" si="20"/>
        <v>-25</v>
      </c>
    </row>
    <row r="671" spans="19:21" ht="14.65" thickBot="1" x14ac:dyDescent="0.5">
      <c r="S671" s="37">
        <f t="shared" si="21"/>
        <v>46911.194751874536</v>
      </c>
      <c r="U671" s="26">
        <f t="shared" si="20"/>
        <v>-25</v>
      </c>
    </row>
    <row r="672" spans="19:21" ht="14.65" thickBot="1" x14ac:dyDescent="0.5">
      <c r="S672" s="37">
        <f t="shared" si="21"/>
        <v>47380.306699393281</v>
      </c>
      <c r="U672" s="26">
        <f t="shared" si="20"/>
        <v>-25</v>
      </c>
    </row>
    <row r="673" spans="19:21" ht="14.65" thickBot="1" x14ac:dyDescent="0.5">
      <c r="S673" s="37">
        <f t="shared" si="21"/>
        <v>47854.109766387213</v>
      </c>
      <c r="U673" s="26">
        <f t="shared" si="20"/>
        <v>-25</v>
      </c>
    </row>
    <row r="674" spans="19:21" ht="14.65" thickBot="1" x14ac:dyDescent="0.5">
      <c r="S674" s="37">
        <f t="shared" si="21"/>
        <v>48332.650864051087</v>
      </c>
      <c r="U674" s="26">
        <f t="shared" si="20"/>
        <v>-25</v>
      </c>
    </row>
    <row r="675" spans="19:21" ht="14.65" thickBot="1" x14ac:dyDescent="0.5">
      <c r="S675" s="37">
        <f t="shared" si="21"/>
        <v>48815.977372691596</v>
      </c>
      <c r="U675" s="26">
        <f t="shared" si="20"/>
        <v>-25</v>
      </c>
    </row>
    <row r="676" spans="19:21" ht="14.65" thickBot="1" x14ac:dyDescent="0.5">
      <c r="S676" s="37">
        <f t="shared" si="21"/>
        <v>49304.137146418514</v>
      </c>
      <c r="U676" s="26">
        <f t="shared" si="20"/>
        <v>-25</v>
      </c>
    </row>
    <row r="677" spans="19:21" ht="14.65" thickBot="1" x14ac:dyDescent="0.5">
      <c r="S677" s="37">
        <f t="shared" si="21"/>
        <v>49797.178517882698</v>
      </c>
      <c r="U677" s="26">
        <f t="shared" si="20"/>
        <v>-25</v>
      </c>
    </row>
    <row r="678" spans="19:21" ht="14.65" thickBot="1" x14ac:dyDescent="0.5">
      <c r="S678" s="37">
        <f t="shared" si="21"/>
        <v>50295.150303061528</v>
      </c>
      <c r="U678" s="26">
        <f t="shared" si="20"/>
        <v>-25</v>
      </c>
    </row>
    <row r="679" spans="19:21" ht="14.65" thickBot="1" x14ac:dyDescent="0.5">
      <c r="S679" s="37">
        <f t="shared" si="21"/>
        <v>50798.101806092141</v>
      </c>
      <c r="U679" s="26">
        <f t="shared" si="20"/>
        <v>-25</v>
      </c>
    </row>
    <row r="680" spans="19:21" ht="14.65" thickBot="1" x14ac:dyDescent="0.5">
      <c r="S680" s="37">
        <f t="shared" si="21"/>
        <v>51306.082824153062</v>
      </c>
      <c r="U680" s="26">
        <f t="shared" si="20"/>
        <v>-25</v>
      </c>
    </row>
    <row r="681" spans="19:21" ht="14.65" thickBot="1" x14ac:dyDescent="0.5">
      <c r="S681" s="37">
        <f t="shared" si="21"/>
        <v>51819.143652394596</v>
      </c>
      <c r="U681" s="26">
        <f t="shared" si="20"/>
        <v>-25</v>
      </c>
    </row>
    <row r="682" spans="19:21" ht="14.65" thickBot="1" x14ac:dyDescent="0.5">
      <c r="S682" s="37">
        <f t="shared" si="21"/>
        <v>52337.335088918546</v>
      </c>
      <c r="U682" s="26">
        <f t="shared" si="20"/>
        <v>-25</v>
      </c>
    </row>
    <row r="683" spans="19:21" ht="14.65" thickBot="1" x14ac:dyDescent="0.5">
      <c r="S683" s="37">
        <f t="shared" si="21"/>
        <v>52860.708439807735</v>
      </c>
      <c r="U683" s="26">
        <f t="shared" si="20"/>
        <v>-25</v>
      </c>
    </row>
    <row r="684" spans="19:21" ht="14.65" thickBot="1" x14ac:dyDescent="0.5">
      <c r="S684" s="37">
        <f t="shared" si="21"/>
        <v>53389.315524205813</v>
      </c>
      <c r="U684" s="26">
        <f t="shared" si="20"/>
        <v>-25</v>
      </c>
    </row>
    <row r="685" spans="19:21" ht="14.65" thickBot="1" x14ac:dyDescent="0.5">
      <c r="S685" s="37">
        <f t="shared" si="21"/>
        <v>53923.208679447875</v>
      </c>
      <c r="U685" s="26">
        <f t="shared" si="20"/>
        <v>-25</v>
      </c>
    </row>
    <row r="686" spans="19:21" ht="14.65" thickBot="1" x14ac:dyDescent="0.5">
      <c r="S686" s="37">
        <f t="shared" si="21"/>
        <v>54462.440766242355</v>
      </c>
      <c r="U686" s="26">
        <f t="shared" si="20"/>
        <v>-25</v>
      </c>
    </row>
    <row r="687" spans="19:21" ht="14.65" thickBot="1" x14ac:dyDescent="0.5">
      <c r="S687" s="37">
        <f t="shared" si="21"/>
        <v>55007.065173904775</v>
      </c>
      <c r="U687" s="26">
        <f t="shared" si="20"/>
        <v>-25</v>
      </c>
    </row>
    <row r="688" spans="19:21" ht="14.65" thickBot="1" x14ac:dyDescent="0.5">
      <c r="S688" s="37">
        <f t="shared" si="21"/>
        <v>55557.135825643825</v>
      </c>
      <c r="U688" s="26">
        <f t="shared" si="20"/>
        <v>-25</v>
      </c>
    </row>
    <row r="689" spans="19:21" ht="14.65" thickBot="1" x14ac:dyDescent="0.5">
      <c r="S689" s="37">
        <f t="shared" si="21"/>
        <v>56112.707183900267</v>
      </c>
      <c r="U689" s="26">
        <f t="shared" si="20"/>
        <v>-25</v>
      </c>
    </row>
    <row r="690" spans="19:21" ht="14.65" thickBot="1" x14ac:dyDescent="0.5">
      <c r="S690" s="37">
        <f t="shared" si="21"/>
        <v>56673.834255739268</v>
      </c>
      <c r="U690" s="26">
        <f t="shared" si="20"/>
        <v>-25</v>
      </c>
    </row>
    <row r="691" spans="19:21" ht="14.65" thickBot="1" x14ac:dyDescent="0.5">
      <c r="S691" s="37">
        <f t="shared" si="21"/>
        <v>57240.572598296661</v>
      </c>
      <c r="U691" s="26">
        <f t="shared" si="20"/>
        <v>-25</v>
      </c>
    </row>
    <row r="692" spans="19:21" ht="14.65" thickBot="1" x14ac:dyDescent="0.5">
      <c r="S692" s="37">
        <f t="shared" si="21"/>
        <v>57812.978324279626</v>
      </c>
      <c r="U692" s="26">
        <f t="shared" si="20"/>
        <v>-25</v>
      </c>
    </row>
    <row r="693" spans="19:21" ht="14.65" thickBot="1" x14ac:dyDescent="0.5">
      <c r="S693" s="37">
        <f t="shared" si="21"/>
        <v>58391.108107522421</v>
      </c>
      <c r="U693" s="26">
        <f t="shared" si="20"/>
        <v>-25</v>
      </c>
    </row>
    <row r="694" spans="19:21" ht="14.65" thickBot="1" x14ac:dyDescent="0.5">
      <c r="S694" s="37">
        <f t="shared" si="21"/>
        <v>58975.019188597646</v>
      </c>
      <c r="U694" s="26">
        <f t="shared" si="20"/>
        <v>-25</v>
      </c>
    </row>
    <row r="695" spans="19:21" ht="14.65" thickBot="1" x14ac:dyDescent="0.5">
      <c r="S695" s="37">
        <f t="shared" si="21"/>
        <v>59564.769380483624</v>
      </c>
      <c r="U695" s="26">
        <f t="shared" si="20"/>
        <v>-25</v>
      </c>
    </row>
    <row r="696" spans="19:21" ht="14.65" thickBot="1" x14ac:dyDescent="0.5">
      <c r="S696" s="37">
        <f t="shared" si="21"/>
        <v>60160.41707428846</v>
      </c>
      <c r="U696" s="26">
        <f t="shared" si="20"/>
        <v>-25</v>
      </c>
    </row>
    <row r="697" spans="19:21" ht="14.65" thickBot="1" x14ac:dyDescent="0.5">
      <c r="S697" s="37">
        <f t="shared" si="21"/>
        <v>60762.021245031348</v>
      </c>
      <c r="U697" s="26">
        <f t="shared" si="20"/>
        <v>-25</v>
      </c>
    </row>
    <row r="698" spans="19:21" ht="14.65" thickBot="1" x14ac:dyDescent="0.5">
      <c r="S698" s="37">
        <f t="shared" si="21"/>
        <v>61369.641457481659</v>
      </c>
      <c r="U698" s="26">
        <f t="shared" si="20"/>
        <v>-25</v>
      </c>
    </row>
    <row r="699" spans="19:21" ht="14.65" thickBot="1" x14ac:dyDescent="0.5">
      <c r="S699" s="37">
        <f t="shared" si="21"/>
        <v>61983.33787205648</v>
      </c>
      <c r="U699" s="26">
        <f t="shared" si="20"/>
        <v>-25</v>
      </c>
    </row>
    <row r="700" spans="19:21" ht="14.65" thickBot="1" x14ac:dyDescent="0.5">
      <c r="S700" s="37">
        <f t="shared" si="21"/>
        <v>62603.171250777043</v>
      </c>
      <c r="U700" s="26">
        <f t="shared" si="20"/>
        <v>-25</v>
      </c>
    </row>
    <row r="701" spans="19:21" ht="14.65" thickBot="1" x14ac:dyDescent="0.5">
      <c r="S701" s="37">
        <f t="shared" si="21"/>
        <v>63229.202963284813</v>
      </c>
      <c r="U701" s="26">
        <f t="shared" si="20"/>
        <v>-25</v>
      </c>
    </row>
    <row r="702" spans="19:21" ht="14.65" thickBot="1" x14ac:dyDescent="0.5">
      <c r="S702" s="37">
        <f t="shared" si="21"/>
        <v>63861.494992917666</v>
      </c>
      <c r="U702" s="26">
        <f t="shared" si="20"/>
        <v>-25</v>
      </c>
    </row>
    <row r="703" spans="19:21" ht="14.65" thickBot="1" x14ac:dyDescent="0.5">
      <c r="S703" s="37">
        <f t="shared" si="21"/>
        <v>64500.109942846844</v>
      </c>
      <c r="U703" s="26">
        <f t="shared" si="20"/>
        <v>-25</v>
      </c>
    </row>
    <row r="704" spans="19:21" ht="14.65" thickBot="1" x14ac:dyDescent="0.5">
      <c r="S704" s="37">
        <f t="shared" si="21"/>
        <v>65145.111042275312</v>
      </c>
      <c r="U704" s="26">
        <f t="shared" si="20"/>
        <v>-25</v>
      </c>
    </row>
    <row r="705" spans="19:21" ht="14.65" thickBot="1" x14ac:dyDescent="0.5">
      <c r="S705" s="37">
        <f t="shared" si="21"/>
        <v>65796.562152698069</v>
      </c>
      <c r="U705" s="26">
        <f t="shared" si="20"/>
        <v>-25</v>
      </c>
    </row>
    <row r="706" spans="19:21" ht="14.65" thickBot="1" x14ac:dyDescent="0.5">
      <c r="S706" s="37">
        <f t="shared" si="21"/>
        <v>66454.527774225047</v>
      </c>
      <c r="U706" s="26">
        <f t="shared" si="20"/>
        <v>-25</v>
      </c>
    </row>
    <row r="707" spans="19:21" ht="14.65" thickBot="1" x14ac:dyDescent="0.5">
      <c r="S707" s="37">
        <f t="shared" si="21"/>
        <v>67119.073051967294</v>
      </c>
      <c r="U707" s="26">
        <f t="shared" si="20"/>
        <v>-25</v>
      </c>
    </row>
    <row r="708" spans="19:21" ht="14.65" thickBot="1" x14ac:dyDescent="0.5">
      <c r="S708" s="37">
        <f t="shared" si="21"/>
        <v>67790.263782486974</v>
      </c>
      <c r="U708" s="26">
        <f t="shared" si="20"/>
        <v>-25</v>
      </c>
    </row>
    <row r="709" spans="19:21" ht="14.65" thickBot="1" x14ac:dyDescent="0.5">
      <c r="S709" s="37">
        <f t="shared" si="21"/>
        <v>68468.166420311842</v>
      </c>
      <c r="U709" s="26">
        <f t="shared" si="20"/>
        <v>-25</v>
      </c>
    </row>
    <row r="710" spans="19:21" ht="14.65" thickBot="1" x14ac:dyDescent="0.5">
      <c r="S710" s="37">
        <f t="shared" si="21"/>
        <v>69152.848084514961</v>
      </c>
      <c r="U710" s="26">
        <f t="shared" si="20"/>
        <v>-25</v>
      </c>
    </row>
    <row r="711" spans="19:21" ht="14.65" thickBot="1" x14ac:dyDescent="0.5">
      <c r="S711" s="37">
        <f t="shared" si="21"/>
        <v>69844.376565360115</v>
      </c>
      <c r="U711" s="26">
        <f t="shared" si="20"/>
        <v>-25</v>
      </c>
    </row>
    <row r="712" spans="19:21" ht="14.65" thickBot="1" x14ac:dyDescent="0.5">
      <c r="S712" s="37">
        <f t="shared" si="21"/>
        <v>70542.820331013718</v>
      </c>
      <c r="U712" s="26">
        <f t="shared" si="20"/>
        <v>-25</v>
      </c>
    </row>
    <row r="713" spans="19:21" ht="14.65" thickBot="1" x14ac:dyDescent="0.5">
      <c r="S713" s="37">
        <f t="shared" si="21"/>
        <v>71248.248534323851</v>
      </c>
      <c r="U713" s="26">
        <f t="shared" si="20"/>
        <v>-25</v>
      </c>
    </row>
    <row r="714" spans="19:21" ht="14.65" thickBot="1" x14ac:dyDescent="0.5">
      <c r="S714" s="37">
        <f t="shared" si="21"/>
        <v>71960.731019667088</v>
      </c>
      <c r="U714" s="26">
        <f t="shared" si="20"/>
        <v>-25</v>
      </c>
    </row>
    <row r="715" spans="19:21" ht="14.65" thickBot="1" x14ac:dyDescent="0.5">
      <c r="S715" s="37">
        <f t="shared" si="21"/>
        <v>72680.338329863764</v>
      </c>
      <c r="U715" s="26">
        <f t="shared" si="20"/>
        <v>-25</v>
      </c>
    </row>
    <row r="716" spans="19:21" ht="14.65" thickBot="1" x14ac:dyDescent="0.5">
      <c r="S716" s="37">
        <f t="shared" si="21"/>
        <v>73407.141713162404</v>
      </c>
      <c r="U716" s="26">
        <f t="shared" si="20"/>
        <v>-25</v>
      </c>
    </row>
    <row r="717" spans="19:21" ht="14.65" thickBot="1" x14ac:dyDescent="0.5">
      <c r="S717" s="37">
        <f t="shared" si="21"/>
        <v>74141.213130294025</v>
      </c>
      <c r="U717" s="26">
        <f t="shared" si="20"/>
        <v>-25</v>
      </c>
    </row>
    <row r="718" spans="19:21" ht="14.65" thickBot="1" x14ac:dyDescent="0.5">
      <c r="S718" s="37">
        <f t="shared" si="21"/>
        <v>74882.625261596972</v>
      </c>
      <c r="U718" s="26">
        <f t="shared" si="20"/>
        <v>-25</v>
      </c>
    </row>
    <row r="719" spans="19:21" ht="14.65" thickBot="1" x14ac:dyDescent="0.5">
      <c r="S719" s="37">
        <f t="shared" si="21"/>
        <v>75631.451514212938</v>
      </c>
      <c r="U719" s="26">
        <f t="shared" si="20"/>
        <v>-25</v>
      </c>
    </row>
    <row r="720" spans="19:21" ht="14.65" thickBot="1" x14ac:dyDescent="0.5">
      <c r="S720" s="37">
        <f t="shared" si="21"/>
        <v>76387.766029355073</v>
      </c>
      <c r="U720" s="26">
        <f t="shared" si="20"/>
        <v>-25</v>
      </c>
    </row>
    <row r="721" spans="19:21" ht="14.65" thickBot="1" x14ac:dyDescent="0.5">
      <c r="S721" s="37">
        <f t="shared" si="21"/>
        <v>77151.643689648627</v>
      </c>
      <c r="U721" s="26">
        <f t="shared" si="20"/>
        <v>-25</v>
      </c>
    </row>
    <row r="722" spans="19:21" ht="14.65" thickBot="1" x14ac:dyDescent="0.5">
      <c r="S722" s="37">
        <f t="shared" si="21"/>
        <v>77923.160126545117</v>
      </c>
      <c r="U722" s="26">
        <f t="shared" ref="U722:U785" si="22">IF(S722&lt;$D$8,$D$7-S722-$D$9,$D$7-$D$8-$D$9)</f>
        <v>-25</v>
      </c>
    </row>
    <row r="723" spans="19:21" ht="14.65" thickBot="1" x14ac:dyDescent="0.5">
      <c r="S723" s="37">
        <f t="shared" ref="S723:S786" si="23">S722*(1.01)</f>
        <v>78702.391727810565</v>
      </c>
      <c r="U723" s="26">
        <f t="shared" si="22"/>
        <v>-25</v>
      </c>
    </row>
    <row r="724" spans="19:21" ht="14.65" thickBot="1" x14ac:dyDescent="0.5">
      <c r="S724" s="37">
        <f t="shared" si="23"/>
        <v>79489.415645088666</v>
      </c>
      <c r="U724" s="26">
        <f t="shared" si="22"/>
        <v>-25</v>
      </c>
    </row>
    <row r="725" spans="19:21" ht="14.65" thickBot="1" x14ac:dyDescent="0.5">
      <c r="S725" s="37">
        <f t="shared" si="23"/>
        <v>80284.309801539552</v>
      </c>
      <c r="U725" s="26">
        <f t="shared" si="22"/>
        <v>-25</v>
      </c>
    </row>
    <row r="726" spans="19:21" ht="14.65" thickBot="1" x14ac:dyDescent="0.5">
      <c r="S726" s="37">
        <f t="shared" si="23"/>
        <v>81087.152899554945</v>
      </c>
      <c r="U726" s="26">
        <f t="shared" si="22"/>
        <v>-25</v>
      </c>
    </row>
    <row r="727" spans="19:21" ht="14.65" thickBot="1" x14ac:dyDescent="0.5">
      <c r="S727" s="37">
        <f t="shared" si="23"/>
        <v>81898.024428550489</v>
      </c>
      <c r="U727" s="26">
        <f t="shared" si="22"/>
        <v>-25</v>
      </c>
    </row>
    <row r="728" spans="19:21" ht="14.65" thickBot="1" x14ac:dyDescent="0.5">
      <c r="S728" s="37">
        <f t="shared" si="23"/>
        <v>82717.004672835988</v>
      </c>
      <c r="U728" s="26">
        <f t="shared" si="22"/>
        <v>-25</v>
      </c>
    </row>
    <row r="729" spans="19:21" ht="14.65" thickBot="1" x14ac:dyDescent="0.5">
      <c r="S729" s="37">
        <f t="shared" si="23"/>
        <v>83544.174719564355</v>
      </c>
      <c r="U729" s="26">
        <f t="shared" si="22"/>
        <v>-25</v>
      </c>
    </row>
    <row r="730" spans="19:21" ht="14.65" thickBot="1" x14ac:dyDescent="0.5">
      <c r="S730" s="37">
        <f t="shared" si="23"/>
        <v>84379.616466759995</v>
      </c>
      <c r="U730" s="26">
        <f t="shared" si="22"/>
        <v>-25</v>
      </c>
    </row>
    <row r="731" spans="19:21" ht="14.65" thickBot="1" x14ac:dyDescent="0.5">
      <c r="S731" s="37">
        <f t="shared" si="23"/>
        <v>85223.412631427593</v>
      </c>
      <c r="U731" s="26">
        <f t="shared" si="22"/>
        <v>-25</v>
      </c>
    </row>
    <row r="732" spans="19:21" ht="14.65" thickBot="1" x14ac:dyDescent="0.5">
      <c r="S732" s="37">
        <f t="shared" si="23"/>
        <v>86075.646757741866</v>
      </c>
      <c r="U732" s="26">
        <f t="shared" si="22"/>
        <v>-25</v>
      </c>
    </row>
    <row r="733" spans="19:21" ht="14.65" thickBot="1" x14ac:dyDescent="0.5">
      <c r="S733" s="37">
        <f t="shared" si="23"/>
        <v>86936.403225319285</v>
      </c>
      <c r="U733" s="26">
        <f t="shared" si="22"/>
        <v>-25</v>
      </c>
    </row>
    <row r="734" spans="19:21" ht="14.65" thickBot="1" x14ac:dyDescent="0.5">
      <c r="S734" s="37">
        <f t="shared" si="23"/>
        <v>87805.767257572472</v>
      </c>
      <c r="U734" s="26">
        <f t="shared" si="22"/>
        <v>-25</v>
      </c>
    </row>
    <row r="735" spans="19:21" ht="14.65" thickBot="1" x14ac:dyDescent="0.5">
      <c r="S735" s="37">
        <f t="shared" si="23"/>
        <v>88683.824930148199</v>
      </c>
      <c r="U735" s="26">
        <f t="shared" si="22"/>
        <v>-25</v>
      </c>
    </row>
    <row r="736" spans="19:21" ht="14.65" thickBot="1" x14ac:dyDescent="0.5">
      <c r="S736" s="37">
        <f t="shared" si="23"/>
        <v>89570.663179449679</v>
      </c>
      <c r="U736" s="26">
        <f t="shared" si="22"/>
        <v>-25</v>
      </c>
    </row>
    <row r="737" spans="19:21" ht="14.65" thickBot="1" x14ac:dyDescent="0.5">
      <c r="S737" s="37">
        <f t="shared" si="23"/>
        <v>90466.369811244178</v>
      </c>
      <c r="U737" s="26">
        <f t="shared" si="22"/>
        <v>-25</v>
      </c>
    </row>
    <row r="738" spans="19:21" ht="14.65" thickBot="1" x14ac:dyDescent="0.5">
      <c r="S738" s="37">
        <f t="shared" si="23"/>
        <v>91371.033509356625</v>
      </c>
      <c r="U738" s="26">
        <f t="shared" si="22"/>
        <v>-25</v>
      </c>
    </row>
    <row r="739" spans="19:21" ht="14.65" thickBot="1" x14ac:dyDescent="0.5">
      <c r="S739" s="37">
        <f t="shared" si="23"/>
        <v>92284.743844450189</v>
      </c>
      <c r="U739" s="26">
        <f t="shared" si="22"/>
        <v>-25</v>
      </c>
    </row>
    <row r="740" spans="19:21" ht="14.65" thickBot="1" x14ac:dyDescent="0.5">
      <c r="S740" s="37">
        <f t="shared" si="23"/>
        <v>93207.591282894689</v>
      </c>
      <c r="U740" s="26">
        <f t="shared" si="22"/>
        <v>-25</v>
      </c>
    </row>
    <row r="741" spans="19:21" ht="14.65" thickBot="1" x14ac:dyDescent="0.5">
      <c r="S741" s="37">
        <f t="shared" si="23"/>
        <v>94139.667195723639</v>
      </c>
      <c r="U741" s="26">
        <f t="shared" si="22"/>
        <v>-25</v>
      </c>
    </row>
    <row r="742" spans="19:21" ht="14.65" thickBot="1" x14ac:dyDescent="0.5">
      <c r="S742" s="37">
        <f t="shared" si="23"/>
        <v>95081.063867680874</v>
      </c>
      <c r="U742" s="26">
        <f t="shared" si="22"/>
        <v>-25</v>
      </c>
    </row>
    <row r="743" spans="19:21" ht="14.65" thickBot="1" x14ac:dyDescent="0.5">
      <c r="S743" s="37">
        <f t="shared" si="23"/>
        <v>96031.874506357679</v>
      </c>
      <c r="U743" s="26">
        <f t="shared" si="22"/>
        <v>-25</v>
      </c>
    </row>
    <row r="744" spans="19:21" ht="14.65" thickBot="1" x14ac:dyDescent="0.5">
      <c r="S744" s="37">
        <f t="shared" si="23"/>
        <v>96992.193251421253</v>
      </c>
      <c r="U744" s="26">
        <f t="shared" si="22"/>
        <v>-25</v>
      </c>
    </row>
    <row r="745" spans="19:21" ht="14.65" thickBot="1" x14ac:dyDescent="0.5">
      <c r="S745" s="37">
        <f t="shared" si="23"/>
        <v>97962.115183935472</v>
      </c>
      <c r="U745" s="26">
        <f t="shared" si="22"/>
        <v>-25</v>
      </c>
    </row>
    <row r="746" spans="19:21" ht="14.65" thickBot="1" x14ac:dyDescent="0.5">
      <c r="S746" s="37">
        <f t="shared" si="23"/>
        <v>98941.736335774825</v>
      </c>
      <c r="U746" s="26">
        <f t="shared" si="22"/>
        <v>-25</v>
      </c>
    </row>
    <row r="747" spans="19:21" ht="14.65" thickBot="1" x14ac:dyDescent="0.5">
      <c r="S747" s="37">
        <f t="shared" si="23"/>
        <v>99931.15369913257</v>
      </c>
      <c r="U747" s="26">
        <f t="shared" si="22"/>
        <v>-25</v>
      </c>
    </row>
    <row r="748" spans="19:21" ht="14.65" thickBot="1" x14ac:dyDescent="0.5">
      <c r="S748" s="37">
        <f t="shared" si="23"/>
        <v>100930.4652361239</v>
      </c>
      <c r="U748" s="26">
        <f t="shared" si="22"/>
        <v>-25</v>
      </c>
    </row>
    <row r="749" spans="19:21" ht="14.65" thickBot="1" x14ac:dyDescent="0.5">
      <c r="S749" s="37">
        <f t="shared" si="23"/>
        <v>101939.76988848514</v>
      </c>
      <c r="U749" s="26">
        <f t="shared" si="22"/>
        <v>-25</v>
      </c>
    </row>
    <row r="750" spans="19:21" ht="14.65" thickBot="1" x14ac:dyDescent="0.5">
      <c r="S750" s="37">
        <f t="shared" si="23"/>
        <v>102959.16758737</v>
      </c>
      <c r="U750" s="26">
        <f t="shared" si="22"/>
        <v>-25</v>
      </c>
    </row>
    <row r="751" spans="19:21" ht="14.65" thickBot="1" x14ac:dyDescent="0.5">
      <c r="S751" s="37">
        <f t="shared" si="23"/>
        <v>103988.7592632437</v>
      </c>
      <c r="U751" s="26">
        <f t="shared" si="22"/>
        <v>-25</v>
      </c>
    </row>
    <row r="752" spans="19:21" ht="14.65" thickBot="1" x14ac:dyDescent="0.5">
      <c r="S752" s="37">
        <f t="shared" si="23"/>
        <v>105028.64685587614</v>
      </c>
      <c r="U752" s="26">
        <f t="shared" si="22"/>
        <v>-25</v>
      </c>
    </row>
    <row r="753" spans="19:21" ht="14.65" thickBot="1" x14ac:dyDescent="0.5">
      <c r="S753" s="37">
        <f t="shared" si="23"/>
        <v>106078.9333244349</v>
      </c>
      <c r="U753" s="26">
        <f t="shared" si="22"/>
        <v>-25</v>
      </c>
    </row>
    <row r="754" spans="19:21" ht="14.65" thickBot="1" x14ac:dyDescent="0.5">
      <c r="S754" s="37">
        <f t="shared" si="23"/>
        <v>107139.72265767925</v>
      </c>
      <c r="U754" s="26">
        <f t="shared" si="22"/>
        <v>-25</v>
      </c>
    </row>
    <row r="755" spans="19:21" ht="14.65" thickBot="1" x14ac:dyDescent="0.5">
      <c r="S755" s="37">
        <f t="shared" si="23"/>
        <v>108211.11988425604</v>
      </c>
      <c r="U755" s="26">
        <f t="shared" si="22"/>
        <v>-25</v>
      </c>
    </row>
    <row r="756" spans="19:21" ht="14.65" thickBot="1" x14ac:dyDescent="0.5">
      <c r="S756" s="37">
        <f t="shared" si="23"/>
        <v>109293.2310830986</v>
      </c>
      <c r="U756" s="26">
        <f t="shared" si="22"/>
        <v>-25</v>
      </c>
    </row>
    <row r="757" spans="19:21" ht="14.65" thickBot="1" x14ac:dyDescent="0.5">
      <c r="S757" s="37">
        <f t="shared" si="23"/>
        <v>110386.16339392959</v>
      </c>
      <c r="U757" s="26">
        <f t="shared" si="22"/>
        <v>-25</v>
      </c>
    </row>
    <row r="758" spans="19:21" ht="14.65" thickBot="1" x14ac:dyDescent="0.5">
      <c r="S758" s="37">
        <f t="shared" si="23"/>
        <v>111490.02502786888</v>
      </c>
      <c r="U758" s="26">
        <f t="shared" si="22"/>
        <v>-25</v>
      </c>
    </row>
    <row r="759" spans="19:21" ht="14.65" thickBot="1" x14ac:dyDescent="0.5">
      <c r="S759" s="37">
        <f t="shared" si="23"/>
        <v>112604.92527814757</v>
      </c>
      <c r="U759" s="26">
        <f t="shared" si="22"/>
        <v>-25</v>
      </c>
    </row>
    <row r="760" spans="19:21" ht="14.65" thickBot="1" x14ac:dyDescent="0.5">
      <c r="S760" s="37">
        <f t="shared" si="23"/>
        <v>113730.97453092904</v>
      </c>
      <c r="U760" s="26">
        <f t="shared" si="22"/>
        <v>-25</v>
      </c>
    </row>
    <row r="761" spans="19:21" ht="14.65" thickBot="1" x14ac:dyDescent="0.5">
      <c r="S761" s="37">
        <f t="shared" si="23"/>
        <v>114868.28427623834</v>
      </c>
      <c r="U761" s="26">
        <f t="shared" si="22"/>
        <v>-25</v>
      </c>
    </row>
    <row r="762" spans="19:21" ht="14.65" thickBot="1" x14ac:dyDescent="0.5">
      <c r="S762" s="37">
        <f t="shared" si="23"/>
        <v>116016.96711900072</v>
      </c>
      <c r="U762" s="26">
        <f t="shared" si="22"/>
        <v>-25</v>
      </c>
    </row>
    <row r="763" spans="19:21" ht="14.65" thickBot="1" x14ac:dyDescent="0.5">
      <c r="S763" s="37">
        <f t="shared" si="23"/>
        <v>117177.13679019074</v>
      </c>
      <c r="U763" s="26">
        <f t="shared" si="22"/>
        <v>-25</v>
      </c>
    </row>
    <row r="764" spans="19:21" ht="14.65" thickBot="1" x14ac:dyDescent="0.5">
      <c r="S764" s="37">
        <f t="shared" si="23"/>
        <v>118348.90815809264</v>
      </c>
      <c r="U764" s="26">
        <f t="shared" si="22"/>
        <v>-25</v>
      </c>
    </row>
    <row r="765" spans="19:21" ht="14.65" thickBot="1" x14ac:dyDescent="0.5">
      <c r="S765" s="37">
        <f t="shared" si="23"/>
        <v>119532.39723967358</v>
      </c>
      <c r="U765" s="26">
        <f t="shared" si="22"/>
        <v>-25</v>
      </c>
    </row>
    <row r="766" spans="19:21" ht="14.65" thickBot="1" x14ac:dyDescent="0.5">
      <c r="S766" s="37">
        <f t="shared" si="23"/>
        <v>120727.72121207032</v>
      </c>
      <c r="U766" s="26">
        <f t="shared" si="22"/>
        <v>-25</v>
      </c>
    </row>
    <row r="767" spans="19:21" ht="14.65" thickBot="1" x14ac:dyDescent="0.5">
      <c r="S767" s="37">
        <f t="shared" si="23"/>
        <v>121934.99842419103</v>
      </c>
      <c r="U767" s="26">
        <f t="shared" si="22"/>
        <v>-25</v>
      </c>
    </row>
    <row r="768" spans="19:21" ht="14.65" thickBot="1" x14ac:dyDescent="0.5">
      <c r="S768" s="37">
        <f t="shared" si="23"/>
        <v>123154.34840843294</v>
      </c>
      <c r="U768" s="26">
        <f t="shared" si="22"/>
        <v>-25</v>
      </c>
    </row>
    <row r="769" spans="19:21" ht="14.65" thickBot="1" x14ac:dyDescent="0.5">
      <c r="S769" s="37">
        <f t="shared" si="23"/>
        <v>124385.89189251728</v>
      </c>
      <c r="U769" s="26">
        <f t="shared" si="22"/>
        <v>-25</v>
      </c>
    </row>
    <row r="770" spans="19:21" ht="14.65" thickBot="1" x14ac:dyDescent="0.5">
      <c r="S770" s="37">
        <f t="shared" si="23"/>
        <v>125629.75081144246</v>
      </c>
      <c r="U770" s="26">
        <f t="shared" si="22"/>
        <v>-25</v>
      </c>
    </row>
    <row r="771" spans="19:21" ht="14.65" thickBot="1" x14ac:dyDescent="0.5">
      <c r="S771" s="37">
        <f t="shared" si="23"/>
        <v>126886.04831955688</v>
      </c>
      <c r="U771" s="26">
        <f t="shared" si="22"/>
        <v>-25</v>
      </c>
    </row>
    <row r="772" spans="19:21" ht="14.65" thickBot="1" x14ac:dyDescent="0.5">
      <c r="S772" s="37">
        <f t="shared" si="23"/>
        <v>128154.90880275246</v>
      </c>
      <c r="U772" s="26">
        <f t="shared" si="22"/>
        <v>-25</v>
      </c>
    </row>
    <row r="773" spans="19:21" ht="14.65" thickBot="1" x14ac:dyDescent="0.5">
      <c r="S773" s="37">
        <f t="shared" si="23"/>
        <v>129436.45789077999</v>
      </c>
      <c r="U773" s="26">
        <f t="shared" si="22"/>
        <v>-25</v>
      </c>
    </row>
    <row r="774" spans="19:21" ht="14.65" thickBot="1" x14ac:dyDescent="0.5">
      <c r="S774" s="37">
        <f t="shared" si="23"/>
        <v>130730.82246968779</v>
      </c>
      <c r="U774" s="26">
        <f t="shared" si="22"/>
        <v>-25</v>
      </c>
    </row>
    <row r="775" spans="19:21" ht="14.65" thickBot="1" x14ac:dyDescent="0.5">
      <c r="S775" s="37">
        <f t="shared" si="23"/>
        <v>132038.13069438466</v>
      </c>
      <c r="U775" s="26">
        <f t="shared" si="22"/>
        <v>-25</v>
      </c>
    </row>
    <row r="776" spans="19:21" ht="14.65" thickBot="1" x14ac:dyDescent="0.5">
      <c r="S776" s="37">
        <f t="shared" si="23"/>
        <v>133358.51200132852</v>
      </c>
      <c r="U776" s="26">
        <f t="shared" si="22"/>
        <v>-25</v>
      </c>
    </row>
    <row r="777" spans="19:21" ht="14.65" thickBot="1" x14ac:dyDescent="0.5">
      <c r="S777" s="37">
        <f t="shared" si="23"/>
        <v>134692.09712134179</v>
      </c>
      <c r="U777" s="26">
        <f t="shared" si="22"/>
        <v>-25</v>
      </c>
    </row>
    <row r="778" spans="19:21" ht="14.65" thickBot="1" x14ac:dyDescent="0.5">
      <c r="S778" s="37">
        <f t="shared" si="23"/>
        <v>136039.01809255523</v>
      </c>
      <c r="U778" s="26">
        <f t="shared" si="22"/>
        <v>-25</v>
      </c>
    </row>
    <row r="779" spans="19:21" ht="14.65" thickBot="1" x14ac:dyDescent="0.5">
      <c r="S779" s="37">
        <f t="shared" si="23"/>
        <v>137399.40827348077</v>
      </c>
      <c r="U779" s="26">
        <f t="shared" si="22"/>
        <v>-25</v>
      </c>
    </row>
    <row r="780" spans="19:21" ht="14.65" thickBot="1" x14ac:dyDescent="0.5">
      <c r="S780" s="37">
        <f t="shared" si="23"/>
        <v>138773.40235621558</v>
      </c>
      <c r="U780" s="26">
        <f t="shared" si="22"/>
        <v>-25</v>
      </c>
    </row>
    <row r="781" spans="19:21" ht="14.65" thickBot="1" x14ac:dyDescent="0.5">
      <c r="S781" s="37">
        <f t="shared" si="23"/>
        <v>140161.13637977774</v>
      </c>
      <c r="U781" s="26">
        <f t="shared" si="22"/>
        <v>-25</v>
      </c>
    </row>
    <row r="782" spans="19:21" ht="14.65" thickBot="1" x14ac:dyDescent="0.5">
      <c r="S782" s="37">
        <f t="shared" si="23"/>
        <v>141562.74774357551</v>
      </c>
      <c r="U782" s="26">
        <f t="shared" si="22"/>
        <v>-25</v>
      </c>
    </row>
    <row r="783" spans="19:21" ht="14.65" thickBot="1" x14ac:dyDescent="0.5">
      <c r="S783" s="37">
        <f t="shared" si="23"/>
        <v>142978.37522101126</v>
      </c>
      <c r="U783" s="26">
        <f t="shared" si="22"/>
        <v>-25</v>
      </c>
    </row>
    <row r="784" spans="19:21" ht="14.65" thickBot="1" x14ac:dyDescent="0.5">
      <c r="S784" s="37">
        <f t="shared" si="23"/>
        <v>144408.15897322138</v>
      </c>
      <c r="U784" s="26">
        <f t="shared" si="22"/>
        <v>-25</v>
      </c>
    </row>
    <row r="785" spans="19:21" ht="14.65" thickBot="1" x14ac:dyDescent="0.5">
      <c r="S785" s="37">
        <f t="shared" si="23"/>
        <v>145852.24056295358</v>
      </c>
      <c r="U785" s="26">
        <f t="shared" si="22"/>
        <v>-25</v>
      </c>
    </row>
    <row r="786" spans="19:21" ht="14.65" thickBot="1" x14ac:dyDescent="0.5">
      <c r="S786" s="37">
        <f t="shared" si="23"/>
        <v>147310.76296858312</v>
      </c>
      <c r="U786" s="26">
        <f t="shared" ref="U786:U849" si="24">IF(S786&lt;$D$8,$D$7-S786-$D$9,$D$7-$D$8-$D$9)</f>
        <v>-25</v>
      </c>
    </row>
    <row r="787" spans="19:21" ht="14.65" thickBot="1" x14ac:dyDescent="0.5">
      <c r="S787" s="37">
        <f t="shared" ref="S787:S850" si="25">S786*(1.01)</f>
        <v>148783.87059826896</v>
      </c>
      <c r="U787" s="26">
        <f t="shared" si="24"/>
        <v>-25</v>
      </c>
    </row>
    <row r="788" spans="19:21" ht="14.65" thickBot="1" x14ac:dyDescent="0.5">
      <c r="S788" s="37">
        <f t="shared" si="25"/>
        <v>150271.70930425165</v>
      </c>
      <c r="U788" s="26">
        <f t="shared" si="24"/>
        <v>-25</v>
      </c>
    </row>
    <row r="789" spans="19:21" ht="14.65" thickBot="1" x14ac:dyDescent="0.5">
      <c r="S789" s="37">
        <f t="shared" si="25"/>
        <v>151774.42639729416</v>
      </c>
      <c r="U789" s="26">
        <f t="shared" si="24"/>
        <v>-25</v>
      </c>
    </row>
    <row r="790" spans="19:21" ht="14.65" thickBot="1" x14ac:dyDescent="0.5">
      <c r="S790" s="37">
        <f t="shared" si="25"/>
        <v>153292.1706612671</v>
      </c>
      <c r="U790" s="26">
        <f t="shared" si="24"/>
        <v>-25</v>
      </c>
    </row>
    <row r="791" spans="19:21" ht="14.65" thickBot="1" x14ac:dyDescent="0.5">
      <c r="S791" s="37">
        <f t="shared" si="25"/>
        <v>154825.09236787976</v>
      </c>
      <c r="U791" s="26">
        <f t="shared" si="24"/>
        <v>-25</v>
      </c>
    </row>
    <row r="792" spans="19:21" ht="14.65" thickBot="1" x14ac:dyDescent="0.5">
      <c r="S792" s="37">
        <f t="shared" si="25"/>
        <v>156373.34329155856</v>
      </c>
      <c r="U792" s="26">
        <f t="shared" si="24"/>
        <v>-25</v>
      </c>
    </row>
    <row r="793" spans="19:21" ht="14.65" thickBot="1" x14ac:dyDescent="0.5">
      <c r="S793" s="37">
        <f t="shared" si="25"/>
        <v>157937.07672447414</v>
      </c>
      <c r="U793" s="26">
        <f t="shared" si="24"/>
        <v>-25</v>
      </c>
    </row>
    <row r="794" spans="19:21" ht="14.65" thickBot="1" x14ac:dyDescent="0.5">
      <c r="S794" s="37">
        <f t="shared" si="25"/>
        <v>159516.44749171889</v>
      </c>
      <c r="U794" s="26">
        <f t="shared" si="24"/>
        <v>-25</v>
      </c>
    </row>
    <row r="795" spans="19:21" ht="14.65" thickBot="1" x14ac:dyDescent="0.5">
      <c r="S795" s="37">
        <f t="shared" si="25"/>
        <v>161111.61196663609</v>
      </c>
      <c r="U795" s="26">
        <f t="shared" si="24"/>
        <v>-25</v>
      </c>
    </row>
    <row r="796" spans="19:21" ht="14.65" thickBot="1" x14ac:dyDescent="0.5">
      <c r="S796" s="37">
        <f t="shared" si="25"/>
        <v>162722.72808630246</v>
      </c>
      <c r="U796" s="26">
        <f t="shared" si="24"/>
        <v>-25</v>
      </c>
    </row>
    <row r="797" spans="19:21" ht="14.65" thickBot="1" x14ac:dyDescent="0.5">
      <c r="S797" s="37">
        <f t="shared" si="25"/>
        <v>164349.9553671655</v>
      </c>
      <c r="U797" s="26">
        <f t="shared" si="24"/>
        <v>-25</v>
      </c>
    </row>
    <row r="798" spans="19:21" ht="14.65" thickBot="1" x14ac:dyDescent="0.5">
      <c r="S798" s="37">
        <f t="shared" si="25"/>
        <v>165993.45492083716</v>
      </c>
      <c r="U798" s="26">
        <f t="shared" si="24"/>
        <v>-25</v>
      </c>
    </row>
    <row r="799" spans="19:21" ht="14.65" thickBot="1" x14ac:dyDescent="0.5">
      <c r="S799" s="37">
        <f t="shared" si="25"/>
        <v>167653.38947004554</v>
      </c>
      <c r="U799" s="26">
        <f t="shared" si="24"/>
        <v>-25</v>
      </c>
    </row>
    <row r="800" spans="19:21" ht="14.65" thickBot="1" x14ac:dyDescent="0.5">
      <c r="S800" s="37">
        <f t="shared" si="25"/>
        <v>169329.92336474601</v>
      </c>
      <c r="U800" s="26">
        <f t="shared" si="24"/>
        <v>-25</v>
      </c>
    </row>
    <row r="801" spans="19:21" ht="14.65" thickBot="1" x14ac:dyDescent="0.5">
      <c r="S801" s="37">
        <f t="shared" si="25"/>
        <v>171023.22259839348</v>
      </c>
      <c r="U801" s="26">
        <f t="shared" si="24"/>
        <v>-25</v>
      </c>
    </row>
    <row r="802" spans="19:21" ht="14.65" thickBot="1" x14ac:dyDescent="0.5">
      <c r="S802" s="37">
        <f t="shared" si="25"/>
        <v>172733.4548243774</v>
      </c>
      <c r="U802" s="26">
        <f t="shared" si="24"/>
        <v>-25</v>
      </c>
    </row>
    <row r="803" spans="19:21" ht="14.65" thickBot="1" x14ac:dyDescent="0.5">
      <c r="S803" s="37">
        <f t="shared" si="25"/>
        <v>174460.78937262119</v>
      </c>
      <c r="U803" s="26">
        <f t="shared" si="24"/>
        <v>-25</v>
      </c>
    </row>
    <row r="804" spans="19:21" ht="14.65" thickBot="1" x14ac:dyDescent="0.5">
      <c r="S804" s="37">
        <f t="shared" si="25"/>
        <v>176205.3972663474</v>
      </c>
      <c r="U804" s="26">
        <f t="shared" si="24"/>
        <v>-25</v>
      </c>
    </row>
    <row r="805" spans="19:21" ht="14.65" thickBot="1" x14ac:dyDescent="0.5">
      <c r="S805" s="37">
        <f t="shared" si="25"/>
        <v>177967.45123901087</v>
      </c>
      <c r="U805" s="26">
        <f t="shared" si="24"/>
        <v>-25</v>
      </c>
    </row>
    <row r="806" spans="19:21" ht="14.65" thickBot="1" x14ac:dyDescent="0.5">
      <c r="S806" s="37">
        <f t="shared" si="25"/>
        <v>179747.12575140098</v>
      </c>
      <c r="U806" s="26">
        <f t="shared" si="24"/>
        <v>-25</v>
      </c>
    </row>
    <row r="807" spans="19:21" ht="14.65" thickBot="1" x14ac:dyDescent="0.5">
      <c r="S807" s="37">
        <f t="shared" si="25"/>
        <v>181544.59700891498</v>
      </c>
      <c r="U807" s="26">
        <f t="shared" si="24"/>
        <v>-25</v>
      </c>
    </row>
    <row r="808" spans="19:21" ht="14.65" thickBot="1" x14ac:dyDescent="0.5">
      <c r="S808" s="37">
        <f t="shared" si="25"/>
        <v>183360.04297900412</v>
      </c>
      <c r="U808" s="26">
        <f t="shared" si="24"/>
        <v>-25</v>
      </c>
    </row>
    <row r="809" spans="19:21" ht="14.65" thickBot="1" x14ac:dyDescent="0.5">
      <c r="S809" s="37">
        <f t="shared" si="25"/>
        <v>185193.64340879416</v>
      </c>
      <c r="U809" s="26">
        <f t="shared" si="24"/>
        <v>-25</v>
      </c>
    </row>
    <row r="810" spans="19:21" ht="14.65" thickBot="1" x14ac:dyDescent="0.5">
      <c r="S810" s="37">
        <f t="shared" si="25"/>
        <v>187045.57984288211</v>
      </c>
      <c r="U810" s="26">
        <f t="shared" si="24"/>
        <v>-25</v>
      </c>
    </row>
    <row r="811" spans="19:21" ht="14.65" thickBot="1" x14ac:dyDescent="0.5">
      <c r="S811" s="37">
        <f t="shared" si="25"/>
        <v>188916.03564131094</v>
      </c>
      <c r="U811" s="26">
        <f t="shared" si="24"/>
        <v>-25</v>
      </c>
    </row>
    <row r="812" spans="19:21" ht="14.65" thickBot="1" x14ac:dyDescent="0.5">
      <c r="S812" s="37">
        <f t="shared" si="25"/>
        <v>190805.19599772405</v>
      </c>
      <c r="U812" s="26">
        <f t="shared" si="24"/>
        <v>-25</v>
      </c>
    </row>
    <row r="813" spans="19:21" ht="14.65" thickBot="1" x14ac:dyDescent="0.5">
      <c r="S813" s="37">
        <f t="shared" si="25"/>
        <v>192713.2479577013</v>
      </c>
      <c r="U813" s="26">
        <f t="shared" si="24"/>
        <v>-25</v>
      </c>
    </row>
    <row r="814" spans="19:21" ht="14.65" thickBot="1" x14ac:dyDescent="0.5">
      <c r="S814" s="37">
        <f t="shared" si="25"/>
        <v>194640.38043727831</v>
      </c>
      <c r="U814" s="26">
        <f t="shared" si="24"/>
        <v>-25</v>
      </c>
    </row>
    <row r="815" spans="19:21" ht="14.65" thickBot="1" x14ac:dyDescent="0.5">
      <c r="S815" s="37">
        <f t="shared" si="25"/>
        <v>196586.7842416511</v>
      </c>
      <c r="U815" s="26">
        <f t="shared" si="24"/>
        <v>-25</v>
      </c>
    </row>
    <row r="816" spans="19:21" ht="14.65" thickBot="1" x14ac:dyDescent="0.5">
      <c r="S816" s="37">
        <f t="shared" si="25"/>
        <v>198552.65208406761</v>
      </c>
      <c r="U816" s="26">
        <f t="shared" si="24"/>
        <v>-25</v>
      </c>
    </row>
    <row r="817" spans="19:21" ht="14.65" thickBot="1" x14ac:dyDescent="0.5">
      <c r="S817" s="37">
        <f t="shared" si="25"/>
        <v>200538.17860490829</v>
      </c>
      <c r="U817" s="26">
        <f t="shared" si="24"/>
        <v>-25</v>
      </c>
    </row>
    <row r="818" spans="19:21" ht="14.65" thickBot="1" x14ac:dyDescent="0.5">
      <c r="S818" s="37">
        <f t="shared" si="25"/>
        <v>202543.56039095737</v>
      </c>
      <c r="U818" s="26">
        <f t="shared" si="24"/>
        <v>-25</v>
      </c>
    </row>
    <row r="819" spans="19:21" ht="14.65" thickBot="1" x14ac:dyDescent="0.5">
      <c r="S819" s="37">
        <f t="shared" si="25"/>
        <v>204568.99599486694</v>
      </c>
      <c r="U819" s="26">
        <f t="shared" si="24"/>
        <v>-25</v>
      </c>
    </row>
    <row r="820" spans="19:21" ht="14.65" thickBot="1" x14ac:dyDescent="0.5">
      <c r="S820" s="37">
        <f t="shared" si="25"/>
        <v>206614.68595481562</v>
      </c>
      <c r="U820" s="26">
        <f t="shared" si="24"/>
        <v>-25</v>
      </c>
    </row>
    <row r="821" spans="19:21" ht="14.65" thickBot="1" x14ac:dyDescent="0.5">
      <c r="S821" s="37">
        <f t="shared" si="25"/>
        <v>208680.83281436379</v>
      </c>
      <c r="U821" s="26">
        <f t="shared" si="24"/>
        <v>-25</v>
      </c>
    </row>
    <row r="822" spans="19:21" ht="14.65" thickBot="1" x14ac:dyDescent="0.5">
      <c r="S822" s="37">
        <f t="shared" si="25"/>
        <v>210767.64114250743</v>
      </c>
      <c r="U822" s="26">
        <f t="shared" si="24"/>
        <v>-25</v>
      </c>
    </row>
    <row r="823" spans="19:21" ht="14.65" thickBot="1" x14ac:dyDescent="0.5">
      <c r="S823" s="37">
        <f t="shared" si="25"/>
        <v>212875.31755393252</v>
      </c>
      <c r="U823" s="26">
        <f t="shared" si="24"/>
        <v>-25</v>
      </c>
    </row>
    <row r="824" spans="19:21" ht="14.65" thickBot="1" x14ac:dyDescent="0.5">
      <c r="S824" s="37">
        <f t="shared" si="25"/>
        <v>215004.07072947183</v>
      </c>
      <c r="U824" s="26">
        <f t="shared" si="24"/>
        <v>-25</v>
      </c>
    </row>
    <row r="825" spans="19:21" ht="14.65" thickBot="1" x14ac:dyDescent="0.5">
      <c r="S825" s="37">
        <f t="shared" si="25"/>
        <v>217154.11143676654</v>
      </c>
      <c r="U825" s="26">
        <f t="shared" si="24"/>
        <v>-25</v>
      </c>
    </row>
    <row r="826" spans="19:21" ht="14.65" thickBot="1" x14ac:dyDescent="0.5">
      <c r="S826" s="37">
        <f t="shared" si="25"/>
        <v>219325.6525511342</v>
      </c>
      <c r="U826" s="26">
        <f t="shared" si="24"/>
        <v>-25</v>
      </c>
    </row>
    <row r="827" spans="19:21" ht="14.65" thickBot="1" x14ac:dyDescent="0.5">
      <c r="S827" s="37">
        <f t="shared" si="25"/>
        <v>221518.90907664553</v>
      </c>
      <c r="U827" s="26">
        <f t="shared" si="24"/>
        <v>-25</v>
      </c>
    </row>
    <row r="828" spans="19:21" ht="14.65" thickBot="1" x14ac:dyDescent="0.5">
      <c r="S828" s="37">
        <f t="shared" si="25"/>
        <v>223734.09816741198</v>
      </c>
      <c r="U828" s="26">
        <f t="shared" si="24"/>
        <v>-25</v>
      </c>
    </row>
    <row r="829" spans="19:21" ht="14.65" thickBot="1" x14ac:dyDescent="0.5">
      <c r="S829" s="37">
        <f t="shared" si="25"/>
        <v>225971.4391490861</v>
      </c>
      <c r="U829" s="26">
        <f t="shared" si="24"/>
        <v>-25</v>
      </c>
    </row>
    <row r="830" spans="19:21" ht="14.65" thickBot="1" x14ac:dyDescent="0.5">
      <c r="S830" s="37">
        <f t="shared" si="25"/>
        <v>228231.15354057695</v>
      </c>
      <c r="U830" s="26">
        <f t="shared" si="24"/>
        <v>-25</v>
      </c>
    </row>
    <row r="831" spans="19:21" ht="14.65" thickBot="1" x14ac:dyDescent="0.5">
      <c r="S831" s="37">
        <f t="shared" si="25"/>
        <v>230513.46507598273</v>
      </c>
      <c r="U831" s="26">
        <f t="shared" si="24"/>
        <v>-25</v>
      </c>
    </row>
    <row r="832" spans="19:21" ht="14.65" thickBot="1" x14ac:dyDescent="0.5">
      <c r="S832" s="37">
        <f t="shared" si="25"/>
        <v>232818.59972674257</v>
      </c>
      <c r="U832" s="26">
        <f t="shared" si="24"/>
        <v>-25</v>
      </c>
    </row>
    <row r="833" spans="19:21" ht="14.65" thickBot="1" x14ac:dyDescent="0.5">
      <c r="S833" s="37">
        <f t="shared" si="25"/>
        <v>235146.78572401</v>
      </c>
      <c r="U833" s="26">
        <f t="shared" si="24"/>
        <v>-25</v>
      </c>
    </row>
    <row r="834" spans="19:21" ht="14.65" thickBot="1" x14ac:dyDescent="0.5">
      <c r="S834" s="37">
        <f t="shared" si="25"/>
        <v>237498.25358125009</v>
      </c>
      <c r="U834" s="26">
        <f t="shared" si="24"/>
        <v>-25</v>
      </c>
    </row>
    <row r="835" spans="19:21" ht="14.65" thickBot="1" x14ac:dyDescent="0.5">
      <c r="S835" s="37">
        <f t="shared" si="25"/>
        <v>239873.2361170626</v>
      </c>
      <c r="U835" s="26">
        <f t="shared" si="24"/>
        <v>-25</v>
      </c>
    </row>
    <row r="836" spans="19:21" ht="14.65" thickBot="1" x14ac:dyDescent="0.5">
      <c r="S836" s="37">
        <f t="shared" si="25"/>
        <v>242271.96847823323</v>
      </c>
      <c r="U836" s="26">
        <f t="shared" si="24"/>
        <v>-25</v>
      </c>
    </row>
    <row r="837" spans="19:21" ht="14.65" thickBot="1" x14ac:dyDescent="0.5">
      <c r="S837" s="37">
        <f t="shared" si="25"/>
        <v>244694.68816301555</v>
      </c>
      <c r="U837" s="26">
        <f t="shared" si="24"/>
        <v>-25</v>
      </c>
    </row>
    <row r="838" spans="19:21" ht="14.65" thickBot="1" x14ac:dyDescent="0.5">
      <c r="S838" s="37">
        <f t="shared" si="25"/>
        <v>247141.63504464572</v>
      </c>
      <c r="U838" s="26">
        <f t="shared" si="24"/>
        <v>-25</v>
      </c>
    </row>
    <row r="839" spans="19:21" ht="14.65" thickBot="1" x14ac:dyDescent="0.5">
      <c r="S839" s="37">
        <f t="shared" si="25"/>
        <v>249613.05139509219</v>
      </c>
      <c r="U839" s="26">
        <f t="shared" si="24"/>
        <v>-25</v>
      </c>
    </row>
    <row r="840" spans="19:21" ht="14.65" thickBot="1" x14ac:dyDescent="0.5">
      <c r="S840" s="37">
        <f t="shared" si="25"/>
        <v>252109.18190904311</v>
      </c>
      <c r="U840" s="26">
        <f t="shared" si="24"/>
        <v>-25</v>
      </c>
    </row>
    <row r="841" spans="19:21" ht="14.65" thickBot="1" x14ac:dyDescent="0.5">
      <c r="S841" s="37">
        <f t="shared" si="25"/>
        <v>254630.27372813353</v>
      </c>
      <c r="U841" s="26">
        <f t="shared" si="24"/>
        <v>-25</v>
      </c>
    </row>
    <row r="842" spans="19:21" ht="14.65" thickBot="1" x14ac:dyDescent="0.5">
      <c r="S842" s="37">
        <f t="shared" si="25"/>
        <v>257176.57646541487</v>
      </c>
      <c r="U842" s="26">
        <f t="shared" si="24"/>
        <v>-25</v>
      </c>
    </row>
    <row r="843" spans="19:21" ht="14.65" thickBot="1" x14ac:dyDescent="0.5">
      <c r="S843" s="37">
        <f t="shared" si="25"/>
        <v>259748.34223006901</v>
      </c>
      <c r="U843" s="26">
        <f t="shared" si="24"/>
        <v>-25</v>
      </c>
    </row>
    <row r="844" spans="19:21" ht="14.65" thickBot="1" x14ac:dyDescent="0.5">
      <c r="S844" s="37">
        <f t="shared" si="25"/>
        <v>262345.82565236971</v>
      </c>
      <c r="U844" s="26">
        <f t="shared" si="24"/>
        <v>-25</v>
      </c>
    </row>
    <row r="845" spans="19:21" ht="14.65" thickBot="1" x14ac:dyDescent="0.5">
      <c r="S845" s="37">
        <f t="shared" si="25"/>
        <v>264969.28390889341</v>
      </c>
      <c r="U845" s="26">
        <f t="shared" si="24"/>
        <v>-25</v>
      </c>
    </row>
    <row r="846" spans="19:21" ht="14.65" thickBot="1" x14ac:dyDescent="0.5">
      <c r="S846" s="37">
        <f t="shared" si="25"/>
        <v>267618.97674798232</v>
      </c>
      <c r="U846" s="26">
        <f t="shared" si="24"/>
        <v>-25</v>
      </c>
    </row>
    <row r="847" spans="19:21" ht="14.65" thickBot="1" x14ac:dyDescent="0.5">
      <c r="S847" s="37">
        <f t="shared" si="25"/>
        <v>270295.16651546216</v>
      </c>
      <c r="U847" s="26">
        <f t="shared" si="24"/>
        <v>-25</v>
      </c>
    </row>
    <row r="848" spans="19:21" ht="14.65" thickBot="1" x14ac:dyDescent="0.5">
      <c r="S848" s="37">
        <f t="shared" si="25"/>
        <v>272998.11818061676</v>
      </c>
      <c r="U848" s="26">
        <f t="shared" si="24"/>
        <v>-25</v>
      </c>
    </row>
    <row r="849" spans="19:21" ht="14.65" thickBot="1" x14ac:dyDescent="0.5">
      <c r="S849" s="37">
        <f t="shared" si="25"/>
        <v>275728.09936242294</v>
      </c>
      <c r="U849" s="26">
        <f t="shared" si="24"/>
        <v>-25</v>
      </c>
    </row>
    <row r="850" spans="19:21" ht="14.65" thickBot="1" x14ac:dyDescent="0.5">
      <c r="S850" s="37">
        <f t="shared" si="25"/>
        <v>278485.38035604719</v>
      </c>
      <c r="U850" s="26">
        <f t="shared" ref="U850:U913" si="26">IF(S850&lt;$D$8,$D$7-S850-$D$9,$D$7-$D$8-$D$9)</f>
        <v>-25</v>
      </c>
    </row>
    <row r="851" spans="19:21" ht="14.65" thickBot="1" x14ac:dyDescent="0.5">
      <c r="S851" s="37">
        <f t="shared" ref="S851:S914" si="27">S850*(1.01)</f>
        <v>281270.23415960767</v>
      </c>
      <c r="U851" s="26">
        <f t="shared" si="26"/>
        <v>-25</v>
      </c>
    </row>
    <row r="852" spans="19:21" ht="14.65" thickBot="1" x14ac:dyDescent="0.5">
      <c r="S852" s="37">
        <f t="shared" si="27"/>
        <v>284082.93650120375</v>
      </c>
      <c r="U852" s="26">
        <f t="shared" si="26"/>
        <v>-25</v>
      </c>
    </row>
    <row r="853" spans="19:21" ht="14.65" thickBot="1" x14ac:dyDescent="0.5">
      <c r="S853" s="37">
        <f t="shared" si="27"/>
        <v>286923.76586621581</v>
      </c>
      <c r="U853" s="26">
        <f t="shared" si="26"/>
        <v>-25</v>
      </c>
    </row>
    <row r="854" spans="19:21" ht="14.65" thickBot="1" x14ac:dyDescent="0.5">
      <c r="S854" s="37">
        <f t="shared" si="27"/>
        <v>289793.00352487795</v>
      </c>
      <c r="U854" s="26">
        <f t="shared" si="26"/>
        <v>-25</v>
      </c>
    </row>
    <row r="855" spans="19:21" ht="14.65" thickBot="1" x14ac:dyDescent="0.5">
      <c r="S855" s="37">
        <f t="shared" si="27"/>
        <v>292690.93356012675</v>
      </c>
      <c r="U855" s="26">
        <f t="shared" si="26"/>
        <v>-25</v>
      </c>
    </row>
    <row r="856" spans="19:21" ht="14.65" thickBot="1" x14ac:dyDescent="0.5">
      <c r="S856" s="37">
        <f t="shared" si="27"/>
        <v>295617.84289572801</v>
      </c>
      <c r="U856" s="26">
        <f t="shared" si="26"/>
        <v>-25</v>
      </c>
    </row>
    <row r="857" spans="19:21" ht="14.65" thickBot="1" x14ac:dyDescent="0.5">
      <c r="S857" s="37">
        <f t="shared" si="27"/>
        <v>298574.02132468531</v>
      </c>
      <c r="U857" s="26">
        <f t="shared" si="26"/>
        <v>-25</v>
      </c>
    </row>
    <row r="858" spans="19:21" ht="14.65" thickBot="1" x14ac:dyDescent="0.5">
      <c r="S858" s="37">
        <f t="shared" si="27"/>
        <v>301559.76153793215</v>
      </c>
      <c r="U858" s="26">
        <f t="shared" si="26"/>
        <v>-25</v>
      </c>
    </row>
    <row r="859" spans="19:21" ht="14.65" thickBot="1" x14ac:dyDescent="0.5">
      <c r="S859" s="37">
        <f t="shared" si="27"/>
        <v>304575.35915331147</v>
      </c>
      <c r="U859" s="26">
        <f t="shared" si="26"/>
        <v>-25</v>
      </c>
    </row>
    <row r="860" spans="19:21" ht="14.65" thickBot="1" x14ac:dyDescent="0.5">
      <c r="S860" s="37">
        <f t="shared" si="27"/>
        <v>307621.11274484458</v>
      </c>
      <c r="U860" s="26">
        <f t="shared" si="26"/>
        <v>-25</v>
      </c>
    </row>
    <row r="861" spans="19:21" ht="14.65" thickBot="1" x14ac:dyDescent="0.5">
      <c r="S861" s="37">
        <f t="shared" si="27"/>
        <v>310697.323872293</v>
      </c>
      <c r="U861" s="26">
        <f t="shared" si="26"/>
        <v>-25</v>
      </c>
    </row>
    <row r="862" spans="19:21" ht="14.65" thickBot="1" x14ac:dyDescent="0.5">
      <c r="S862" s="37">
        <f t="shared" si="27"/>
        <v>313804.29711101594</v>
      </c>
      <c r="U862" s="26">
        <f t="shared" si="26"/>
        <v>-25</v>
      </c>
    </row>
    <row r="863" spans="19:21" ht="14.65" thickBot="1" x14ac:dyDescent="0.5">
      <c r="S863" s="37">
        <f t="shared" si="27"/>
        <v>316942.34008212609</v>
      </c>
      <c r="U863" s="26">
        <f t="shared" si="26"/>
        <v>-25</v>
      </c>
    </row>
    <row r="864" spans="19:21" ht="14.65" thickBot="1" x14ac:dyDescent="0.5">
      <c r="S864" s="37">
        <f t="shared" si="27"/>
        <v>320111.76348294737</v>
      </c>
      <c r="U864" s="26">
        <f t="shared" si="26"/>
        <v>-25</v>
      </c>
    </row>
    <row r="865" spans="19:21" ht="14.65" thickBot="1" x14ac:dyDescent="0.5">
      <c r="S865" s="37">
        <f t="shared" si="27"/>
        <v>323312.88111777685</v>
      </c>
      <c r="U865" s="26">
        <f t="shared" si="26"/>
        <v>-25</v>
      </c>
    </row>
    <row r="866" spans="19:21" ht="14.65" thickBot="1" x14ac:dyDescent="0.5">
      <c r="S866" s="37">
        <f t="shared" si="27"/>
        <v>326546.00992895465</v>
      </c>
      <c r="U866" s="26">
        <f t="shared" si="26"/>
        <v>-25</v>
      </c>
    </row>
    <row r="867" spans="19:21" ht="14.65" thickBot="1" x14ac:dyDescent="0.5">
      <c r="S867" s="37">
        <f t="shared" si="27"/>
        <v>329811.47002824419</v>
      </c>
      <c r="U867" s="26">
        <f t="shared" si="26"/>
        <v>-25</v>
      </c>
    </row>
    <row r="868" spans="19:21" ht="14.65" thickBot="1" x14ac:dyDescent="0.5">
      <c r="S868" s="37">
        <f t="shared" si="27"/>
        <v>333109.58472852665</v>
      </c>
      <c r="U868" s="26">
        <f t="shared" si="26"/>
        <v>-25</v>
      </c>
    </row>
    <row r="869" spans="19:21" ht="14.65" thickBot="1" x14ac:dyDescent="0.5">
      <c r="S869" s="37">
        <f t="shared" si="27"/>
        <v>336440.68057581194</v>
      </c>
      <c r="U869" s="26">
        <f t="shared" si="26"/>
        <v>-25</v>
      </c>
    </row>
    <row r="870" spans="19:21" ht="14.65" thickBot="1" x14ac:dyDescent="0.5">
      <c r="S870" s="37">
        <f t="shared" si="27"/>
        <v>339805.08738157008</v>
      </c>
      <c r="U870" s="26">
        <f t="shared" si="26"/>
        <v>-25</v>
      </c>
    </row>
    <row r="871" spans="19:21" ht="14.65" thickBot="1" x14ac:dyDescent="0.5">
      <c r="S871" s="37">
        <f t="shared" si="27"/>
        <v>343203.1382553858</v>
      </c>
      <c r="U871" s="26">
        <f t="shared" si="26"/>
        <v>-25</v>
      </c>
    </row>
    <row r="872" spans="19:21" ht="14.65" thickBot="1" x14ac:dyDescent="0.5">
      <c r="S872" s="37">
        <f t="shared" si="27"/>
        <v>346635.16963793966</v>
      </c>
      <c r="U872" s="26">
        <f t="shared" si="26"/>
        <v>-25</v>
      </c>
    </row>
    <row r="873" spans="19:21" ht="14.65" thickBot="1" x14ac:dyDescent="0.5">
      <c r="S873" s="37">
        <f t="shared" si="27"/>
        <v>350101.52133431908</v>
      </c>
      <c r="U873" s="26">
        <f t="shared" si="26"/>
        <v>-25</v>
      </c>
    </row>
    <row r="874" spans="19:21" ht="14.65" thickBot="1" x14ac:dyDescent="0.5">
      <c r="S874" s="37">
        <f t="shared" si="27"/>
        <v>353602.53654766228</v>
      </c>
      <c r="U874" s="26">
        <f t="shared" si="26"/>
        <v>-25</v>
      </c>
    </row>
    <row r="875" spans="19:21" ht="14.65" thickBot="1" x14ac:dyDescent="0.5">
      <c r="S875" s="37">
        <f t="shared" si="27"/>
        <v>357138.5619131389</v>
      </c>
      <c r="U875" s="26">
        <f t="shared" si="26"/>
        <v>-25</v>
      </c>
    </row>
    <row r="876" spans="19:21" ht="14.65" thickBot="1" x14ac:dyDescent="0.5">
      <c r="S876" s="37">
        <f t="shared" si="27"/>
        <v>360709.94753227028</v>
      </c>
      <c r="U876" s="26">
        <f t="shared" si="26"/>
        <v>-25</v>
      </c>
    </row>
    <row r="877" spans="19:21" ht="14.65" thickBot="1" x14ac:dyDescent="0.5">
      <c r="S877" s="37">
        <f t="shared" si="27"/>
        <v>364317.04700759298</v>
      </c>
      <c r="U877" s="26">
        <f t="shared" si="26"/>
        <v>-25</v>
      </c>
    </row>
    <row r="878" spans="19:21" ht="14.65" thickBot="1" x14ac:dyDescent="0.5">
      <c r="S878" s="37">
        <f t="shared" si="27"/>
        <v>367960.21747766889</v>
      </c>
      <c r="U878" s="26">
        <f t="shared" si="26"/>
        <v>-25</v>
      </c>
    </row>
    <row r="879" spans="19:21" ht="14.65" thickBot="1" x14ac:dyDescent="0.5">
      <c r="S879" s="37">
        <f t="shared" si="27"/>
        <v>371639.81965244556</v>
      </c>
      <c r="U879" s="26">
        <f t="shared" si="26"/>
        <v>-25</v>
      </c>
    </row>
    <row r="880" spans="19:21" ht="14.65" thickBot="1" x14ac:dyDescent="0.5">
      <c r="S880" s="37">
        <f t="shared" si="27"/>
        <v>375356.21784897003</v>
      </c>
      <c r="U880" s="26">
        <f t="shared" si="26"/>
        <v>-25</v>
      </c>
    </row>
    <row r="881" spans="19:21" ht="14.65" thickBot="1" x14ac:dyDescent="0.5">
      <c r="S881" s="37">
        <f t="shared" si="27"/>
        <v>379109.78002745972</v>
      </c>
      <c r="U881" s="26">
        <f t="shared" si="26"/>
        <v>-25</v>
      </c>
    </row>
    <row r="882" spans="19:21" ht="14.65" thickBot="1" x14ac:dyDescent="0.5">
      <c r="S882" s="37">
        <f t="shared" si="27"/>
        <v>382900.87782773434</v>
      </c>
      <c r="U882" s="26">
        <f t="shared" si="26"/>
        <v>-25</v>
      </c>
    </row>
    <row r="883" spans="19:21" ht="14.65" thickBot="1" x14ac:dyDescent="0.5">
      <c r="S883" s="37">
        <f t="shared" si="27"/>
        <v>386729.88660601166</v>
      </c>
      <c r="U883" s="26">
        <f t="shared" si="26"/>
        <v>-25</v>
      </c>
    </row>
    <row r="884" spans="19:21" ht="14.65" thickBot="1" x14ac:dyDescent="0.5">
      <c r="S884" s="37">
        <f t="shared" si="27"/>
        <v>390597.18547207175</v>
      </c>
      <c r="U884" s="26">
        <f t="shared" si="26"/>
        <v>-25</v>
      </c>
    </row>
    <row r="885" spans="19:21" ht="14.65" thickBot="1" x14ac:dyDescent="0.5">
      <c r="S885" s="37">
        <f t="shared" si="27"/>
        <v>394503.15732679248</v>
      </c>
      <c r="U885" s="26">
        <f t="shared" si="26"/>
        <v>-25</v>
      </c>
    </row>
    <row r="886" spans="19:21" ht="14.65" thickBot="1" x14ac:dyDescent="0.5">
      <c r="S886" s="37">
        <f t="shared" si="27"/>
        <v>398448.18890006043</v>
      </c>
      <c r="U886" s="26">
        <f t="shared" si="26"/>
        <v>-25</v>
      </c>
    </row>
    <row r="887" spans="19:21" ht="14.65" thickBot="1" x14ac:dyDescent="0.5">
      <c r="S887" s="37">
        <f t="shared" si="27"/>
        <v>402432.67078906106</v>
      </c>
      <c r="U887" s="26">
        <f t="shared" si="26"/>
        <v>-25</v>
      </c>
    </row>
    <row r="888" spans="19:21" ht="14.65" thickBot="1" x14ac:dyDescent="0.5">
      <c r="S888" s="37">
        <f t="shared" si="27"/>
        <v>406456.99749695166</v>
      </c>
      <c r="U888" s="26">
        <f t="shared" si="26"/>
        <v>-25</v>
      </c>
    </row>
    <row r="889" spans="19:21" ht="14.65" thickBot="1" x14ac:dyDescent="0.5">
      <c r="S889" s="37">
        <f t="shared" si="27"/>
        <v>410521.56747192121</v>
      </c>
      <c r="U889" s="26">
        <f t="shared" si="26"/>
        <v>-25</v>
      </c>
    </row>
    <row r="890" spans="19:21" ht="14.65" thickBot="1" x14ac:dyDescent="0.5">
      <c r="S890" s="37">
        <f t="shared" si="27"/>
        <v>414626.7831466404</v>
      </c>
      <c r="U890" s="26">
        <f t="shared" si="26"/>
        <v>-25</v>
      </c>
    </row>
    <row r="891" spans="19:21" ht="14.65" thickBot="1" x14ac:dyDescent="0.5">
      <c r="S891" s="37">
        <f t="shared" si="27"/>
        <v>418773.0509781068</v>
      </c>
      <c r="U891" s="26">
        <f t="shared" si="26"/>
        <v>-25</v>
      </c>
    </row>
    <row r="892" spans="19:21" ht="14.65" thickBot="1" x14ac:dyDescent="0.5">
      <c r="S892" s="37">
        <f t="shared" si="27"/>
        <v>422960.78148788784</v>
      </c>
      <c r="U892" s="26">
        <f t="shared" si="26"/>
        <v>-25</v>
      </c>
    </row>
    <row r="893" spans="19:21" ht="14.65" thickBot="1" x14ac:dyDescent="0.5">
      <c r="S893" s="37">
        <f t="shared" si="27"/>
        <v>427190.38930276671</v>
      </c>
      <c r="U893" s="26">
        <f t="shared" si="26"/>
        <v>-25</v>
      </c>
    </row>
    <row r="894" spans="19:21" ht="14.65" thickBot="1" x14ac:dyDescent="0.5">
      <c r="S894" s="37">
        <f t="shared" si="27"/>
        <v>431462.29319579439</v>
      </c>
      <c r="U894" s="26">
        <f t="shared" si="26"/>
        <v>-25</v>
      </c>
    </row>
    <row r="895" spans="19:21" ht="14.65" thickBot="1" x14ac:dyDescent="0.5">
      <c r="S895" s="37">
        <f t="shared" si="27"/>
        <v>435776.91612775234</v>
      </c>
      <c r="U895" s="26">
        <f t="shared" si="26"/>
        <v>-25</v>
      </c>
    </row>
    <row r="896" spans="19:21" ht="14.65" thickBot="1" x14ac:dyDescent="0.5">
      <c r="S896" s="37">
        <f t="shared" si="27"/>
        <v>440134.68528902985</v>
      </c>
      <c r="U896" s="26">
        <f t="shared" si="26"/>
        <v>-25</v>
      </c>
    </row>
    <row r="897" spans="19:21" ht="14.65" thickBot="1" x14ac:dyDescent="0.5">
      <c r="S897" s="37">
        <f t="shared" si="27"/>
        <v>444536.03214192012</v>
      </c>
      <c r="U897" s="26">
        <f t="shared" si="26"/>
        <v>-25</v>
      </c>
    </row>
    <row r="898" spans="19:21" ht="14.65" thickBot="1" x14ac:dyDescent="0.5">
      <c r="S898" s="37">
        <f t="shared" si="27"/>
        <v>448981.39246333932</v>
      </c>
      <c r="U898" s="26">
        <f t="shared" si="26"/>
        <v>-25</v>
      </c>
    </row>
    <row r="899" spans="19:21" ht="14.65" thickBot="1" x14ac:dyDescent="0.5">
      <c r="S899" s="37">
        <f t="shared" si="27"/>
        <v>453471.20638797269</v>
      </c>
      <c r="U899" s="26">
        <f t="shared" si="26"/>
        <v>-25</v>
      </c>
    </row>
    <row r="900" spans="19:21" ht="14.65" thickBot="1" x14ac:dyDescent="0.5">
      <c r="S900" s="37">
        <f t="shared" si="27"/>
        <v>458005.9184518524</v>
      </c>
      <c r="U900" s="26">
        <f t="shared" si="26"/>
        <v>-25</v>
      </c>
    </row>
    <row r="901" spans="19:21" ht="14.65" thickBot="1" x14ac:dyDescent="0.5">
      <c r="S901" s="37">
        <f t="shared" si="27"/>
        <v>462585.97763637092</v>
      </c>
      <c r="U901" s="26">
        <f t="shared" si="26"/>
        <v>-25</v>
      </c>
    </row>
    <row r="902" spans="19:21" ht="14.65" thickBot="1" x14ac:dyDescent="0.5">
      <c r="S902" s="37">
        <f t="shared" si="27"/>
        <v>467211.83741273463</v>
      </c>
      <c r="U902" s="26">
        <f t="shared" si="26"/>
        <v>-25</v>
      </c>
    </row>
    <row r="903" spans="19:21" ht="14.65" thickBot="1" x14ac:dyDescent="0.5">
      <c r="S903" s="37">
        <f t="shared" si="27"/>
        <v>471883.955786862</v>
      </c>
      <c r="U903" s="26">
        <f t="shared" si="26"/>
        <v>-25</v>
      </c>
    </row>
    <row r="904" spans="19:21" ht="14.65" thickBot="1" x14ac:dyDescent="0.5">
      <c r="S904" s="37">
        <f t="shared" si="27"/>
        <v>476602.79534473061</v>
      </c>
      <c r="U904" s="26">
        <f t="shared" si="26"/>
        <v>-25</v>
      </c>
    </row>
    <row r="905" spans="19:21" ht="14.65" thickBot="1" x14ac:dyDescent="0.5">
      <c r="S905" s="37">
        <f t="shared" si="27"/>
        <v>481368.82329817791</v>
      </c>
      <c r="U905" s="26">
        <f t="shared" si="26"/>
        <v>-25</v>
      </c>
    </row>
    <row r="906" spans="19:21" ht="14.65" thickBot="1" x14ac:dyDescent="0.5">
      <c r="S906" s="37">
        <f t="shared" si="27"/>
        <v>486182.51153115969</v>
      </c>
      <c r="U906" s="26">
        <f t="shared" si="26"/>
        <v>-25</v>
      </c>
    </row>
    <row r="907" spans="19:21" ht="14.65" thickBot="1" x14ac:dyDescent="0.5">
      <c r="S907" s="37">
        <f t="shared" si="27"/>
        <v>491044.33664647129</v>
      </c>
      <c r="U907" s="26">
        <f t="shared" si="26"/>
        <v>-25</v>
      </c>
    </row>
    <row r="908" spans="19:21" ht="14.65" thickBot="1" x14ac:dyDescent="0.5">
      <c r="S908" s="37">
        <f t="shared" si="27"/>
        <v>495954.78001293598</v>
      </c>
      <c r="U908" s="26">
        <f t="shared" si="26"/>
        <v>-25</v>
      </c>
    </row>
    <row r="909" spans="19:21" ht="14.65" thickBot="1" x14ac:dyDescent="0.5">
      <c r="S909" s="37">
        <f t="shared" si="27"/>
        <v>500914.32781306532</v>
      </c>
      <c r="U909" s="26">
        <f t="shared" si="26"/>
        <v>-25</v>
      </c>
    </row>
    <row r="910" spans="19:21" ht="14.65" thickBot="1" x14ac:dyDescent="0.5">
      <c r="S910" s="37">
        <f t="shared" si="27"/>
        <v>505923.471091196</v>
      </c>
      <c r="U910" s="26">
        <f t="shared" si="26"/>
        <v>-25</v>
      </c>
    </row>
    <row r="911" spans="19:21" ht="14.65" thickBot="1" x14ac:dyDescent="0.5">
      <c r="S911" s="37">
        <f t="shared" si="27"/>
        <v>510982.70580210799</v>
      </c>
      <c r="U911" s="26">
        <f t="shared" si="26"/>
        <v>-25</v>
      </c>
    </row>
    <row r="912" spans="19:21" ht="14.65" thickBot="1" x14ac:dyDescent="0.5">
      <c r="S912" s="37">
        <f t="shared" si="27"/>
        <v>516092.53286012908</v>
      </c>
      <c r="U912" s="26">
        <f t="shared" si="26"/>
        <v>-25</v>
      </c>
    </row>
    <row r="913" spans="19:21" ht="14.65" thickBot="1" x14ac:dyDescent="0.5">
      <c r="S913" s="37">
        <f t="shared" si="27"/>
        <v>521253.45818873035</v>
      </c>
      <c r="U913" s="26">
        <f t="shared" si="26"/>
        <v>-25</v>
      </c>
    </row>
    <row r="914" spans="19:21" ht="14.65" thickBot="1" x14ac:dyDescent="0.5">
      <c r="S914" s="37">
        <f t="shared" si="27"/>
        <v>526465.99277061771</v>
      </c>
      <c r="U914" s="26">
        <f t="shared" ref="U914:U977" si="28">IF(S914&lt;$D$8,$D$7-S914-$D$9,$D$7-$D$8-$D$9)</f>
        <v>-25</v>
      </c>
    </row>
    <row r="915" spans="19:21" ht="14.65" thickBot="1" x14ac:dyDescent="0.5">
      <c r="S915" s="37">
        <f t="shared" ref="S915:S978" si="29">S914*(1.01)</f>
        <v>531730.65269832395</v>
      </c>
      <c r="U915" s="26">
        <f t="shared" si="28"/>
        <v>-25</v>
      </c>
    </row>
    <row r="916" spans="19:21" ht="14.65" thickBot="1" x14ac:dyDescent="0.5">
      <c r="S916" s="37">
        <f t="shared" si="29"/>
        <v>537047.95922530722</v>
      </c>
      <c r="U916" s="26">
        <f t="shared" si="28"/>
        <v>-25</v>
      </c>
    </row>
    <row r="917" spans="19:21" ht="14.65" thickBot="1" x14ac:dyDescent="0.5">
      <c r="S917" s="37">
        <f t="shared" si="29"/>
        <v>542418.43881756032</v>
      </c>
      <c r="U917" s="26">
        <f t="shared" si="28"/>
        <v>-25</v>
      </c>
    </row>
    <row r="918" spans="19:21" ht="14.65" thickBot="1" x14ac:dyDescent="0.5">
      <c r="S918" s="37">
        <f t="shared" si="29"/>
        <v>547842.62320573593</v>
      </c>
      <c r="U918" s="26">
        <f t="shared" si="28"/>
        <v>-25</v>
      </c>
    </row>
    <row r="919" spans="19:21" ht="14.65" thickBot="1" x14ac:dyDescent="0.5">
      <c r="S919" s="37">
        <f t="shared" si="29"/>
        <v>553321.04943779332</v>
      </c>
      <c r="U919" s="26">
        <f t="shared" si="28"/>
        <v>-25</v>
      </c>
    </row>
    <row r="920" spans="19:21" ht="14.65" thickBot="1" x14ac:dyDescent="0.5">
      <c r="S920" s="37">
        <f t="shared" si="29"/>
        <v>558854.2599321712</v>
      </c>
      <c r="U920" s="26">
        <f t="shared" si="28"/>
        <v>-25</v>
      </c>
    </row>
    <row r="921" spans="19:21" ht="14.65" thickBot="1" x14ac:dyDescent="0.5">
      <c r="S921" s="37">
        <f t="shared" si="29"/>
        <v>564442.8025314929</v>
      </c>
      <c r="U921" s="26">
        <f t="shared" si="28"/>
        <v>-25</v>
      </c>
    </row>
    <row r="922" spans="19:21" ht="14.65" thickBot="1" x14ac:dyDescent="0.5">
      <c r="S922" s="37">
        <f t="shared" si="29"/>
        <v>570087.23055680783</v>
      </c>
      <c r="U922" s="26">
        <f t="shared" si="28"/>
        <v>-25</v>
      </c>
    </row>
    <row r="923" spans="19:21" ht="14.65" thickBot="1" x14ac:dyDescent="0.5">
      <c r="S923" s="37">
        <f t="shared" si="29"/>
        <v>575788.1028623759</v>
      </c>
      <c r="U923" s="26">
        <f t="shared" si="28"/>
        <v>-25</v>
      </c>
    </row>
    <row r="924" spans="19:21" ht="14.65" thickBot="1" x14ac:dyDescent="0.5">
      <c r="S924" s="37">
        <f t="shared" si="29"/>
        <v>581545.98389099969</v>
      </c>
      <c r="U924" s="26">
        <f t="shared" si="28"/>
        <v>-25</v>
      </c>
    </row>
    <row r="925" spans="19:21" ht="14.65" thickBot="1" x14ac:dyDescent="0.5">
      <c r="S925" s="37">
        <f t="shared" si="29"/>
        <v>587361.44372990972</v>
      </c>
      <c r="U925" s="26">
        <f t="shared" si="28"/>
        <v>-25</v>
      </c>
    </row>
    <row r="926" spans="19:21" ht="14.65" thickBot="1" x14ac:dyDescent="0.5">
      <c r="S926" s="37">
        <f t="shared" si="29"/>
        <v>593235.0581672088</v>
      </c>
      <c r="U926" s="26">
        <f t="shared" si="28"/>
        <v>-25</v>
      </c>
    </row>
    <row r="927" spans="19:21" ht="14.65" thickBot="1" x14ac:dyDescent="0.5">
      <c r="S927" s="37">
        <f t="shared" si="29"/>
        <v>599167.40874888084</v>
      </c>
      <c r="U927" s="26">
        <f t="shared" si="28"/>
        <v>-25</v>
      </c>
    </row>
    <row r="928" spans="19:21" ht="14.65" thickBot="1" x14ac:dyDescent="0.5">
      <c r="S928" s="37">
        <f t="shared" si="29"/>
        <v>605159.08283636963</v>
      </c>
      <c r="U928" s="26">
        <f t="shared" si="28"/>
        <v>-25</v>
      </c>
    </row>
    <row r="929" spans="19:21" ht="14.65" thickBot="1" x14ac:dyDescent="0.5">
      <c r="S929" s="37">
        <f t="shared" si="29"/>
        <v>611210.6736647333</v>
      </c>
      <c r="U929" s="26">
        <f t="shared" si="28"/>
        <v>-25</v>
      </c>
    </row>
    <row r="930" spans="19:21" ht="14.65" thickBot="1" x14ac:dyDescent="0.5">
      <c r="S930" s="37">
        <f t="shared" si="29"/>
        <v>617322.78040138062</v>
      </c>
      <c r="U930" s="26">
        <f t="shared" si="28"/>
        <v>-25</v>
      </c>
    </row>
    <row r="931" spans="19:21" ht="14.65" thickBot="1" x14ac:dyDescent="0.5">
      <c r="S931" s="37">
        <f t="shared" si="29"/>
        <v>623496.00820539438</v>
      </c>
      <c r="U931" s="26">
        <f t="shared" si="28"/>
        <v>-25</v>
      </c>
    </row>
    <row r="932" spans="19:21" ht="14.65" thickBot="1" x14ac:dyDescent="0.5">
      <c r="S932" s="37">
        <f t="shared" si="29"/>
        <v>629730.96828744828</v>
      </c>
      <c r="U932" s="26">
        <f t="shared" si="28"/>
        <v>-25</v>
      </c>
    </row>
    <row r="933" spans="19:21" ht="14.65" thickBot="1" x14ac:dyDescent="0.5">
      <c r="S933" s="37">
        <f t="shared" si="29"/>
        <v>636028.27797032276</v>
      </c>
      <c r="U933" s="26">
        <f t="shared" si="28"/>
        <v>-25</v>
      </c>
    </row>
    <row r="934" spans="19:21" ht="14.65" thickBot="1" x14ac:dyDescent="0.5">
      <c r="S934" s="37">
        <f t="shared" si="29"/>
        <v>642388.56075002602</v>
      </c>
      <c r="U934" s="26">
        <f t="shared" si="28"/>
        <v>-25</v>
      </c>
    </row>
    <row r="935" spans="19:21" ht="14.65" thickBot="1" x14ac:dyDescent="0.5">
      <c r="S935" s="37">
        <f t="shared" si="29"/>
        <v>648812.44635752623</v>
      </c>
      <c r="U935" s="26">
        <f t="shared" si="28"/>
        <v>-25</v>
      </c>
    </row>
    <row r="936" spans="19:21" ht="14.65" thickBot="1" x14ac:dyDescent="0.5">
      <c r="S936" s="37">
        <f t="shared" si="29"/>
        <v>655300.57082110154</v>
      </c>
      <c r="U936" s="26">
        <f t="shared" si="28"/>
        <v>-25</v>
      </c>
    </row>
    <row r="937" spans="19:21" ht="14.65" thickBot="1" x14ac:dyDescent="0.5">
      <c r="S937" s="37">
        <f t="shared" si="29"/>
        <v>661853.57652931253</v>
      </c>
      <c r="U937" s="26">
        <f t="shared" si="28"/>
        <v>-25</v>
      </c>
    </row>
    <row r="938" spans="19:21" ht="14.65" thickBot="1" x14ac:dyDescent="0.5">
      <c r="S938" s="37">
        <f t="shared" si="29"/>
        <v>668472.1122946057</v>
      </c>
      <c r="U938" s="26">
        <f t="shared" si="28"/>
        <v>-25</v>
      </c>
    </row>
    <row r="939" spans="19:21" ht="14.65" thickBot="1" x14ac:dyDescent="0.5">
      <c r="S939" s="37">
        <f t="shared" si="29"/>
        <v>675156.83341755171</v>
      </c>
      <c r="U939" s="26">
        <f t="shared" si="28"/>
        <v>-25</v>
      </c>
    </row>
    <row r="940" spans="19:21" ht="14.65" thickBot="1" x14ac:dyDescent="0.5">
      <c r="S940" s="37">
        <f t="shared" si="29"/>
        <v>681908.40175172722</v>
      </c>
      <c r="U940" s="26">
        <f t="shared" si="28"/>
        <v>-25</v>
      </c>
    </row>
    <row r="941" spans="19:21" ht="14.65" thickBot="1" x14ac:dyDescent="0.5">
      <c r="S941" s="37">
        <f t="shared" si="29"/>
        <v>688727.48576924449</v>
      </c>
      <c r="U941" s="26">
        <f t="shared" si="28"/>
        <v>-25</v>
      </c>
    </row>
    <row r="942" spans="19:21" ht="14.65" thickBot="1" x14ac:dyDescent="0.5">
      <c r="S942" s="37">
        <f t="shared" si="29"/>
        <v>695614.76062693691</v>
      </c>
      <c r="U942" s="26">
        <f t="shared" si="28"/>
        <v>-25</v>
      </c>
    </row>
    <row r="943" spans="19:21" ht="14.65" thickBot="1" x14ac:dyDescent="0.5">
      <c r="S943" s="37">
        <f t="shared" si="29"/>
        <v>702570.90823320625</v>
      </c>
      <c r="U943" s="26">
        <f t="shared" si="28"/>
        <v>-25</v>
      </c>
    </row>
    <row r="944" spans="19:21" ht="14.65" thickBot="1" x14ac:dyDescent="0.5">
      <c r="S944" s="37">
        <f t="shared" si="29"/>
        <v>709596.61731553834</v>
      </c>
      <c r="U944" s="26">
        <f t="shared" si="28"/>
        <v>-25</v>
      </c>
    </row>
    <row r="945" spans="19:21" ht="14.65" thickBot="1" x14ac:dyDescent="0.5">
      <c r="S945" s="37">
        <f t="shared" si="29"/>
        <v>716692.58348869369</v>
      </c>
      <c r="U945" s="26">
        <f t="shared" si="28"/>
        <v>-25</v>
      </c>
    </row>
    <row r="946" spans="19:21" ht="14.65" thickBot="1" x14ac:dyDescent="0.5">
      <c r="S946" s="37">
        <f t="shared" si="29"/>
        <v>723859.50932358066</v>
      </c>
      <c r="U946" s="26">
        <f t="shared" si="28"/>
        <v>-25</v>
      </c>
    </row>
    <row r="947" spans="19:21" ht="14.65" thickBot="1" x14ac:dyDescent="0.5">
      <c r="S947" s="37">
        <f t="shared" si="29"/>
        <v>731098.1044168165</v>
      </c>
      <c r="U947" s="26">
        <f t="shared" si="28"/>
        <v>-25</v>
      </c>
    </row>
    <row r="948" spans="19:21" ht="14.65" thickBot="1" x14ac:dyDescent="0.5">
      <c r="S948" s="37">
        <f t="shared" si="29"/>
        <v>738409.08546098461</v>
      </c>
      <c r="U948" s="26">
        <f t="shared" si="28"/>
        <v>-25</v>
      </c>
    </row>
    <row r="949" spans="19:21" ht="14.65" thickBot="1" x14ac:dyDescent="0.5">
      <c r="S949" s="37">
        <f t="shared" si="29"/>
        <v>745793.17631559446</v>
      </c>
      <c r="U949" s="26">
        <f t="shared" si="28"/>
        <v>-25</v>
      </c>
    </row>
    <row r="950" spans="19:21" ht="14.65" thickBot="1" x14ac:dyDescent="0.5">
      <c r="S950" s="37">
        <f t="shared" si="29"/>
        <v>753251.10807875043</v>
      </c>
      <c r="U950" s="26">
        <f t="shared" si="28"/>
        <v>-25</v>
      </c>
    </row>
    <row r="951" spans="19:21" ht="14.65" thickBot="1" x14ac:dyDescent="0.5">
      <c r="S951" s="37">
        <f t="shared" si="29"/>
        <v>760783.61915953795</v>
      </c>
      <c r="U951" s="26">
        <f t="shared" si="28"/>
        <v>-25</v>
      </c>
    </row>
    <row r="952" spans="19:21" ht="14.65" thickBot="1" x14ac:dyDescent="0.5">
      <c r="S952" s="37">
        <f t="shared" si="29"/>
        <v>768391.45535113337</v>
      </c>
      <c r="U952" s="26">
        <f t="shared" si="28"/>
        <v>-25</v>
      </c>
    </row>
    <row r="953" spans="19:21" ht="14.65" thickBot="1" x14ac:dyDescent="0.5">
      <c r="S953" s="37">
        <f t="shared" si="29"/>
        <v>776075.36990464467</v>
      </c>
      <c r="U953" s="26">
        <f t="shared" si="28"/>
        <v>-25</v>
      </c>
    </row>
    <row r="954" spans="19:21" ht="14.65" thickBot="1" x14ac:dyDescent="0.5">
      <c r="S954" s="37">
        <f t="shared" si="29"/>
        <v>783836.12360369111</v>
      </c>
      <c r="U954" s="26">
        <f t="shared" si="28"/>
        <v>-25</v>
      </c>
    </row>
    <row r="955" spans="19:21" ht="14.65" thickBot="1" x14ac:dyDescent="0.5">
      <c r="S955" s="37">
        <f t="shared" si="29"/>
        <v>791674.48483972799</v>
      </c>
      <c r="U955" s="26">
        <f t="shared" si="28"/>
        <v>-25</v>
      </c>
    </row>
    <row r="956" spans="19:21" ht="14.65" thickBot="1" x14ac:dyDescent="0.5">
      <c r="S956" s="37">
        <f t="shared" si="29"/>
        <v>799591.22968812531</v>
      </c>
      <c r="U956" s="26">
        <f t="shared" si="28"/>
        <v>-25</v>
      </c>
    </row>
    <row r="957" spans="19:21" ht="14.65" thickBot="1" x14ac:dyDescent="0.5">
      <c r="S957" s="37">
        <f t="shared" si="29"/>
        <v>807587.14198500663</v>
      </c>
      <c r="U957" s="26">
        <f t="shared" si="28"/>
        <v>-25</v>
      </c>
    </row>
    <row r="958" spans="19:21" ht="14.65" thickBot="1" x14ac:dyDescent="0.5">
      <c r="S958" s="37">
        <f t="shared" si="29"/>
        <v>815663.01340485667</v>
      </c>
      <c r="U958" s="26">
        <f t="shared" si="28"/>
        <v>-25</v>
      </c>
    </row>
    <row r="959" spans="19:21" ht="14.65" thickBot="1" x14ac:dyDescent="0.5">
      <c r="S959" s="37">
        <f t="shared" si="29"/>
        <v>823819.64353890519</v>
      </c>
      <c r="U959" s="26">
        <f t="shared" si="28"/>
        <v>-25</v>
      </c>
    </row>
    <row r="960" spans="19:21" ht="14.65" thickBot="1" x14ac:dyDescent="0.5">
      <c r="S960" s="37">
        <f t="shared" si="29"/>
        <v>832057.8399742943</v>
      </c>
      <c r="U960" s="26">
        <f t="shared" si="28"/>
        <v>-25</v>
      </c>
    </row>
    <row r="961" spans="19:21" ht="14.65" thickBot="1" x14ac:dyDescent="0.5">
      <c r="S961" s="37">
        <f t="shared" si="29"/>
        <v>840378.41837403725</v>
      </c>
      <c r="U961" s="26">
        <f t="shared" si="28"/>
        <v>-25</v>
      </c>
    </row>
    <row r="962" spans="19:21" ht="14.65" thickBot="1" x14ac:dyDescent="0.5">
      <c r="S962" s="37">
        <f t="shared" si="29"/>
        <v>848782.20255777764</v>
      </c>
      <c r="U962" s="26">
        <f t="shared" si="28"/>
        <v>-25</v>
      </c>
    </row>
    <row r="963" spans="19:21" ht="14.65" thickBot="1" x14ac:dyDescent="0.5">
      <c r="S963" s="37">
        <f t="shared" si="29"/>
        <v>857270.02458335541</v>
      </c>
      <c r="U963" s="26">
        <f t="shared" si="28"/>
        <v>-25</v>
      </c>
    </row>
    <row r="964" spans="19:21" ht="14.65" thickBot="1" x14ac:dyDescent="0.5">
      <c r="S964" s="37">
        <f t="shared" si="29"/>
        <v>865842.72482918901</v>
      </c>
      <c r="U964" s="26">
        <f t="shared" si="28"/>
        <v>-25</v>
      </c>
    </row>
    <row r="965" spans="19:21" ht="14.65" thickBot="1" x14ac:dyDescent="0.5">
      <c r="S965" s="37">
        <f t="shared" si="29"/>
        <v>874501.15207748092</v>
      </c>
      <c r="U965" s="26">
        <f t="shared" si="28"/>
        <v>-25</v>
      </c>
    </row>
    <row r="966" spans="19:21" ht="14.65" thickBot="1" x14ac:dyDescent="0.5">
      <c r="S966" s="37">
        <f t="shared" si="29"/>
        <v>883246.16359825572</v>
      </c>
      <c r="U966" s="26">
        <f t="shared" si="28"/>
        <v>-25</v>
      </c>
    </row>
    <row r="967" spans="19:21" ht="14.65" thickBot="1" x14ac:dyDescent="0.5">
      <c r="S967" s="37">
        <f t="shared" si="29"/>
        <v>892078.62523423834</v>
      </c>
      <c r="U967" s="26">
        <f t="shared" si="28"/>
        <v>-25</v>
      </c>
    </row>
    <row r="968" spans="19:21" ht="14.65" thickBot="1" x14ac:dyDescent="0.5">
      <c r="S968" s="37">
        <f t="shared" si="29"/>
        <v>900999.41148658074</v>
      </c>
      <c r="U968" s="26">
        <f t="shared" si="28"/>
        <v>-25</v>
      </c>
    </row>
    <row r="969" spans="19:21" ht="14.65" thickBot="1" x14ac:dyDescent="0.5">
      <c r="S969" s="37">
        <f t="shared" si="29"/>
        <v>910009.40560144652</v>
      </c>
      <c r="U969" s="26">
        <f t="shared" si="28"/>
        <v>-25</v>
      </c>
    </row>
    <row r="970" spans="19:21" ht="14.65" thickBot="1" x14ac:dyDescent="0.5">
      <c r="S970" s="37">
        <f t="shared" si="29"/>
        <v>919109.49965746095</v>
      </c>
      <c r="U970" s="26">
        <f t="shared" si="28"/>
        <v>-25</v>
      </c>
    </row>
    <row r="971" spans="19:21" ht="14.65" thickBot="1" x14ac:dyDescent="0.5">
      <c r="S971" s="37">
        <f t="shared" si="29"/>
        <v>928300.59465403552</v>
      </c>
      <c r="U971" s="26">
        <f t="shared" si="28"/>
        <v>-25</v>
      </c>
    </row>
    <row r="972" spans="19:21" ht="14.65" thickBot="1" x14ac:dyDescent="0.5">
      <c r="S972" s="37">
        <f t="shared" si="29"/>
        <v>937583.60060057591</v>
      </c>
      <c r="U972" s="26">
        <f t="shared" si="28"/>
        <v>-25</v>
      </c>
    </row>
    <row r="973" spans="19:21" ht="14.65" thickBot="1" x14ac:dyDescent="0.5">
      <c r="S973" s="37">
        <f t="shared" si="29"/>
        <v>946959.43660658167</v>
      </c>
      <c r="U973" s="26">
        <f t="shared" si="28"/>
        <v>-25</v>
      </c>
    </row>
    <row r="974" spans="19:21" ht="14.65" thickBot="1" x14ac:dyDescent="0.5">
      <c r="S974" s="37">
        <f t="shared" si="29"/>
        <v>956429.03097264748</v>
      </c>
      <c r="U974" s="26">
        <f t="shared" si="28"/>
        <v>-25</v>
      </c>
    </row>
    <row r="975" spans="19:21" ht="14.65" thickBot="1" x14ac:dyDescent="0.5">
      <c r="S975" s="37">
        <f t="shared" si="29"/>
        <v>965993.32128237397</v>
      </c>
      <c r="U975" s="26">
        <f t="shared" si="28"/>
        <v>-25</v>
      </c>
    </row>
    <row r="976" spans="19:21" ht="14.65" thickBot="1" x14ac:dyDescent="0.5">
      <c r="S976" s="37">
        <f t="shared" si="29"/>
        <v>975653.25449519767</v>
      </c>
      <c r="U976" s="26">
        <f t="shared" si="28"/>
        <v>-25</v>
      </c>
    </row>
    <row r="977" spans="19:21" ht="14.65" thickBot="1" x14ac:dyDescent="0.5">
      <c r="S977" s="37">
        <f t="shared" si="29"/>
        <v>985409.78704014968</v>
      </c>
      <c r="U977" s="26">
        <f t="shared" si="28"/>
        <v>-25</v>
      </c>
    </row>
    <row r="978" spans="19:21" ht="14.65" thickBot="1" x14ac:dyDescent="0.5">
      <c r="S978" s="37">
        <f t="shared" si="29"/>
        <v>995263.88491055113</v>
      </c>
      <c r="U978" s="26">
        <f t="shared" ref="U978:U1032" si="30">IF(S978&lt;$D$8,$D$7-S978-$D$9,$D$7-$D$8-$D$9)</f>
        <v>-25</v>
      </c>
    </row>
    <row r="979" spans="19:21" ht="14.65" thickBot="1" x14ac:dyDescent="0.5">
      <c r="S979" s="37">
        <f t="shared" ref="S979:S1032" si="31">S978*(1.01)</f>
        <v>1005216.5237596567</v>
      </c>
      <c r="U979" s="26">
        <f t="shared" si="30"/>
        <v>-25</v>
      </c>
    </row>
    <row r="980" spans="19:21" ht="14.65" thickBot="1" x14ac:dyDescent="0.5">
      <c r="S980" s="37">
        <f t="shared" si="31"/>
        <v>1015268.6889972533</v>
      </c>
      <c r="U980" s="26">
        <f t="shared" si="30"/>
        <v>-25</v>
      </c>
    </row>
    <row r="981" spans="19:21" ht="14.65" thickBot="1" x14ac:dyDescent="0.5">
      <c r="S981" s="37">
        <f t="shared" si="31"/>
        <v>1025421.3758872258</v>
      </c>
      <c r="U981" s="26">
        <f t="shared" si="30"/>
        <v>-25</v>
      </c>
    </row>
    <row r="982" spans="19:21" ht="14.65" thickBot="1" x14ac:dyDescent="0.5">
      <c r="S982" s="37">
        <f t="shared" si="31"/>
        <v>1035675.5896460981</v>
      </c>
      <c r="U982" s="26">
        <f t="shared" si="30"/>
        <v>-25</v>
      </c>
    </row>
    <row r="983" spans="19:21" ht="14.65" thickBot="1" x14ac:dyDescent="0.5">
      <c r="S983" s="37">
        <f t="shared" si="31"/>
        <v>1046032.3455425591</v>
      </c>
      <c r="U983" s="26">
        <f t="shared" si="30"/>
        <v>-25</v>
      </c>
    </row>
    <row r="984" spans="19:21" ht="14.65" thickBot="1" x14ac:dyDescent="0.5">
      <c r="S984" s="37">
        <f t="shared" si="31"/>
        <v>1056492.6689979846</v>
      </c>
      <c r="U984" s="26">
        <f t="shared" si="30"/>
        <v>-25</v>
      </c>
    </row>
    <row r="985" spans="19:21" ht="14.65" thickBot="1" x14ac:dyDescent="0.5">
      <c r="S985" s="37">
        <f t="shared" si="31"/>
        <v>1067057.5956879645</v>
      </c>
      <c r="U985" s="26">
        <f t="shared" si="30"/>
        <v>-25</v>
      </c>
    </row>
    <row r="986" spans="19:21" ht="14.65" thickBot="1" x14ac:dyDescent="0.5">
      <c r="S986" s="37">
        <f t="shared" si="31"/>
        <v>1077728.1716448441</v>
      </c>
      <c r="U986" s="26">
        <f t="shared" si="30"/>
        <v>-25</v>
      </c>
    </row>
    <row r="987" spans="19:21" ht="14.65" thickBot="1" x14ac:dyDescent="0.5">
      <c r="S987" s="37">
        <f t="shared" si="31"/>
        <v>1088505.4533612926</v>
      </c>
      <c r="U987" s="26">
        <f t="shared" si="30"/>
        <v>-25</v>
      </c>
    </row>
    <row r="988" spans="19:21" ht="14.65" thickBot="1" x14ac:dyDescent="0.5">
      <c r="S988" s="37">
        <f t="shared" si="31"/>
        <v>1099390.5078949055</v>
      </c>
      <c r="U988" s="26">
        <f t="shared" si="30"/>
        <v>-25</v>
      </c>
    </row>
    <row r="989" spans="19:21" ht="14.65" thickBot="1" x14ac:dyDescent="0.5">
      <c r="S989" s="37">
        <f t="shared" si="31"/>
        <v>1110384.4129738547</v>
      </c>
      <c r="U989" s="26">
        <f t="shared" si="30"/>
        <v>-25</v>
      </c>
    </row>
    <row r="990" spans="19:21" ht="14.65" thickBot="1" x14ac:dyDescent="0.5">
      <c r="S990" s="37">
        <f t="shared" si="31"/>
        <v>1121488.2571035933</v>
      </c>
      <c r="U990" s="26">
        <f t="shared" si="30"/>
        <v>-25</v>
      </c>
    </row>
    <row r="991" spans="19:21" ht="14.65" thickBot="1" x14ac:dyDescent="0.5">
      <c r="S991" s="37">
        <f t="shared" si="31"/>
        <v>1132703.1396746293</v>
      </c>
      <c r="U991" s="26">
        <f t="shared" si="30"/>
        <v>-25</v>
      </c>
    </row>
    <row r="992" spans="19:21" ht="14.65" thickBot="1" x14ac:dyDescent="0.5">
      <c r="S992" s="37">
        <f t="shared" si="31"/>
        <v>1144030.1710713757</v>
      </c>
      <c r="U992" s="26">
        <f t="shared" si="30"/>
        <v>-25</v>
      </c>
    </row>
    <row r="993" spans="19:21" ht="14.65" thickBot="1" x14ac:dyDescent="0.5">
      <c r="S993" s="37">
        <f t="shared" si="31"/>
        <v>1155470.4727820894</v>
      </c>
      <c r="U993" s="26">
        <f t="shared" si="30"/>
        <v>-25</v>
      </c>
    </row>
    <row r="994" spans="19:21" ht="14.65" thickBot="1" x14ac:dyDescent="0.5">
      <c r="S994" s="37">
        <f t="shared" si="31"/>
        <v>1167025.1775099102</v>
      </c>
      <c r="U994" s="26">
        <f t="shared" si="30"/>
        <v>-25</v>
      </c>
    </row>
    <row r="995" spans="19:21" ht="14.65" thickBot="1" x14ac:dyDescent="0.5">
      <c r="S995" s="37">
        <f t="shared" si="31"/>
        <v>1178695.4292850094</v>
      </c>
      <c r="U995" s="26">
        <f t="shared" si="30"/>
        <v>-25</v>
      </c>
    </row>
    <row r="996" spans="19:21" ht="14.65" thickBot="1" x14ac:dyDescent="0.5">
      <c r="S996" s="37">
        <f t="shared" si="31"/>
        <v>1190482.3835778595</v>
      </c>
      <c r="U996" s="26">
        <f t="shared" si="30"/>
        <v>-25</v>
      </c>
    </row>
    <row r="997" spans="19:21" ht="14.65" thickBot="1" x14ac:dyDescent="0.5">
      <c r="S997" s="37">
        <f t="shared" si="31"/>
        <v>1202387.207413638</v>
      </c>
      <c r="U997" s="26">
        <f t="shared" si="30"/>
        <v>-25</v>
      </c>
    </row>
    <row r="998" spans="19:21" ht="14.65" thickBot="1" x14ac:dyDescent="0.5">
      <c r="S998" s="37">
        <f t="shared" si="31"/>
        <v>1214411.0794877743</v>
      </c>
      <c r="U998" s="26">
        <f t="shared" si="30"/>
        <v>-25</v>
      </c>
    </row>
    <row r="999" spans="19:21" ht="14.65" thickBot="1" x14ac:dyDescent="0.5">
      <c r="S999" s="37">
        <f t="shared" si="31"/>
        <v>1226555.1902826522</v>
      </c>
      <c r="U999" s="26">
        <f t="shared" si="30"/>
        <v>-25</v>
      </c>
    </row>
    <row r="1000" spans="19:21" ht="14.65" thickBot="1" x14ac:dyDescent="0.5">
      <c r="S1000" s="37">
        <f t="shared" si="31"/>
        <v>1238820.7421854788</v>
      </c>
      <c r="U1000" s="26">
        <f t="shared" si="30"/>
        <v>-25</v>
      </c>
    </row>
    <row r="1001" spans="19:21" ht="14.65" thickBot="1" x14ac:dyDescent="0.5">
      <c r="S1001" s="37">
        <f t="shared" si="31"/>
        <v>1251208.9496073336</v>
      </c>
      <c r="U1001" s="26">
        <f t="shared" si="30"/>
        <v>-25</v>
      </c>
    </row>
    <row r="1002" spans="19:21" ht="14.65" thickBot="1" x14ac:dyDescent="0.5">
      <c r="S1002" s="37">
        <f t="shared" si="31"/>
        <v>1263721.0391034069</v>
      </c>
      <c r="U1002" s="26">
        <f t="shared" si="30"/>
        <v>-25</v>
      </c>
    </row>
    <row r="1003" spans="19:21" ht="14.65" thickBot="1" x14ac:dyDescent="0.5">
      <c r="S1003" s="37">
        <f t="shared" si="31"/>
        <v>1276358.2494944411</v>
      </c>
      <c r="U1003" s="26">
        <f t="shared" si="30"/>
        <v>-25</v>
      </c>
    </row>
    <row r="1004" spans="19:21" ht="14.65" thickBot="1" x14ac:dyDescent="0.5">
      <c r="S1004" s="37">
        <f t="shared" si="31"/>
        <v>1289121.8319893854</v>
      </c>
      <c r="U1004" s="26">
        <f t="shared" si="30"/>
        <v>-25</v>
      </c>
    </row>
    <row r="1005" spans="19:21" ht="14.65" thickBot="1" x14ac:dyDescent="0.5">
      <c r="S1005" s="37">
        <f t="shared" si="31"/>
        <v>1302013.0503092792</v>
      </c>
      <c r="U1005" s="26">
        <f t="shared" si="30"/>
        <v>-25</v>
      </c>
    </row>
    <row r="1006" spans="19:21" ht="14.65" thickBot="1" x14ac:dyDescent="0.5">
      <c r="S1006" s="37">
        <f t="shared" si="31"/>
        <v>1315033.1808123721</v>
      </c>
      <c r="U1006" s="26">
        <f t="shared" si="30"/>
        <v>-25</v>
      </c>
    </row>
    <row r="1007" spans="19:21" ht="14.65" thickBot="1" x14ac:dyDescent="0.5">
      <c r="S1007" s="37">
        <f t="shared" si="31"/>
        <v>1328183.5126204959</v>
      </c>
      <c r="U1007" s="26">
        <f t="shared" si="30"/>
        <v>-25</v>
      </c>
    </row>
    <row r="1008" spans="19:21" ht="14.65" thickBot="1" x14ac:dyDescent="0.5">
      <c r="S1008" s="37">
        <f t="shared" si="31"/>
        <v>1341465.3477467007</v>
      </c>
      <c r="U1008" s="26">
        <f t="shared" si="30"/>
        <v>-25</v>
      </c>
    </row>
    <row r="1009" spans="19:21" ht="14.65" thickBot="1" x14ac:dyDescent="0.5">
      <c r="S1009" s="37">
        <f t="shared" si="31"/>
        <v>1354880.0012241679</v>
      </c>
      <c r="U1009" s="26">
        <f t="shared" si="30"/>
        <v>-25</v>
      </c>
    </row>
    <row r="1010" spans="19:21" ht="14.65" thickBot="1" x14ac:dyDescent="0.5">
      <c r="S1010" s="37">
        <f t="shared" si="31"/>
        <v>1368428.8012364095</v>
      </c>
      <c r="U1010" s="26">
        <f t="shared" si="30"/>
        <v>-25</v>
      </c>
    </row>
    <row r="1011" spans="19:21" ht="14.65" thickBot="1" x14ac:dyDescent="0.5">
      <c r="S1011" s="37">
        <f t="shared" si="31"/>
        <v>1382113.0892487736</v>
      </c>
      <c r="U1011" s="26">
        <f t="shared" si="30"/>
        <v>-25</v>
      </c>
    </row>
    <row r="1012" spans="19:21" ht="14.65" thickBot="1" x14ac:dyDescent="0.5">
      <c r="S1012" s="37">
        <f t="shared" si="31"/>
        <v>1395934.2201412614</v>
      </c>
      <c r="U1012" s="26">
        <f t="shared" si="30"/>
        <v>-25</v>
      </c>
    </row>
    <row r="1013" spans="19:21" ht="14.65" thickBot="1" x14ac:dyDescent="0.5">
      <c r="S1013" s="37">
        <f t="shared" si="31"/>
        <v>1409893.562342674</v>
      </c>
      <c r="U1013" s="26">
        <f t="shared" si="30"/>
        <v>-25</v>
      </c>
    </row>
    <row r="1014" spans="19:21" ht="14.65" thickBot="1" x14ac:dyDescent="0.5">
      <c r="S1014" s="37">
        <f t="shared" si="31"/>
        <v>1423992.4979661007</v>
      </c>
      <c r="U1014" s="26">
        <f t="shared" si="30"/>
        <v>-25</v>
      </c>
    </row>
    <row r="1015" spans="19:21" ht="14.65" thickBot="1" x14ac:dyDescent="0.5">
      <c r="S1015" s="37">
        <f t="shared" si="31"/>
        <v>1438232.4229457618</v>
      </c>
      <c r="U1015" s="26">
        <f t="shared" si="30"/>
        <v>-25</v>
      </c>
    </row>
    <row r="1016" spans="19:21" ht="14.65" thickBot="1" x14ac:dyDescent="0.5">
      <c r="S1016" s="37">
        <f t="shared" si="31"/>
        <v>1452614.7471752195</v>
      </c>
      <c r="U1016" s="26">
        <f t="shared" si="30"/>
        <v>-25</v>
      </c>
    </row>
    <row r="1017" spans="19:21" ht="14.65" thickBot="1" x14ac:dyDescent="0.5">
      <c r="S1017" s="37">
        <f t="shared" si="31"/>
        <v>1467140.8946469717</v>
      </c>
      <c r="U1017" s="26">
        <f t="shared" si="30"/>
        <v>-25</v>
      </c>
    </row>
    <row r="1018" spans="19:21" ht="14.65" thickBot="1" x14ac:dyDescent="0.5">
      <c r="S1018" s="37">
        <f t="shared" si="31"/>
        <v>1481812.3035934414</v>
      </c>
      <c r="U1018" s="26">
        <f t="shared" si="30"/>
        <v>-25</v>
      </c>
    </row>
    <row r="1019" spans="19:21" ht="14.65" thickBot="1" x14ac:dyDescent="0.5">
      <c r="S1019" s="37">
        <f t="shared" si="31"/>
        <v>1496630.4266293759</v>
      </c>
      <c r="U1019" s="26">
        <f t="shared" si="30"/>
        <v>-25</v>
      </c>
    </row>
    <row r="1020" spans="19:21" ht="14.65" thickBot="1" x14ac:dyDescent="0.5">
      <c r="S1020" s="37">
        <f t="shared" si="31"/>
        <v>1511596.7308956697</v>
      </c>
      <c r="U1020" s="26">
        <f t="shared" si="30"/>
        <v>-25</v>
      </c>
    </row>
    <row r="1021" spans="19:21" ht="14.65" thickBot="1" x14ac:dyDescent="0.5">
      <c r="S1021" s="37">
        <f t="shared" si="31"/>
        <v>1526712.6982046263</v>
      </c>
      <c r="U1021" s="26">
        <f t="shared" si="30"/>
        <v>-25</v>
      </c>
    </row>
    <row r="1022" spans="19:21" ht="14.65" thickBot="1" x14ac:dyDescent="0.5">
      <c r="S1022" s="37">
        <f t="shared" si="31"/>
        <v>1541979.8251866726</v>
      </c>
      <c r="U1022" s="26">
        <f t="shared" si="30"/>
        <v>-25</v>
      </c>
    </row>
    <row r="1023" spans="19:21" ht="14.65" thickBot="1" x14ac:dyDescent="0.5">
      <c r="S1023" s="37">
        <f t="shared" si="31"/>
        <v>1557399.6234385394</v>
      </c>
      <c r="U1023" s="26">
        <f t="shared" si="30"/>
        <v>-25</v>
      </c>
    </row>
    <row r="1024" spans="19:21" ht="14.65" thickBot="1" x14ac:dyDescent="0.5">
      <c r="S1024" s="37">
        <f t="shared" si="31"/>
        <v>1572973.6196729247</v>
      </c>
      <c r="U1024" s="26">
        <f t="shared" si="30"/>
        <v>-25</v>
      </c>
    </row>
    <row r="1025" spans="19:21" ht="14.65" thickBot="1" x14ac:dyDescent="0.5">
      <c r="S1025" s="37">
        <f t="shared" si="31"/>
        <v>1588703.3558696541</v>
      </c>
      <c r="U1025" s="26">
        <f t="shared" si="30"/>
        <v>-25</v>
      </c>
    </row>
    <row r="1026" spans="19:21" ht="14.65" thickBot="1" x14ac:dyDescent="0.5">
      <c r="S1026" s="37">
        <f t="shared" si="31"/>
        <v>1604590.3894283506</v>
      </c>
      <c r="U1026" s="26">
        <f t="shared" si="30"/>
        <v>-25</v>
      </c>
    </row>
    <row r="1027" spans="19:21" ht="14.65" thickBot="1" x14ac:dyDescent="0.5">
      <c r="S1027" s="37">
        <f t="shared" si="31"/>
        <v>1620636.2933226342</v>
      </c>
      <c r="U1027" s="26">
        <f t="shared" si="30"/>
        <v>-25</v>
      </c>
    </row>
    <row r="1028" spans="19:21" ht="14.65" thickBot="1" x14ac:dyDescent="0.5">
      <c r="S1028" s="37">
        <f t="shared" si="31"/>
        <v>1636842.6562558606</v>
      </c>
      <c r="U1028" s="26">
        <f t="shared" si="30"/>
        <v>-25</v>
      </c>
    </row>
    <row r="1029" spans="19:21" ht="14.65" thickBot="1" x14ac:dyDescent="0.5">
      <c r="S1029" s="37">
        <f t="shared" si="31"/>
        <v>1653211.0828184192</v>
      </c>
      <c r="U1029" s="26">
        <f t="shared" si="30"/>
        <v>-25</v>
      </c>
    </row>
    <row r="1030" spans="19:21" ht="14.65" thickBot="1" x14ac:dyDescent="0.5">
      <c r="S1030" s="37">
        <f t="shared" si="31"/>
        <v>1669743.1936466035</v>
      </c>
      <c r="U1030" s="26">
        <f t="shared" si="30"/>
        <v>-25</v>
      </c>
    </row>
    <row r="1031" spans="19:21" ht="14.65" thickBot="1" x14ac:dyDescent="0.5">
      <c r="S1031" s="37">
        <f t="shared" si="31"/>
        <v>1686440.6255830696</v>
      </c>
      <c r="U1031" s="26">
        <f t="shared" si="30"/>
        <v>-25</v>
      </c>
    </row>
    <row r="1032" spans="19:21" ht="14.65" thickBot="1" x14ac:dyDescent="0.5">
      <c r="S1032" s="37">
        <f t="shared" si="31"/>
        <v>1703305.0318389004</v>
      </c>
      <c r="U1032" s="26">
        <f t="shared" si="30"/>
        <v>-25</v>
      </c>
    </row>
  </sheetData>
  <conditionalFormatting sqref="D12">
    <cfRule type="cellIs" dxfId="3" priority="3" operator="greaterThan">
      <formula>0</formula>
    </cfRule>
    <cfRule type="cellIs" dxfId="2" priority="4" operator="lessThan">
      <formula>0</formula>
    </cfRule>
  </conditionalFormatting>
  <conditionalFormatting sqref="U17:U1032">
    <cfRule type="cellIs" dxfId="1" priority="1" operator="greaterThan">
      <formula>0</formula>
    </cfRule>
    <cfRule type="cellIs" dxfId="0" priority="2" operator="lessThan">
      <formula>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Note</vt:lpstr>
      <vt:lpstr>Long Call</vt:lpstr>
      <vt:lpstr>Long Put</vt:lpstr>
      <vt:lpstr>Covered Call</vt:lpstr>
      <vt:lpstr>Bull Call Spread</vt:lpstr>
      <vt:lpstr>Bear Put Spread</vt:lpstr>
      <vt:lpstr>Long Straddle</vt:lpstr>
      <vt:lpstr>Long Strangle</vt:lpstr>
      <vt:lpstr>Long Stock + OTM put</vt:lpstr>
      <vt:lpstr>Short Stock + OTM call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Gregoire Dupont</dc:creator>
  <cp:lastModifiedBy>markj</cp:lastModifiedBy>
  <dcterms:created xsi:type="dcterms:W3CDTF">2020-10-12T08:12:34Z</dcterms:created>
  <dcterms:modified xsi:type="dcterms:W3CDTF">2021-10-23T08:53:26Z</dcterms:modified>
</cp:coreProperties>
</file>