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- 2y'!$A$3:$A$3696</f>
              <numCache>
                <formatCode>m/d/yy</formatCode>
                <ptCount val="3694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</numCache>
            </numRef>
          </cat>
          <val>
            <numRef>
              <f>'US 10y - 2y'!$D$3:$D$3696</f>
              <numCache>
                <formatCode>General</formatCode>
                <ptCount val="3694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64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384261</colOff>
      <row>3668</row>
      <rowOff>24768</rowOff>
    </from>
    <to>
      <col>14</col>
      <colOff>343647</colOff>
      <row>3695</row>
      <rowOff>119529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696" headerRowCount="1" totalsRowShown="0">
  <autoFilter ref="A2:D3696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0"/>
    <col width="9.1640625" customWidth="1" style="16" min="41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42"/>
  <sheetViews>
    <sheetView zoomScale="220" zoomScaleNormal="220" workbookViewId="0">
      <pane ySplit="1" topLeftCell="A3684" activePane="bottomLeft" state="frozen"/>
      <selection activeCell="E3697" sqref="E3697"/>
      <selection pane="bottomLeft" activeCell="E3697" sqref="E3697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44656</v>
      </c>
      <c r="B3697" t="n">
        <v>0.65</v>
      </c>
      <c r="C3697" t="n">
        <v>2.51</v>
      </c>
      <c r="D3697" t="n">
        <v>2.54</v>
      </c>
      <c r="E3697" t="n">
        <v>2.57</v>
      </c>
    </row>
    <row r="3698">
      <c r="A3698" s="27" t="n">
        <v>44657</v>
      </c>
      <c r="B3698" t="n">
        <v>0.67</v>
      </c>
      <c r="C3698" t="n">
        <v>2.5</v>
      </c>
      <c r="D3698" t="n">
        <v>2.61</v>
      </c>
      <c r="E3698" t="n">
        <v>2.63</v>
      </c>
    </row>
    <row r="3699">
      <c r="A3699" s="27" t="n">
        <v>44658</v>
      </c>
      <c r="B3699" t="n">
        <v>0.68</v>
      </c>
      <c r="C3699" t="n">
        <v>2.47</v>
      </c>
      <c r="D3699" t="n">
        <v>2.66</v>
      </c>
      <c r="E3699" t="n">
        <v>2.69</v>
      </c>
    </row>
    <row r="3700">
      <c r="A3700" s="27" t="n">
        <v>44659</v>
      </c>
      <c r="B3700" t="n">
        <v>0.7</v>
      </c>
      <c r="C3700" t="n">
        <v>2.53</v>
      </c>
      <c r="D3700" t="n">
        <v>2.72</v>
      </c>
      <c r="E3700" t="n">
        <v>2.76</v>
      </c>
    </row>
    <row r="3701">
      <c r="A3701" s="27" t="n">
        <v>44662</v>
      </c>
      <c r="B3701" t="n">
        <v>0.77</v>
      </c>
      <c r="C3701" t="n">
        <v>2.5</v>
      </c>
      <c r="D3701" t="n">
        <v>2.79</v>
      </c>
      <c r="E3701" t="n">
        <v>2.84</v>
      </c>
    </row>
    <row r="3702">
      <c r="A3702" s="27" t="n">
        <v>44663</v>
      </c>
      <c r="B3702" t="n">
        <v>0.74</v>
      </c>
      <c r="C3702" t="n">
        <v>2.39</v>
      </c>
      <c r="D3702" t="n">
        <v>2.72</v>
      </c>
      <c r="E3702" t="n">
        <v>2.82</v>
      </c>
    </row>
    <row r="3703">
      <c r="A3703" s="27" t="n">
        <v>44664</v>
      </c>
      <c r="B3703" t="n">
        <v>0.75</v>
      </c>
      <c r="C3703" t="n">
        <v>2.37</v>
      </c>
      <c r="D3703" t="n">
        <v>2.7</v>
      </c>
      <c r="E3703" t="n">
        <v>2.81</v>
      </c>
    </row>
    <row r="3704">
      <c r="A3704" s="27" t="n">
        <v>44665</v>
      </c>
      <c r="B3704" t="n">
        <v>0.79</v>
      </c>
      <c r="C3704" t="n">
        <v>2.47</v>
      </c>
      <c r="D3704" t="n">
        <v>2.83</v>
      </c>
      <c r="E3704" t="n">
        <v>2.92</v>
      </c>
    </row>
    <row r="3705">
      <c r="A3705" s="27" t="n">
        <v>44683</v>
      </c>
      <c r="B3705" t="n">
        <v>0.9</v>
      </c>
      <c r="C3705" t="n">
        <v>2.73</v>
      </c>
      <c r="D3705" t="n">
        <v>2.99</v>
      </c>
      <c r="E3705" t="n">
        <v>3.07</v>
      </c>
    </row>
    <row r="3706">
      <c r="A3706" s="27" t="n">
        <v>44684</v>
      </c>
      <c r="B3706" t="n">
        <v>0.91</v>
      </c>
      <c r="C3706" t="n">
        <v>2.78</v>
      </c>
      <c r="D3706" t="n">
        <v>2.97</v>
      </c>
      <c r="E3706" t="n">
        <v>3.03</v>
      </c>
    </row>
    <row r="3707">
      <c r="A3707" s="27" t="n">
        <v>44685</v>
      </c>
      <c r="B3707" t="n">
        <v>0.89</v>
      </c>
      <c r="C3707" t="n">
        <v>2.66</v>
      </c>
      <c r="D3707" t="n">
        <v>2.93</v>
      </c>
      <c r="E3707" t="n">
        <v>3.01</v>
      </c>
    </row>
    <row r="3708">
      <c r="A3708" s="27" t="n">
        <v>44686</v>
      </c>
      <c r="B3708" t="n">
        <v>0.85</v>
      </c>
      <c r="C3708" t="n">
        <v>2.71</v>
      </c>
      <c r="D3708" t="n">
        <v>3.05</v>
      </c>
      <c r="E3708" t="n">
        <v>3.15</v>
      </c>
    </row>
    <row r="3709">
      <c r="A3709" s="27" t="n">
        <v>44687</v>
      </c>
      <c r="B3709" t="n">
        <v>0.85</v>
      </c>
      <c r="C3709" t="n">
        <v>2.72</v>
      </c>
      <c r="D3709" t="n">
        <v>3.12</v>
      </c>
      <c r="E3709" t="n">
        <v>3.23</v>
      </c>
    </row>
    <row r="3710">
      <c r="A3710" s="27" t="n">
        <v>44690</v>
      </c>
      <c r="B3710" t="n">
        <v>0.92</v>
      </c>
      <c r="C3710" t="n">
        <v>2.61</v>
      </c>
      <c r="D3710" t="n">
        <v>3.05</v>
      </c>
      <c r="E3710" t="n">
        <v>3.19</v>
      </c>
    </row>
    <row r="3711">
      <c r="A3711" s="27" t="n">
        <v>44691</v>
      </c>
      <c r="B3711" t="n">
        <v>0.89</v>
      </c>
      <c r="C3711" t="n">
        <v>2.62</v>
      </c>
      <c r="D3711" t="n">
        <v>2.99</v>
      </c>
      <c r="E3711" t="n">
        <v>3.12</v>
      </c>
    </row>
    <row r="3712">
      <c r="A3712" s="27" t="n">
        <v>44692</v>
      </c>
      <c r="B3712" t="n">
        <v>0.91</v>
      </c>
      <c r="C3712" t="n">
        <v>2.66</v>
      </c>
      <c r="D3712" t="n">
        <v>2.91</v>
      </c>
      <c r="E3712" t="n">
        <v>3.05</v>
      </c>
    </row>
    <row r="3713">
      <c r="A3713" s="27" t="n">
        <v>44693</v>
      </c>
      <c r="B3713" t="n">
        <v>0.96</v>
      </c>
      <c r="C3713" t="n">
        <v>2.56</v>
      </c>
      <c r="D3713" t="n">
        <v>2.84</v>
      </c>
      <c r="E3713" t="n">
        <v>3</v>
      </c>
    </row>
    <row r="3714">
      <c r="A3714" s="27" t="n">
        <v>44694</v>
      </c>
      <c r="B3714" t="n">
        <v>1.03</v>
      </c>
      <c r="C3714" t="n">
        <v>2.61</v>
      </c>
      <c r="D3714" t="n">
        <v>2.93</v>
      </c>
      <c r="E3714" t="n">
        <v>3.1</v>
      </c>
    </row>
    <row r="3715">
      <c r="A3715" s="27" t="n">
        <v>44697</v>
      </c>
      <c r="B3715" t="n">
        <v>1.07</v>
      </c>
      <c r="C3715" t="n">
        <v>2.58</v>
      </c>
      <c r="D3715" t="n">
        <v>2.88</v>
      </c>
      <c r="E3715" t="n">
        <v>3.09</v>
      </c>
    </row>
    <row r="3716">
      <c r="A3716" s="27" t="n">
        <v>44698</v>
      </c>
      <c r="B3716" t="n">
        <v>1.06</v>
      </c>
      <c r="C3716" t="n">
        <v>2.71</v>
      </c>
      <c r="D3716" t="n">
        <v>2.98</v>
      </c>
      <c r="E3716" t="n">
        <v>3.17</v>
      </c>
    </row>
    <row r="3717">
      <c r="A3717" s="27" t="n">
        <v>44699</v>
      </c>
      <c r="B3717" t="n">
        <v>1.03</v>
      </c>
      <c r="C3717" t="n">
        <v>2.68</v>
      </c>
      <c r="D3717" t="n">
        <v>2.89</v>
      </c>
      <c r="E3717" t="n">
        <v>3.07</v>
      </c>
    </row>
    <row r="3718">
      <c r="A3718" s="27" t="n">
        <v>44700</v>
      </c>
      <c r="B3718" t="n">
        <v>1.05</v>
      </c>
      <c r="C3718" t="n">
        <v>2.63</v>
      </c>
      <c r="D3718" t="n">
        <v>2.84</v>
      </c>
      <c r="E3718" t="n">
        <v>3.05</v>
      </c>
    </row>
    <row r="3719">
      <c r="A3719" s="27" t="n">
        <v>44701</v>
      </c>
      <c r="B3719" t="n">
        <v>1.03</v>
      </c>
      <c r="C3719" t="n">
        <v>2.6</v>
      </c>
      <c r="D3719" t="n">
        <v>2.78</v>
      </c>
      <c r="E3719" t="n">
        <v>2.99</v>
      </c>
    </row>
    <row r="3720">
      <c r="A3720" s="27" t="n">
        <v>44704</v>
      </c>
      <c r="B3720" t="n">
        <v>1.07</v>
      </c>
      <c r="C3720" t="n">
        <v>2.65</v>
      </c>
      <c r="D3720" t="n">
        <v>2.86</v>
      </c>
      <c r="E3720" t="n">
        <v>3.08</v>
      </c>
    </row>
    <row r="3721">
      <c r="A3721" s="27" t="n">
        <v>44705</v>
      </c>
      <c r="B3721" t="n">
        <v>1.06</v>
      </c>
      <c r="C3721" t="n">
        <v>2.5</v>
      </c>
      <c r="D3721" t="n">
        <v>2.76</v>
      </c>
      <c r="E3721" t="n">
        <v>2.98</v>
      </c>
    </row>
    <row r="3722">
      <c r="A3722" s="27" t="n">
        <v>44706</v>
      </c>
      <c r="B3722" t="n">
        <v>1.06</v>
      </c>
      <c r="C3722" t="n">
        <v>2.48</v>
      </c>
      <c r="D3722" t="n">
        <v>2.75</v>
      </c>
      <c r="E3722" t="n">
        <v>2.97</v>
      </c>
    </row>
    <row r="3723">
      <c r="A3723" s="27" t="n">
        <v>44707</v>
      </c>
      <c r="B3723" t="n">
        <v>1.07</v>
      </c>
      <c r="C3723" t="n">
        <v>2.46</v>
      </c>
      <c r="D3723" t="n">
        <v>2.75</v>
      </c>
      <c r="E3723" t="n">
        <v>2.99</v>
      </c>
    </row>
    <row r="3724">
      <c r="A3724" s="27" t="n">
        <v>44708</v>
      </c>
      <c r="B3724" t="n">
        <v>1.08</v>
      </c>
      <c r="C3724" t="n">
        <v>2.47</v>
      </c>
      <c r="D3724" t="n">
        <v>2.74</v>
      </c>
      <c r="E3724" t="n">
        <v>2.97</v>
      </c>
    </row>
    <row r="3725">
      <c r="A3725" s="27" t="n">
        <v>44713</v>
      </c>
      <c r="B3725" t="n">
        <v>1.15</v>
      </c>
      <c r="C3725" t="n">
        <v>2.66</v>
      </c>
      <c r="D3725" t="n">
        <v>2.94</v>
      </c>
      <c r="E3725" t="n">
        <v>3.09</v>
      </c>
    </row>
    <row r="3726">
      <c r="A3726" s="27" t="n">
        <v>44714</v>
      </c>
      <c r="B3726" t="n">
        <v>1.17</v>
      </c>
      <c r="C3726" t="n">
        <v>2.65</v>
      </c>
      <c r="D3726" t="n">
        <v>2.92</v>
      </c>
      <c r="E3726" t="n">
        <v>3.09</v>
      </c>
    </row>
    <row r="3727">
      <c r="A3727" s="27" t="n">
        <v>44715</v>
      </c>
      <c r="B3727" t="n">
        <v>1.21</v>
      </c>
      <c r="C3727" t="n">
        <v>2.66</v>
      </c>
      <c r="D3727" t="n">
        <v>2.96</v>
      </c>
      <c r="E3727" t="n">
        <v>3.11</v>
      </c>
    </row>
    <row r="3728">
      <c r="A3728" s="27" t="n">
        <v>44718</v>
      </c>
      <c r="B3728" t="n">
        <v>1.26</v>
      </c>
      <c r="C3728" t="n">
        <v>2.73</v>
      </c>
      <c r="D3728" t="n">
        <v>3.04</v>
      </c>
      <c r="E3728" t="n">
        <v>3.19</v>
      </c>
    </row>
    <row r="3729">
      <c r="A3729" s="27" t="n">
        <v>44719</v>
      </c>
      <c r="B3729" t="n">
        <v>1.26</v>
      </c>
      <c r="C3729" t="n">
        <v>2.75</v>
      </c>
      <c r="D3729" t="n">
        <v>2.98</v>
      </c>
      <c r="E3729" t="n">
        <v>3.13</v>
      </c>
    </row>
    <row r="3730">
      <c r="A3730" s="27" t="n">
        <v>44720</v>
      </c>
      <c r="B3730" t="n">
        <v>1.28</v>
      </c>
      <c r="C3730" t="n">
        <v>2.78</v>
      </c>
      <c r="D3730" t="n">
        <v>3.03</v>
      </c>
      <c r="E3730" t="n">
        <v>3.18</v>
      </c>
    </row>
    <row r="3731">
      <c r="A3731" s="27" t="n">
        <v>44721</v>
      </c>
      <c r="B3731" t="n">
        <v>1.3</v>
      </c>
      <c r="C3731" t="n">
        <v>2.83</v>
      </c>
      <c r="D3731" t="n">
        <v>3.04</v>
      </c>
      <c r="E3731" t="n">
        <v>3.18</v>
      </c>
    </row>
    <row r="3732">
      <c r="A3732" s="27" t="n">
        <v>44722</v>
      </c>
      <c r="B3732" t="n">
        <v>1.39</v>
      </c>
      <c r="C3732" t="n">
        <v>3.06</v>
      </c>
      <c r="D3732" t="n">
        <v>3.15</v>
      </c>
      <c r="E3732" t="n">
        <v>3.2</v>
      </c>
    </row>
    <row r="3733">
      <c r="A3733" s="27" t="n">
        <v>44725</v>
      </c>
      <c r="B3733" t="n">
        <v>1.73</v>
      </c>
      <c r="C3733" t="n">
        <v>3.4</v>
      </c>
      <c r="D3733" t="n">
        <v>3.43</v>
      </c>
      <c r="E3733" t="n">
        <v>3.42</v>
      </c>
    </row>
    <row r="3734">
      <c r="A3734" s="27" t="n">
        <v>44726</v>
      </c>
      <c r="B3734" t="n">
        <v>1.83</v>
      </c>
      <c r="C3734" t="n">
        <v>3.45</v>
      </c>
      <c r="D3734" t="n">
        <v>3.49</v>
      </c>
      <c r="E3734" t="n">
        <v>3.45</v>
      </c>
    </row>
    <row r="3735">
      <c r="A3735" s="27" t="n">
        <v>44727</v>
      </c>
      <c r="B3735" t="n">
        <v>1.74</v>
      </c>
      <c r="C3735" t="n">
        <v>3.2</v>
      </c>
      <c r="D3735" t="n">
        <v>3.33</v>
      </c>
      <c r="E3735" t="n">
        <v>3.39</v>
      </c>
    </row>
    <row r="3736">
      <c r="A3736" s="27" t="n">
        <v>44728</v>
      </c>
      <c r="B3736" t="n">
        <v>1.59</v>
      </c>
      <c r="C3736" t="n">
        <v>3.14</v>
      </c>
      <c r="D3736" t="n">
        <v>3.28</v>
      </c>
      <c r="E3736" t="n">
        <v>3.35</v>
      </c>
    </row>
    <row r="3737">
      <c r="A3737" s="27" t="n">
        <v>44729</v>
      </c>
      <c r="B3737" t="n">
        <v>1.63</v>
      </c>
      <c r="C3737" t="n">
        <v>3.17</v>
      </c>
      <c r="D3737" t="n">
        <v>3.25</v>
      </c>
      <c r="E3737" t="n">
        <v>3.3</v>
      </c>
    </row>
    <row r="3738">
      <c r="A3738" s="27" t="n">
        <v>44733</v>
      </c>
      <c r="B3738" t="n">
        <v>1.7</v>
      </c>
      <c r="C3738" t="n">
        <v>3.21</v>
      </c>
      <c r="D3738" t="n">
        <v>3.31</v>
      </c>
      <c r="E3738" t="n">
        <v>3.39</v>
      </c>
    </row>
    <row r="3739">
      <c r="A3739" s="27" t="n">
        <v>44734</v>
      </c>
      <c r="B3739" t="n">
        <v>1.61</v>
      </c>
      <c r="C3739" t="n">
        <v>3.06</v>
      </c>
      <c r="D3739" t="n">
        <v>3.16</v>
      </c>
      <c r="E3739" t="n">
        <v>3.25</v>
      </c>
    </row>
    <row r="3740">
      <c r="A3740" s="27" t="n">
        <v>44735</v>
      </c>
      <c r="B3740" t="n">
        <v>1.65</v>
      </c>
      <c r="C3740" t="n">
        <v>3.01</v>
      </c>
      <c r="D3740" t="n">
        <v>3.09</v>
      </c>
      <c r="E3740" t="n">
        <v>3.21</v>
      </c>
    </row>
    <row r="3741">
      <c r="A3741" s="27" t="n">
        <v>44736</v>
      </c>
      <c r="B3741" t="n">
        <v>1.73</v>
      </c>
      <c r="C3741" t="n">
        <v>3.04</v>
      </c>
      <c r="D3741" t="n">
        <v>3.13</v>
      </c>
      <c r="E3741" t="n">
        <v>3.26</v>
      </c>
    </row>
    <row r="3742">
      <c r="A3742" s="27" t="n">
        <v>44743</v>
      </c>
      <c r="B3742" t="n">
        <v>1.73</v>
      </c>
      <c r="C3742" t="n">
        <v>2.84</v>
      </c>
      <c r="D3742" t="n">
        <v>2.88</v>
      </c>
      <c r="E3742" t="n">
        <v>3.11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696"/>
  <sheetViews>
    <sheetView tabSelected="1" zoomScale="170" zoomScaleNormal="170" workbookViewId="0">
      <pane ySplit="2" topLeftCell="A3677" activePane="bottomLeft" state="frozen"/>
      <selection activeCell="I3683" sqref="I3683"/>
      <selection pane="bottomLeft" activeCell="G3699" sqref="G3699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5"/>
    <col width="10.83203125" customWidth="1" style="7" min="16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2">
        <f>Database!A2805</f>
        <v/>
      </c>
      <c r="B2806" s="13">
        <f>IF(VLOOKUP(Table73[[#This Row],[Date]],Database!$A:$E,MATCH($B$1,Database!$A$1:$E$1,),)=0,#N/A,VLOOKUP(Table73[[#This Row],[Date]],Database!$A:$E,MATCH($B$1,Database!$A$1:$E$1,),))</f>
        <v/>
      </c>
      <c r="C2806" s="13">
        <f>IF(VLOOKUP(Table73[[#This Row],[Date]],Database!$A:$C,MATCH($C$1,Database!$A$1:$C$1,),)=0,#N/A,VLOOKUP(Table73[[#This Row],[Date]],Database!$A:$C,MATCH($C$1,Database!$A$1:$C$1,),))</f>
        <v/>
      </c>
      <c r="D2806" s="13">
        <f>IFERROR(Table73[[#This Row],[United States 10y]]-Table73[[#This Row],[United States 2y]],#N/A)</f>
        <v/>
      </c>
    </row>
    <row r="2807" ht="16" customHeight="1" s="7">
      <c r="A2807" s="10">
        <f>Database!A2806</f>
        <v/>
      </c>
      <c r="B2807" s="11">
        <f>IF(VLOOKUP(Table73[[#This Row],[Date]],Database!$A:$E,MATCH($B$1,Database!$A$1:$E$1,),)=0,#N/A,VLOOKUP(Table73[[#This Row],[Date]],Database!$A:$E,MATCH($B$1,Database!$A$1:$E$1,),))</f>
        <v/>
      </c>
      <c r="C2807" s="11">
        <f>IF(VLOOKUP(Table73[[#This Row],[Date]],Database!$A:$C,MATCH($C$1,Database!$A$1:$C$1,),)=0,#N/A,VLOOKUP(Table73[[#This Row],[Date]],Database!$A:$C,MATCH($C$1,Database!$A$1:$C$1,),))</f>
        <v/>
      </c>
      <c r="D2807" s="11">
        <f>IFERROR(Table73[[#This Row],[United States 10y]]-Table73[[#This Row],[United States 2y]],#N/A)</f>
        <v/>
      </c>
    </row>
    <row r="2808" ht="16" customHeight="1" s="7">
      <c r="A2808" s="10">
        <f>Database!A2807</f>
        <v/>
      </c>
      <c r="B2808" s="11">
        <f>IF(VLOOKUP(Table73[[#This Row],[Date]],Database!$A:$E,MATCH($B$1,Database!$A$1:$E$1,),)=0,#N/A,VLOOKUP(Table73[[#This Row],[Date]],Database!$A:$E,MATCH($B$1,Database!$A$1:$E$1,),))</f>
        <v/>
      </c>
      <c r="C2808" s="11">
        <f>IF(VLOOKUP(Table73[[#This Row],[Date]],Database!$A:$C,MATCH($C$1,Database!$A$1:$C$1,),)=0,#N/A,VLOOKUP(Table73[[#This Row],[Date]],Database!$A:$C,MATCH($C$1,Database!$A$1:$C$1,),))</f>
        <v/>
      </c>
      <c r="D2808" s="11">
        <f>IFERROR(Table73[[#This Row],[United States 10y]]-Table73[[#This Row],[United States 2y]],#N/A)</f>
        <v/>
      </c>
    </row>
    <row r="2809" ht="16" customHeight="1" s="7">
      <c r="A2809" s="10">
        <f>Database!A2808</f>
        <v/>
      </c>
      <c r="B2809" s="11">
        <f>IF(VLOOKUP(Table73[[#This Row],[Date]],Database!$A:$E,MATCH($B$1,Database!$A$1:$E$1,),)=0,#N/A,VLOOKUP(Table73[[#This Row],[Date]],Database!$A:$E,MATCH($B$1,Database!$A$1:$E$1,),))</f>
        <v/>
      </c>
      <c r="C2809" s="11">
        <f>IF(VLOOKUP(Table73[[#This Row],[Date]],Database!$A:$C,MATCH($C$1,Database!$A$1:$C$1,),)=0,#N/A,VLOOKUP(Table73[[#This Row],[Date]],Database!$A:$C,MATCH($C$1,Database!$A$1:$C$1,),))</f>
        <v/>
      </c>
      <c r="D2809" s="11">
        <f>IFERROR(Table73[[#This Row],[United States 10y]]-Table73[[#This Row],[United States 2y]],#N/A)</f>
        <v/>
      </c>
    </row>
    <row r="2810" ht="16" customHeight="1" s="7">
      <c r="A2810" s="10">
        <f>Database!A2809</f>
        <v/>
      </c>
      <c r="B2810" s="11">
        <f>IF(VLOOKUP(Table73[[#This Row],[Date]],Database!$A:$E,MATCH($B$1,Database!$A$1:$E$1,),)=0,#N/A,VLOOKUP(Table73[[#This Row],[Date]],Database!$A:$E,MATCH($B$1,Database!$A$1:$E$1,),))</f>
        <v/>
      </c>
      <c r="C2810" s="11">
        <f>IF(VLOOKUP(Table73[[#This Row],[Date]],Database!$A:$C,MATCH($C$1,Database!$A$1:$C$1,),)=0,#N/A,VLOOKUP(Table73[[#This Row],[Date]],Database!$A:$C,MATCH($C$1,Database!$A$1:$C$1,),))</f>
        <v/>
      </c>
      <c r="D2810" s="11">
        <f>IFERROR(Table73[[#This Row],[United States 10y]]-Table73[[#This Row],[United States 2y]],#N/A)</f>
        <v/>
      </c>
    </row>
    <row r="2811" ht="16" customHeight="1" s="7">
      <c r="A2811" s="10">
        <f>Database!A2810</f>
        <v/>
      </c>
      <c r="B2811" s="11">
        <f>IF(VLOOKUP(Table73[[#This Row],[Date]],Database!$A:$E,MATCH($B$1,Database!$A$1:$E$1,),)=0,#N/A,VLOOKUP(Table73[[#This Row],[Date]],Database!$A:$E,MATCH($B$1,Database!$A$1:$E$1,),))</f>
        <v/>
      </c>
      <c r="C2811" s="11">
        <f>IF(VLOOKUP(Table73[[#This Row],[Date]],Database!$A:$C,MATCH($C$1,Database!$A$1:$C$1,),)=0,#N/A,VLOOKUP(Table73[[#This Row],[Date]],Database!$A:$C,MATCH($C$1,Database!$A$1:$C$1,),))</f>
        <v/>
      </c>
      <c r="D2811" s="11">
        <f>IFERROR(Table73[[#This Row],[United States 10y]]-Table73[[#This Row],[United States 2y]],#N/A)</f>
        <v/>
      </c>
    </row>
    <row r="2812" ht="16" customHeight="1" s="7">
      <c r="A2812" s="10">
        <f>Database!A2811</f>
        <v/>
      </c>
      <c r="B2812" s="11">
        <f>IF(VLOOKUP(Table73[[#This Row],[Date]],Database!$A:$E,MATCH($B$1,Database!$A$1:$E$1,),)=0,#N/A,VLOOKUP(Table73[[#This Row],[Date]],Database!$A:$E,MATCH($B$1,Database!$A$1:$E$1,),))</f>
        <v/>
      </c>
      <c r="C2812" s="11">
        <f>IF(VLOOKUP(Table73[[#This Row],[Date]],Database!$A:$C,MATCH($C$1,Database!$A$1:$C$1,),)=0,#N/A,VLOOKUP(Table73[[#This Row],[Date]],Database!$A:$C,MATCH($C$1,Database!$A$1:$C$1,),))</f>
        <v/>
      </c>
      <c r="D2812" s="11">
        <f>IFERROR(Table73[[#This Row],[United States 10y]]-Table73[[#This Row],[United States 2y]],#N/A)</f>
        <v/>
      </c>
    </row>
    <row r="2813" ht="16" customHeight="1" s="7">
      <c r="A2813" s="12">
        <f>Database!A2812</f>
        <v/>
      </c>
      <c r="B2813" s="13">
        <f>IF(VLOOKUP(Table73[[#This Row],[Date]],Database!$A:$E,MATCH($B$1,Database!$A$1:$E$1,),)=0,#N/A,VLOOKUP(Table73[[#This Row],[Date]],Database!$A:$E,MATCH($B$1,Database!$A$1:$E$1,),))</f>
        <v/>
      </c>
      <c r="C2813" s="13">
        <f>IF(VLOOKUP(Table73[[#This Row],[Date]],Database!$A:$C,MATCH($C$1,Database!$A$1:$C$1,),)=0,#N/A,VLOOKUP(Table73[[#This Row],[Date]],Database!$A:$C,MATCH($C$1,Database!$A$1:$C$1,),))</f>
        <v/>
      </c>
      <c r="D2813" s="13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2022-04-02T13:10:41Z</dcterms:modified>
  <cp:lastModifiedBy>Mark Mukherjee</cp:lastModifiedBy>
</cp:coreProperties>
</file>