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4180" yWindow="620" windowWidth="39200" windowHeight="2774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yyyy-mm-dd h:mm:ss"/>
    <numFmt numFmtId="167" formatCode="dd-mm-YYYY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7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67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- 2y'!$A$3:$A$3768</f>
              <numCache>
                <formatCode>m/d/yy</formatCode>
                <ptCount val="3766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</numCache>
            </numRef>
          </cat>
          <val>
            <numRef>
              <f>'US 10y - 2y'!$D$3:$D$3768</f>
              <numCache>
                <formatCode>General</formatCode>
                <ptCount val="3766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75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339438</colOff>
      <row>3743</row>
      <rowOff>32239</rowOff>
    </from>
    <to>
      <col>14</col>
      <colOff>298824</colOff>
      <row>3770</row>
      <rowOff>126999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751" headerRowCount="1" totalsRowShown="0">
  <autoFilter ref="A2:D3751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1"/>
    <col width="9.1640625" customWidth="1" style="16" min="42" max="16384"/>
  </cols>
  <sheetData>
    <row r="1" ht="16" customHeight="1" s="7" thickBot="1">
      <c r="B1" s="20" t="n"/>
      <c r="C1" s="21" t="n"/>
      <c r="D1" s="21" t="n"/>
      <c r="E1" s="21" t="n"/>
      <c r="F1" s="21" t="n"/>
      <c r="G1" s="21" t="n"/>
      <c r="H1" s="21" t="n"/>
    </row>
    <row r="2">
      <c r="B2" s="4" t="n"/>
      <c r="C2" s="4" t="n"/>
      <c r="D2" s="4" t="n"/>
    </row>
    <row r="3">
      <c r="B3" s="17" t="inlineStr">
        <is>
          <t>Process / TO DO LIST</t>
        </is>
      </c>
      <c r="C3" s="18" t="n"/>
      <c r="D3" s="18" t="n"/>
      <c r="E3" s="18" t="n"/>
      <c r="F3" s="18" t="n"/>
      <c r="G3" s="18" t="n"/>
      <c r="H3" s="19" t="n"/>
    </row>
    <row r="5">
      <c r="B5" s="17" t="inlineStr">
        <is>
          <t>TO DO LIST</t>
        </is>
      </c>
      <c r="C5" s="18" t="n"/>
      <c r="D5" s="19" t="n"/>
      <c r="E5" s="17" t="inlineStr">
        <is>
          <t>Comments</t>
        </is>
      </c>
      <c r="F5" s="18" t="n"/>
      <c r="G5" s="18" t="n"/>
      <c r="H5" s="19" t="n"/>
    </row>
    <row r="7">
      <c r="B7" s="2" t="inlineStr">
        <is>
          <t>LT interest rates</t>
        </is>
      </c>
      <c r="E7" s="16" t="n"/>
    </row>
    <row r="8" ht="33" customHeight="1" s="7">
      <c r="B8" s="23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5" t="n"/>
    </row>
    <row r="10" ht="15.75" customHeight="1" s="7">
      <c r="E10" s="15" t="n"/>
    </row>
    <row r="11" ht="15.75" customHeight="1" s="7">
      <c r="E11" s="25" t="n"/>
    </row>
    <row r="12" ht="15.75" customHeight="1" s="7">
      <c r="E12" s="15" t="n"/>
    </row>
    <row r="13" ht="15.75" customHeight="1" s="7">
      <c r="B13" s="2" t="n"/>
      <c r="E13" s="15" t="n"/>
    </row>
    <row r="14" ht="32.25" customHeight="1" s="7">
      <c r="B14" s="23" t="n"/>
      <c r="E14" s="15" t="n"/>
    </row>
    <row r="15" ht="15.75" customHeight="1" s="7">
      <c r="E15" s="15" t="n"/>
    </row>
    <row r="16" ht="15.75" customHeight="1" s="7">
      <c r="E16" s="15" t="n"/>
    </row>
    <row r="17" ht="15.75" customHeight="1" s="7">
      <c r="E17" s="15" t="n"/>
    </row>
    <row r="18" ht="15.75" customHeight="1" s="7">
      <c r="B18" s="1" t="n"/>
      <c r="E18" s="15" t="n"/>
    </row>
    <row r="19" ht="15.75" customHeight="1" s="7">
      <c r="B19" s="2" t="n"/>
      <c r="E19" s="15" t="n"/>
    </row>
    <row r="20" ht="39.75" customHeight="1" s="7">
      <c r="B20" s="24" t="n"/>
      <c r="E20" s="15" t="n"/>
    </row>
    <row r="21" ht="15.75" customHeight="1" s="7">
      <c r="E21" s="15" t="n"/>
      <c r="F21" s="5" t="n"/>
      <c r="G21" s="5" t="n"/>
      <c r="H21" s="5" t="n"/>
    </row>
    <row r="23" ht="34.5" customHeight="1" s="7">
      <c r="B23" s="23" t="n"/>
      <c r="E23" s="15" t="n"/>
    </row>
    <row r="24">
      <c r="B24" s="1" t="n"/>
    </row>
    <row r="25">
      <c r="B25" s="2" t="n"/>
    </row>
    <row r="26" ht="33.75" customHeight="1" s="7">
      <c r="B26" s="22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57"/>
  <sheetViews>
    <sheetView zoomScale="220" zoomScaleNormal="220" workbookViewId="0">
      <pane ySplit="1" topLeftCell="A3703" activePane="bottomLeft" state="frozen"/>
      <selection activeCell="B20" sqref="B20:D20"/>
      <selection pane="bottomLeft" activeCell="B20" sqref="B20:D20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6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6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6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6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6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6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6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6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6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6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6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6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6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6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6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6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6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6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6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6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6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6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6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6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6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6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6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6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6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6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6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6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6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6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6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6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6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6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6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6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6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6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6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6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6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6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6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6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6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6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6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6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6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6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6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6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6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6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6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6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6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6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6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6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6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6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6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6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6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6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6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6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6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6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6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6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6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6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6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6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6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6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6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6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6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6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6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6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6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6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6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6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6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6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6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6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6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6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6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6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6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6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6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6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6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6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6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6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6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6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6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6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6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6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6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6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6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6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6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6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6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6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6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6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6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6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6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6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6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6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6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6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6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6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6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6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6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6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6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6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6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6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6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6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6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6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6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6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6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6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6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6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6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6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6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6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6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6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6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6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6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6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6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6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6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6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6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6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6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6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6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6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6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6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6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6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6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6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6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6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6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6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6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6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6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6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6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6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6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6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6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6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6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6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6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6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6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6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6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6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6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6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6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6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6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6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6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6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6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6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6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6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6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6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6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6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6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6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6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6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6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6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6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6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6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6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6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6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6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6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6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6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6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6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6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6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6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6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6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6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6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6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6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6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6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6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6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6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6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6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6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6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6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6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6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6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6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6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6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6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6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6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6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6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6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6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6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6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6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6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6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6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6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6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6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6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6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6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6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6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6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6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6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6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6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6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6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6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6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6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6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6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6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6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6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6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6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6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6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6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6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6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6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6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6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6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6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6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6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6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6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6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6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6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6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6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6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6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6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6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6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6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6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6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6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6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6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6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6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6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6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6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6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6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6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6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6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6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6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6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6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6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6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6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6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6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6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6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6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6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6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6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6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6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6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6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6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6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6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6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6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6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6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6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6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6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6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6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6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6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6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6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6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6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6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6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6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6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6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6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6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6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6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6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6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6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6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6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6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6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6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6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6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6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6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6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6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6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6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6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6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6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6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6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6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6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6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6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6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6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6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6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6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6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6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6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6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6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6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6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6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6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6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6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6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6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6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6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6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6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6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6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6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6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6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6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6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6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6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6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6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6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6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6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6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6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6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6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6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6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6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6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6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6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6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6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6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6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6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6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6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6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6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6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6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6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6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6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6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6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6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6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6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6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6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6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6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6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6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6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6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6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6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6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6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6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6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6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6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6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6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6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6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6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6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6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6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6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6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6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6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6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6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6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6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6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6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6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6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6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6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6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6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6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6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6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6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6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6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6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6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6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6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6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6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6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6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6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6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6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6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6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6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6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6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6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6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6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6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6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6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6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6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6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6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6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6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6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6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6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6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6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6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6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6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6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6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6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6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6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6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6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6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6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6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6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6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6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6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6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6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6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6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6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6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6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6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6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6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6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6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6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6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6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6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6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6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6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6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6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6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6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6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6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6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6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6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6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6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6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6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6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6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6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6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6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6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6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6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6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6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6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6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6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6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6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6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6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6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6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6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6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6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6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6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6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6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6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6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6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6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6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6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6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6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6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6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6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6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6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6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6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6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6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6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6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6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6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6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6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6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6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6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6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6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6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6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6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6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6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6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6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6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6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6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6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6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6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6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6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6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6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6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6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6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6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6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6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6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6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6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6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6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6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6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6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6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6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6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6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6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6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6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6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6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6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6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6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6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6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6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6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6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6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6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6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6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6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6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6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6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6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6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6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6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6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6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6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6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6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6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6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6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6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6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6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6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6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6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6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6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6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6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6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6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6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6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6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6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6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6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6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6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6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6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6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6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6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6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6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6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6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6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6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6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6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6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6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6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6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6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6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6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6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6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6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6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6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6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6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6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6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6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6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6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6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6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6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6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6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6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6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6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6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6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6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6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6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6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6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6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6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6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6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6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6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6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6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6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6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6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6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6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6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6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6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6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6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6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6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6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6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6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6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6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6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6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6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6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6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6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6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6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6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6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6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6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6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6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6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6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6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6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6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6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6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6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6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6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6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6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6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6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6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6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6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6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6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6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6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6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6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6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6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6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6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6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6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6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6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6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6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6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6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6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6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6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6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6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6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6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6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6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6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6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6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6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6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6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6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6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6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6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6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6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6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6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6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6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6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6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6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6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6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6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6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6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6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6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6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6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6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6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6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6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6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6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6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6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6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6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6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6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6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6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6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6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6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6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6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6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6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6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6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6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6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6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6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6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6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6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6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6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6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6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6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6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6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6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6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6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6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6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6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6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6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6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6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6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6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6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6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6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6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6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6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6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6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6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6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6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6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6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6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6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6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6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6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6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6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6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6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6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6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6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6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6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6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6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6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6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6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6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6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6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6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6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6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6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6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6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6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6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6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6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6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6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6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6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6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6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6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6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6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6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6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6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6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6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6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6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6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6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6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6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6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6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6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6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6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6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6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6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6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6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6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6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6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6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6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6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6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6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6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6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6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6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6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6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6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6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6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6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6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6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6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6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6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6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6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6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6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6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6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6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6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6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6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6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6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6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6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6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6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6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6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6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6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6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6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6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6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6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6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6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6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6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6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6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6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6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6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6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6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6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6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6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6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6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6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6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6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6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6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6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6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6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6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6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6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6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6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6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6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6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6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6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6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6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6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6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6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6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6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6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6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6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6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6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6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6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6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6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6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6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6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6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6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6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6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6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6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6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6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6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6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6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6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6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6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6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6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6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6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6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6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6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6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6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6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6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6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6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6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6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6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6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6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6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6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6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6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6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6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6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6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6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6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6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6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6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6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6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6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6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6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6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6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6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6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6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6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6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6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6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6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6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6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6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6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6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6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6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6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6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6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6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6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6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6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6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6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6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6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6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6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6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6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6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6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6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6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6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6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6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6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6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6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6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6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6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6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6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6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6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6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6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6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6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6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6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6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6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6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6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6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6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6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6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6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6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6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6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6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6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6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6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6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6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6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6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6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6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6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6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6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6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6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6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6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6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6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6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6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6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6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6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6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6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6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6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6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6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6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6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6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6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6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6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6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6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6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6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6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6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6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6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6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6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6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6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6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6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6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6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6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6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6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6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6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6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6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6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6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6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6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6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6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6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6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6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6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6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6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6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6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6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6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6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6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6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6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6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6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6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6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6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6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6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6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6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6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6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6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6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6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6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6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6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6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6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6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6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6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6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6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6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6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6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6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6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6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6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6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6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6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6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6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6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6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6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6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6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6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6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6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6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6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6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6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6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6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6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6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6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6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6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6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6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6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6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6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6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6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6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6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6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6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6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6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6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6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6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6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6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6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6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6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6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6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6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6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6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6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6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6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6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6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6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6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6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6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6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6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6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6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6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6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6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6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6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6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6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6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6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6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6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6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6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6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6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6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6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6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6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6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6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6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6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6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6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6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6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6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6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6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6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6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6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6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6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6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6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6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6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6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6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6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6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6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6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6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6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6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6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6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6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6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6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6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6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6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6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6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6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6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6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6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6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6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6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6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6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6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6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6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6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6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6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6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6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6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6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6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6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6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6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6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6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6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6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6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6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6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6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6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6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6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6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6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6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6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6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6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6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6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6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6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6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6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6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6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6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6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6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6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6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6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6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6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6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6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6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6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6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6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6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6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6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6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6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6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6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6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6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6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6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6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6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6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6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6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6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6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6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6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6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6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6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6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6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6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6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6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6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6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6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6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6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6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6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6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6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6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6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6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6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6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6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6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6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6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6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6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6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6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6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6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6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6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6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6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6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6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6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6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6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6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6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6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6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6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6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6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6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6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6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6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6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6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6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6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6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6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6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6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6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6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6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6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6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6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6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6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6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6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6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6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6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6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6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6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6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6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6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6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6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6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6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6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6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6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6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6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6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6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6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6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6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6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6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6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6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6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6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6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6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6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6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6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6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6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6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6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6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6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6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6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6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6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6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6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6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6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6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6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6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6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6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6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6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6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6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6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6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6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6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6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6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6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6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6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6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6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6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6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6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6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6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6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6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6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6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6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6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6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6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6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6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6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6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6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6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6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6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6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6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6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6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6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6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6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6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6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6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6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6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6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6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6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6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6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6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6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6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6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6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6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6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6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6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6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6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6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6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6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6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6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6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6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6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6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6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6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6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6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6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6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6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6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6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6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6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6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6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6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6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6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6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6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6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6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6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6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6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6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6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6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6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6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6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6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6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6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6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6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6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6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6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6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6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6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6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6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6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6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6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6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6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6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6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6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6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6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6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6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6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6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6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6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6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6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6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6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6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6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6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6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6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6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6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6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6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6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6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6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6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6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6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6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6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6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6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6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6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6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6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6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6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6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6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6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6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6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6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6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6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6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6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6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6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6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6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6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6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6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6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6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6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6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6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6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6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6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6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6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6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6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6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6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6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6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6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6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6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6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6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6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6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6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6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6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6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6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6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6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6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6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6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6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6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6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6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6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6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6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6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6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6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6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6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6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6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6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6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6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6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6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6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6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6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6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6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6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6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6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6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6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6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6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6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6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6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6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6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6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6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6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6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6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6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6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6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6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6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6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6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6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6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6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6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6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6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6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6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6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6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6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6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6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6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6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6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6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6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6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6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6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6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6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6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6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6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6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6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6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6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6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6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6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6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6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6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6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6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6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6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6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6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6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6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6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6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6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6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6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6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6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6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6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6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6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6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6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6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6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6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6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6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6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6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6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6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6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6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6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6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6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6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6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6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6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6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6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6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6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6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6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6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6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6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6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6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6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6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6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6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6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6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6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6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6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6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6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6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6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6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6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6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6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6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6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6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6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6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6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6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6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6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6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6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6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6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6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6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6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6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6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6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6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6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6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6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6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6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6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6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6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6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6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6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6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6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6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6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6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6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6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6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6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6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6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6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6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6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6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6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6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6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6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6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6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6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6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6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6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6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6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6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6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6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6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6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6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6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6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6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6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6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6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6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6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6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6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6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6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6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6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6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6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6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6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6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6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6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6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6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6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6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6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6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6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6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6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6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6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6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6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6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6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6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6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6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6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6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6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6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6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6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6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6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6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6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6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6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6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6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6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6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6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6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6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6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6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6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6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6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6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6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6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6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6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6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6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6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6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6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6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6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6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6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6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6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6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6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6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6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6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6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6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6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6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6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6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6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6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6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6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6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6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6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6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6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6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6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6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6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6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6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6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6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6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6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6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6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6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6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6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6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6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6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6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6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6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6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6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6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6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6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6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6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6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6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6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6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6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6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6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6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6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6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6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6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6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6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6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6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6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6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6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6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6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6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6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6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6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6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6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6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6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6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6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6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6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6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6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6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6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6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6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6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6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6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6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6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6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6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6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6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6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6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6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6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6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6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6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6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6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6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6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6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6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6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6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6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6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6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6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6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6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6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6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6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6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6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6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6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6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6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6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6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6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6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6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6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6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6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6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6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6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6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6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6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6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6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6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6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6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6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6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6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6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6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6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6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6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6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6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6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6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6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6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6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6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6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6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6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6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6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6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6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6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6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6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6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6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6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6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6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6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6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6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6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6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6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6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6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6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6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6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6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6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6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6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6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6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6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6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6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6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6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6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6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6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6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6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6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6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6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6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6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6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6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6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6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6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6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6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6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6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6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6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6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6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6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6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6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6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6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6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6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6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6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6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6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6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6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6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6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6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6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6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6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6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6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6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6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6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6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6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6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6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6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6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6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6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6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6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6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6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6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6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6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6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6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6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6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6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6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6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6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6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6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6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6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6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6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6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6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6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6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6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6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6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6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6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6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6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6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6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6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6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6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6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6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6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6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6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6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6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6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6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6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6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6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6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6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6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6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6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6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6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6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6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6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6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6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6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6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6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6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6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6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6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6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6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6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6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6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6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6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6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6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6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6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6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6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6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6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6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6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6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6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6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6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6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6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6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6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6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6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6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6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6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6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6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6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6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6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6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6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6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6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6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6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6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6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6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6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6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6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6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6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6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6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6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6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6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6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6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6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6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6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6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6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6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6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6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6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6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6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6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6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6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6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6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6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6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6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6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6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6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6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6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6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6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6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6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6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6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6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6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6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6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6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6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6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6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6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6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6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6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6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6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6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6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6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6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6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6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6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6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6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6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6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6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6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6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6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6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6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6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6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6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6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6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6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6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6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6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6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6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6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6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6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6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6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6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6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6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6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6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6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6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6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6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6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6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6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6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6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6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6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6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6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6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6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6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6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6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6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6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6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6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6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6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6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6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6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6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6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6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6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6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6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6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6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6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6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6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6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6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6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6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6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6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6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6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6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6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6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6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6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6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6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6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6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6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6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6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6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6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6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6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6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6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6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6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6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6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6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6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6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6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6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6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6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6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6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6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6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6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6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6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6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6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6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6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6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6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6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6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6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6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6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6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6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6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6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6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6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6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6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6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6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6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6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6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6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6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6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6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6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6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6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6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6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6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6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6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6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6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6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6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6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6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6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6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6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6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6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6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6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6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6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6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6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6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6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6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6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6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6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6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6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6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6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6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6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6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6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6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6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6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6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6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6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6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6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6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6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6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6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6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6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6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6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6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6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6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6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6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6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6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6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6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6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6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6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6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6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6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6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6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6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6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6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6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6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6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6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6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6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6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6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6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6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6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6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6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6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6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6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6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6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6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6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6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6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6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6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6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6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6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6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6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6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6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6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6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6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6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6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6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6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6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6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6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6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6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6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6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6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6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6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6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6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6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6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6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6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6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6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6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6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6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6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6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6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6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6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6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6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6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6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6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6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6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6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6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6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6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6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6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6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6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6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6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6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6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6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6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6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6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6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6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6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6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6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6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6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6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6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6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6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6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6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6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6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6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6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6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6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6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6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6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6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6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6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6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6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6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6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6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6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6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6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6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6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6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6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6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6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6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6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6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6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6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6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6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6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6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6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6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6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6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6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6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6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6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6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6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6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6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6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6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6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6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6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6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6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6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6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6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6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6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6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6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6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6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6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6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6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6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6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6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6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6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6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6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6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6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6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6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6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6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6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6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6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6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6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6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6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6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6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6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6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6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6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6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6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6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6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6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6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6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6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6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6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6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6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6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6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6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6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6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6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6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6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6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6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6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6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6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6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6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6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6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6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6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6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6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6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6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6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6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6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6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6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6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6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6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6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6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6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6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6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6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6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6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6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6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6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6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6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6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6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6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6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6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6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6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6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6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6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6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6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6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6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6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6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6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6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6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6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6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6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6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6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6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6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6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6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6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6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6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6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6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6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6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6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6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6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6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6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6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6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6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6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6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6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6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6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6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6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6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6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6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6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6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6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6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6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6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6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6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6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6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6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6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6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6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6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6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6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6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6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6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6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6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6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6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6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6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6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6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6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6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6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6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6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6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6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6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6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6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6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6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6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6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6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6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6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6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6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6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6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6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6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6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6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6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6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6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6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6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6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6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6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6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6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6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6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6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6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6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6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6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6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6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6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6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6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6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6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6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6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6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6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6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6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6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6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6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6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6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6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6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6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6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6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6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6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6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6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6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6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6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6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6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6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6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6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6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6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6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6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6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6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6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6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6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6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6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6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6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6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6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6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6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6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6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6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6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6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6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6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6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6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6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6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6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6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6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6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6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6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6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6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6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6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6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6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6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6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6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6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6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6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6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6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6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6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6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6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6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6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6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6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6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6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6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6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6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6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6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6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6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6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6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6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6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6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6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6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6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6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6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6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6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6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6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6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6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6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6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6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6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6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6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6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6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6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6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6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6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6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6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6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6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6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6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6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6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6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6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6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6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6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6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6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6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6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6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6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6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6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6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6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6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6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6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6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6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6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6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6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6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6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6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6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6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6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6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6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6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6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6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6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6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6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6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6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6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6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6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6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6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6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6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6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6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6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6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6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6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6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6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6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6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6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6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6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6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6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6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6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6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6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6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6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6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6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6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6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6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6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6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6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6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6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6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6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6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6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6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6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6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6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6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6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6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6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6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6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6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6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6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6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6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6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6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6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6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6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6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6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6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6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6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6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6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6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6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6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6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6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6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6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6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6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6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6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6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6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6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6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6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6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6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6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6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6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6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6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6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6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6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6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6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6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6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6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6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6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6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6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6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6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6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6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6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6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6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6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6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6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6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6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6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6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6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6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6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6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6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6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6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6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6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6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6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6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6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6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6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6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6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6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6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6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6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6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6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6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6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6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6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6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6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6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6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6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6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6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6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6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6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6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6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6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6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6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6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6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6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6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6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6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6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6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6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6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6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6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6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6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6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6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6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6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6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6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6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6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6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6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6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6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6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6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6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6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6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6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6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6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6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6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6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6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6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6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6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6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6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6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6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6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6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6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6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6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6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6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6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6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6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6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6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6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6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6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6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6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6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6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6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6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6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6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6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6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6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6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6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6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6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6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6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6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6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6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6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6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6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6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6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6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6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6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6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6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6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6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6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6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6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6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6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6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6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6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6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6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6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6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6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6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6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6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6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6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6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6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6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6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6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6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6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6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6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6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6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6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6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6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6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6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6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6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6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6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6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6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6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6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6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6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6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6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6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6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6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6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6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6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6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6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6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6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6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6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6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6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6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6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6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6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6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6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6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6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6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6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6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6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6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6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6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6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6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6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6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6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6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6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6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6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6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6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6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6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6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6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6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6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6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6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6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6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6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6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6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6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6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6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6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6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6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6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6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6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6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6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6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6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6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6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6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6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6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6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6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6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6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6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6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6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6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6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6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6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6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6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6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751"/>
  <sheetViews>
    <sheetView tabSelected="1" zoomScale="170" zoomScaleNormal="170" workbookViewId="0">
      <pane ySplit="2" topLeftCell="A3740" activePane="bottomLeft" state="frozen"/>
      <selection activeCell="B20" sqref="B20:D20"/>
      <selection pane="bottomLeft" activeCell="P3762" sqref="P3762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6"/>
    <col width="10.83203125" customWidth="1" style="7" min="17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0">
        <f>Database!A2805</f>
        <v/>
      </c>
      <c r="B2806" s="11">
        <f>IF(VLOOKUP(Table73[[#This Row],[Date]],Database!$A:$E,MATCH($B$1,Database!$A$1:$E$1,),)=0,#N/A,VLOOKUP(Table73[[#This Row],[Date]],Database!$A:$E,MATCH($B$1,Database!$A$1:$E$1,),))</f>
        <v/>
      </c>
      <c r="C2806" s="11">
        <f>IF(VLOOKUP(Table73[[#This Row],[Date]],Database!$A:$C,MATCH($C$1,Database!$A$1:$C$1,),)=0,#N/A,VLOOKUP(Table73[[#This Row],[Date]],Database!$A:$C,MATCH($C$1,Database!$A$1:$C$1,),))</f>
        <v/>
      </c>
      <c r="D2806" s="11">
        <f>IFERROR(Table73[[#This Row],[United States 10y]]-Table73[[#This Row],[United States 2y]],#N/A)</f>
        <v/>
      </c>
    </row>
    <row r="2807" ht="16" customHeight="1" s="7">
      <c r="A2807" s="8">
        <f>Database!A2806</f>
        <v/>
      </c>
      <c r="B2807" s="9">
        <f>IF(VLOOKUP(Table73[[#This Row],[Date]],Database!$A:$E,MATCH($B$1,Database!$A$1:$E$1,),)=0,#N/A,VLOOKUP(Table73[[#This Row],[Date]],Database!$A:$E,MATCH($B$1,Database!$A$1:$E$1,),))</f>
        <v/>
      </c>
      <c r="C2807" s="9">
        <f>IF(VLOOKUP(Table73[[#This Row],[Date]],Database!$A:$C,MATCH($C$1,Database!$A$1:$C$1,),)=0,#N/A,VLOOKUP(Table73[[#This Row],[Date]],Database!$A:$C,MATCH($C$1,Database!$A$1:$C$1,),))</f>
        <v/>
      </c>
      <c r="D2807" s="9">
        <f>IFERROR(Table73[[#This Row],[United States 10y]]-Table73[[#This Row],[United States 2y]],#N/A)</f>
        <v/>
      </c>
    </row>
    <row r="2808" ht="16" customHeight="1" s="7">
      <c r="A2808" s="8">
        <f>Database!A2807</f>
        <v/>
      </c>
      <c r="B2808" s="9">
        <f>IF(VLOOKUP(Table73[[#This Row],[Date]],Database!$A:$E,MATCH($B$1,Database!$A$1:$E$1,),)=0,#N/A,VLOOKUP(Table73[[#This Row],[Date]],Database!$A:$E,MATCH($B$1,Database!$A$1:$E$1,),))</f>
        <v/>
      </c>
      <c r="C2808" s="9">
        <f>IF(VLOOKUP(Table73[[#This Row],[Date]],Database!$A:$C,MATCH($C$1,Database!$A$1:$C$1,),)=0,#N/A,VLOOKUP(Table73[[#This Row],[Date]],Database!$A:$C,MATCH($C$1,Database!$A$1:$C$1,),))</f>
        <v/>
      </c>
      <c r="D2808" s="9">
        <f>IFERROR(Table73[[#This Row],[United States 10y]]-Table73[[#This Row],[United States 2y]],#N/A)</f>
        <v/>
      </c>
    </row>
    <row r="2809" ht="16" customHeight="1" s="7">
      <c r="A2809" s="8">
        <f>Database!A2808</f>
        <v/>
      </c>
      <c r="B2809" s="9">
        <f>IF(VLOOKUP(Table73[[#This Row],[Date]],Database!$A:$E,MATCH($B$1,Database!$A$1:$E$1,),)=0,#N/A,VLOOKUP(Table73[[#This Row],[Date]],Database!$A:$E,MATCH($B$1,Database!$A$1:$E$1,),))</f>
        <v/>
      </c>
      <c r="C2809" s="9">
        <f>IF(VLOOKUP(Table73[[#This Row],[Date]],Database!$A:$C,MATCH($C$1,Database!$A$1:$C$1,),)=0,#N/A,VLOOKUP(Table73[[#This Row],[Date]],Database!$A:$C,MATCH($C$1,Database!$A$1:$C$1,),))</f>
        <v/>
      </c>
      <c r="D2809" s="9">
        <f>IFERROR(Table73[[#This Row],[United States 10y]]-Table73[[#This Row],[United States 2y]],#N/A)</f>
        <v/>
      </c>
    </row>
    <row r="2810" ht="16" customHeight="1" s="7">
      <c r="A2810" s="8">
        <f>Database!A2809</f>
        <v/>
      </c>
      <c r="B2810" s="9">
        <f>IF(VLOOKUP(Table73[[#This Row],[Date]],Database!$A:$E,MATCH($B$1,Database!$A$1:$E$1,),)=0,#N/A,VLOOKUP(Table73[[#This Row],[Date]],Database!$A:$E,MATCH($B$1,Database!$A$1:$E$1,),))</f>
        <v/>
      </c>
      <c r="C2810" s="9">
        <f>IF(VLOOKUP(Table73[[#This Row],[Date]],Database!$A:$C,MATCH($C$1,Database!$A$1:$C$1,),)=0,#N/A,VLOOKUP(Table73[[#This Row],[Date]],Database!$A:$C,MATCH($C$1,Database!$A$1:$C$1,),))</f>
        <v/>
      </c>
      <c r="D2810" s="9">
        <f>IFERROR(Table73[[#This Row],[United States 10y]]-Table73[[#This Row],[United States 2y]],#N/A)</f>
        <v/>
      </c>
    </row>
    <row r="2811" ht="16" customHeight="1" s="7">
      <c r="A2811" s="8">
        <f>Database!A2810</f>
        <v/>
      </c>
      <c r="B2811" s="9">
        <f>IF(VLOOKUP(Table73[[#This Row],[Date]],Database!$A:$E,MATCH($B$1,Database!$A$1:$E$1,),)=0,#N/A,VLOOKUP(Table73[[#This Row],[Date]],Database!$A:$E,MATCH($B$1,Database!$A$1:$E$1,),))</f>
        <v/>
      </c>
      <c r="C2811" s="9">
        <f>IF(VLOOKUP(Table73[[#This Row],[Date]],Database!$A:$C,MATCH($C$1,Database!$A$1:$C$1,),)=0,#N/A,VLOOKUP(Table73[[#This Row],[Date]],Database!$A:$C,MATCH($C$1,Database!$A$1:$C$1,),))</f>
        <v/>
      </c>
      <c r="D2811" s="9">
        <f>IFERROR(Table73[[#This Row],[United States 10y]]-Table73[[#This Row],[United States 2y]],#N/A)</f>
        <v/>
      </c>
    </row>
    <row r="2812" ht="16" customHeight="1" s="7">
      <c r="A2812" s="8">
        <f>Database!A2811</f>
        <v/>
      </c>
      <c r="B2812" s="9">
        <f>IF(VLOOKUP(Table73[[#This Row],[Date]],Database!$A:$E,MATCH($B$1,Database!$A$1:$E$1,),)=0,#N/A,VLOOKUP(Table73[[#This Row],[Date]],Database!$A:$E,MATCH($B$1,Database!$A$1:$E$1,),))</f>
        <v/>
      </c>
      <c r="C2812" s="9">
        <f>IF(VLOOKUP(Table73[[#This Row],[Date]],Database!$A:$C,MATCH($C$1,Database!$A$1:$C$1,),)=0,#N/A,VLOOKUP(Table73[[#This Row],[Date]],Database!$A:$C,MATCH($C$1,Database!$A$1:$C$1,),))</f>
        <v/>
      </c>
      <c r="D2812" s="9">
        <f>IFERROR(Table73[[#This Row],[United States 10y]]-Table73[[#This Row],[United States 2y]],#N/A)</f>
        <v/>
      </c>
    </row>
    <row r="2813" ht="16" customHeight="1" s="7">
      <c r="A2813" s="10">
        <f>Database!A2812</f>
        <v/>
      </c>
      <c r="B2813" s="11">
        <f>IF(VLOOKUP(Table73[[#This Row],[Date]],Database!$A:$E,MATCH($B$1,Database!$A$1:$E$1,),)=0,#N/A,VLOOKUP(Table73[[#This Row],[Date]],Database!$A:$E,MATCH($B$1,Database!$A$1:$E$1,),))</f>
        <v/>
      </c>
      <c r="C2813" s="11">
        <f>IF(VLOOKUP(Table73[[#This Row],[Date]],Database!$A:$C,MATCH($C$1,Database!$A$1:$C$1,),)=0,#N/A,VLOOKUP(Table73[[#This Row],[Date]],Database!$A:$C,MATCH($C$1,Database!$A$1:$C$1,),))</f>
        <v/>
      </c>
      <c r="D2813" s="11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2022-07-20T21:25:17Z</dcterms:modified>
  <cp:lastModifiedBy>Mark Mukherjee</cp:lastModifiedBy>
</cp:coreProperties>
</file>